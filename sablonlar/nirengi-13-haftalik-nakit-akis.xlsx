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kit Akışı" sheetId="1" state="visible" r:id="rId1"/>
    <sheet xmlns:r="http://schemas.openxmlformats.org/officeDocument/2006/relationships" name="Tahmin-Gerçekleşen" sheetId="2" state="visible" r:id="rId2"/>
    <sheet xmlns:r="http://schemas.openxmlformats.org/officeDocument/2006/relationships" name="Nasıl kullanılı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3">
    <font>
      <name val="Calibri"/>
      <family val="2"/>
      <color theme="1"/>
      <sz val="11"/>
      <scheme val="minor"/>
    </font>
    <font>
      <b val="1"/>
      <color rgb="00163A2E"/>
      <sz val="9"/>
    </font>
    <font>
      <b val="1"/>
      <color rgb="0016191D"/>
      <sz val="16"/>
    </font>
    <font>
      <color rgb="0061666D"/>
      <sz val="10"/>
    </font>
    <font>
      <color rgb="0061666D"/>
      <sz val="9"/>
    </font>
    <font>
      <color rgb="001F3F8F"/>
    </font>
    <font>
      <b val="1"/>
    </font>
    <font>
      <b val="1"/>
      <color rgb="00FFFFFF"/>
      <sz val="10"/>
    </font>
    <font>
      <color rgb="0061666D"/>
    </font>
    <font/>
    <font>
      <b val="1"/>
      <color rgb="00163A2E"/>
    </font>
    <font>
      <i val="1"/>
      <color rgb="0061666D"/>
    </font>
    <font>
      <color rgb="001F3F8F"/>
      <u val="single"/>
    </font>
  </fonts>
  <fills count="5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163A2E"/>
      </patternFill>
    </fill>
    <fill>
      <patternFill patternType="solid">
        <fgColor rgb="00ECEBE5"/>
      </patternFill>
    </fill>
  </fills>
  <borders count="2">
    <border>
      <left/>
      <right/>
      <top/>
      <bottom/>
      <diagonal/>
    </border>
    <border>
      <top style="medium">
        <color rgb="0016191D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applyAlignment="1" pivotButton="0" quotePrefix="0" xfId="0">
      <alignment/>
    </xf>
    <xf numFmtId="165" fontId="5" fillId="2" borderId="0" pivotButton="0" quotePrefix="0" xfId="0"/>
    <xf numFmtId="0" fontId="6" fillId="0" borderId="0" pivotButton="0" quotePrefix="0" xfId="0"/>
    <xf numFmtId="3" fontId="10" fillId="0" borderId="0" pivotButton="0" quotePrefix="0" xfId="0"/>
    <xf numFmtId="3" fontId="5" fillId="2" borderId="0" pivotButton="0" quotePrefix="0" xfId="0"/>
    <xf numFmtId="0" fontId="10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0" borderId="0" pivotButton="0" quotePrefix="0" xfId="0"/>
    <xf numFmtId="165" fontId="8" fillId="0" borderId="0" applyAlignment="1" pivotButton="0" quotePrefix="0" xfId="0">
      <alignment horizontal="center"/>
    </xf>
    <xf numFmtId="3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9" fillId="0" borderId="0" pivotButton="0" quotePrefix="0" xfId="0"/>
    <xf numFmtId="3" fontId="6" fillId="0" borderId="0" pivotButton="0" quotePrefix="0" xfId="0"/>
    <xf numFmtId="3" fontId="6" fillId="4" borderId="1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ont>
        <b val="1"/>
        <color rgb="008F2D1F"/>
      </font>
      <fill>
        <patternFill patternType="solid">
          <fgColor rgb="00F6D5CF"/>
        </patternFill>
      </fill>
    </dxf>
    <dxf>
      <fill>
        <patternFill patternType="solid">
          <fgColor rgb="00FCEBC7"/>
        </patternFill>
      </fill>
    </dxf>
    <dxf>
      <font>
        <b val="1"/>
        <color rgb="008F2D1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mreceran.github.io/nirengi-danismanlik/blog/13-haftalik-nakit-akis-tablosu.html" TargetMode="External" Id="rId1"/><Relationship Type="http://schemas.openxmlformats.org/officeDocument/2006/relationships/hyperlink" Target="https://emreceran.github.io/nirengi-danismanlik/iletisim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</cols>
  <sheetData>
    <row r="1">
      <c r="A1" s="1" t="inlineStr">
        <is>
          <t>NİRENGİ DANIŞMANLIK</t>
        </is>
      </c>
      <c r="O1" s="2" t="inlineStr">
        <is>
          <t>emreceran.github.io/nirengi-danismanlik</t>
        </is>
      </c>
    </row>
    <row r="2">
      <c r="A2" s="3" t="inlineStr">
        <is>
          <t>13 Haftalık Nakit Akış Tablosu</t>
        </is>
      </c>
    </row>
    <row r="3">
      <c r="A3" s="4" t="inlineStr">
        <is>
          <t>Önümüzdeki 13 haftanın tahsilat ve ödemelerini haftalara bölün; açığı önceden görün.</t>
        </is>
      </c>
    </row>
    <row r="5">
      <c r="B5" t="inlineStr">
        <is>
          <t>Başlangıç tarihi (hafta 1'in ilk günü)</t>
        </is>
      </c>
      <c r="C5" s="5" t="n">
        <v>46328</v>
      </c>
      <c r="E5" s="6" t="inlineStr">
        <is>
          <t>En düşük hafta sonu nakdi</t>
        </is>
      </c>
      <c r="F5" s="7">
        <f>MIN(C29:O29)</f>
        <v/>
      </c>
    </row>
    <row r="6">
      <c r="B6" t="inlineStr">
        <is>
          <t>Bugünkü kullanılabilir nakit (kasa + banka)</t>
        </is>
      </c>
      <c r="C6" s="8" t="n">
        <v>1850000</v>
      </c>
      <c r="E6" s="6" t="inlineStr">
        <is>
          <t>En düşük nokta hangi haftada</t>
        </is>
      </c>
      <c r="F6" s="9">
        <f>INDEX(C10:O10,MATCH(MIN(C29:O29),C29:O29,0))</f>
        <v/>
      </c>
    </row>
    <row r="7">
      <c r="B7" t="inlineStr">
        <is>
          <t>Asgari nakit hedefi</t>
        </is>
      </c>
      <c r="C7" s="8" t="n">
        <v>800000</v>
      </c>
      <c r="E7" s="6" t="inlineStr">
        <is>
          <t>Hedefin altında kalan hafta sayısı</t>
        </is>
      </c>
      <c r="F7" s="9">
        <f>COUNTIF(C29:O29,"&lt;"&amp;C7)</f>
        <v/>
      </c>
    </row>
    <row r="8">
      <c r="B8" t="inlineStr">
        <is>
          <t>Kullanılabilir kredi limiti (nakit sayılmaz)</t>
        </is>
      </c>
      <c r="C8" s="8" t="n">
        <v>1000000</v>
      </c>
    </row>
    <row r="10" ht="32" customHeight="1">
      <c r="A10" s="10" t="inlineStr"/>
      <c r="B10" s="10" t="inlineStr">
        <is>
          <t>Hafta</t>
        </is>
      </c>
      <c r="C10" s="10" t="inlineStr">
        <is>
          <t>Hafta 1</t>
        </is>
      </c>
      <c r="D10" s="10" t="inlineStr">
        <is>
          <t>Hafta 2</t>
        </is>
      </c>
      <c r="E10" s="10" t="inlineStr">
        <is>
          <t>Hafta 3</t>
        </is>
      </c>
      <c r="F10" s="10" t="inlineStr">
        <is>
          <t>Hafta 4</t>
        </is>
      </c>
      <c r="G10" s="10" t="inlineStr">
        <is>
          <t>Hafta 5</t>
        </is>
      </c>
      <c r="H10" s="10" t="inlineStr">
        <is>
          <t>Hafta 6</t>
        </is>
      </c>
      <c r="I10" s="10" t="inlineStr">
        <is>
          <t>Hafta 7</t>
        </is>
      </c>
      <c r="J10" s="10" t="inlineStr">
        <is>
          <t>Hafta 8</t>
        </is>
      </c>
      <c r="K10" s="10" t="inlineStr">
        <is>
          <t>Hafta 9</t>
        </is>
      </c>
      <c r="L10" s="10" t="inlineStr">
        <is>
          <t>Hafta 10</t>
        </is>
      </c>
      <c r="M10" s="10" t="inlineStr">
        <is>
          <t>Hafta 11</t>
        </is>
      </c>
      <c r="N10" s="10" t="inlineStr">
        <is>
          <t>Hafta 12</t>
        </is>
      </c>
      <c r="O10" s="10" t="inlineStr">
        <is>
          <t>Hafta 13</t>
        </is>
      </c>
    </row>
    <row r="11">
      <c r="B11" s="11" t="inlineStr">
        <is>
          <t>Haftanın ilk günü</t>
        </is>
      </c>
      <c r="C11" s="12">
        <f>$C$5+0</f>
        <v/>
      </c>
      <c r="D11" s="12">
        <f>$C$5+7</f>
        <v/>
      </c>
      <c r="E11" s="12">
        <f>$C$5+14</f>
        <v/>
      </c>
      <c r="F11" s="12">
        <f>$C$5+21</f>
        <v/>
      </c>
      <c r="G11" s="12">
        <f>$C$5+28</f>
        <v/>
      </c>
      <c r="H11" s="12">
        <f>$C$5+35</f>
        <v/>
      </c>
      <c r="I11" s="12">
        <f>$C$5+42</f>
        <v/>
      </c>
      <c r="J11" s="12">
        <f>$C$5+49</f>
        <v/>
      </c>
      <c r="K11" s="12">
        <f>$C$5+56</f>
        <v/>
      </c>
      <c r="L11" s="12">
        <f>$C$5+63</f>
        <v/>
      </c>
      <c r="M11" s="12">
        <f>$C$5+70</f>
        <v/>
      </c>
      <c r="N11" s="12">
        <f>$C$5+77</f>
        <v/>
      </c>
      <c r="O11" s="12">
        <f>$C$5+84</f>
        <v/>
      </c>
    </row>
    <row r="12">
      <c r="B12" s="6" t="inlineStr">
        <is>
          <t>Başlangıç nakdi</t>
        </is>
      </c>
      <c r="C12" s="13">
        <f>$C$6</f>
        <v/>
      </c>
      <c r="D12" s="13">
        <f>C29</f>
        <v/>
      </c>
      <c r="E12" s="13">
        <f>D29</f>
        <v/>
      </c>
      <c r="F12" s="13">
        <f>E29</f>
        <v/>
      </c>
      <c r="G12" s="13">
        <f>F29</f>
        <v/>
      </c>
      <c r="H12" s="13">
        <f>G29</f>
        <v/>
      </c>
      <c r="I12" s="13">
        <f>H29</f>
        <v/>
      </c>
      <c r="J12" s="13">
        <f>I29</f>
        <v/>
      </c>
      <c r="K12" s="13">
        <f>J29</f>
        <v/>
      </c>
      <c r="L12" s="13">
        <f>K29</f>
        <v/>
      </c>
      <c r="M12" s="13">
        <f>L29</f>
        <v/>
      </c>
      <c r="N12" s="13">
        <f>M29</f>
        <v/>
      </c>
      <c r="O12" s="13">
        <f>N29</f>
        <v/>
      </c>
    </row>
    <row r="13">
      <c r="B13" s="14" t="inlineStr">
        <is>
          <t>GİRİŞLER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B14" s="16" t="inlineStr">
        <is>
          <t>Müşteri tahsilatları</t>
        </is>
      </c>
      <c r="C14" s="8" t="n">
        <v>920000</v>
      </c>
      <c r="D14" s="8" t="n">
        <v>780000</v>
      </c>
      <c r="E14" s="8" t="n">
        <v>1100000</v>
      </c>
      <c r="F14" s="8" t="n">
        <v>650000</v>
      </c>
      <c r="G14" s="8" t="n">
        <v>980000</v>
      </c>
      <c r="H14" s="8" t="n">
        <v>870000</v>
      </c>
      <c r="I14" s="8" t="n">
        <v>1200000</v>
      </c>
      <c r="J14" s="8" t="n">
        <v>700000</v>
      </c>
      <c r="K14" s="8" t="n">
        <v>940000</v>
      </c>
      <c r="L14" s="8" t="n">
        <v>820000</v>
      </c>
      <c r="M14" s="8" t="n">
        <v>1050000</v>
      </c>
      <c r="N14" s="8" t="n">
        <v>760000</v>
      </c>
      <c r="O14" s="8" t="n">
        <v>990000</v>
      </c>
    </row>
    <row r="15">
      <c r="B15" s="16" t="inlineStr">
        <is>
          <t>Çek / senet tahsilatları</t>
        </is>
      </c>
      <c r="C15" s="8" t="n">
        <v>150000</v>
      </c>
      <c r="D15" s="8" t="n">
        <v>0</v>
      </c>
      <c r="E15" s="8" t="n">
        <v>300000</v>
      </c>
      <c r="F15" s="8" t="n">
        <v>120000</v>
      </c>
      <c r="G15" s="8" t="n">
        <v>0</v>
      </c>
      <c r="H15" s="8" t="n">
        <v>250000</v>
      </c>
      <c r="I15" s="8" t="n">
        <v>0</v>
      </c>
      <c r="J15" s="8" t="n">
        <v>180000</v>
      </c>
      <c r="K15" s="8" t="n">
        <v>0</v>
      </c>
      <c r="L15" s="8" t="n">
        <v>300000</v>
      </c>
      <c r="M15" s="8" t="n">
        <v>0</v>
      </c>
      <c r="N15" s="8" t="n">
        <v>150000</v>
      </c>
      <c r="O15" s="8" t="n">
        <v>200000</v>
      </c>
    </row>
    <row r="16">
      <c r="B16" s="16" t="inlineStr">
        <is>
          <t>Kredi kullanımı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</row>
    <row r="17">
      <c r="B17" s="16" t="inlineStr">
        <is>
          <t>Diğer girişler</t>
        </is>
      </c>
      <c r="C17" s="8" t="n">
        <v>0</v>
      </c>
      <c r="D17" s="8" t="n">
        <v>0</v>
      </c>
      <c r="E17" s="8" t="n">
        <v>0</v>
      </c>
      <c r="F17" s="8" t="n">
        <v>40000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25000</v>
      </c>
      <c r="L17" s="8" t="n">
        <v>0</v>
      </c>
      <c r="M17" s="8" t="n">
        <v>0</v>
      </c>
      <c r="N17" s="8" t="n">
        <v>0</v>
      </c>
      <c r="O17" s="8" t="n">
        <v>0</v>
      </c>
    </row>
    <row r="18">
      <c r="B18" s="6" t="inlineStr">
        <is>
          <t>Toplam giriş</t>
        </is>
      </c>
      <c r="C18" s="17">
        <f>SUM(C14:C17)</f>
        <v/>
      </c>
      <c r="D18" s="17">
        <f>SUM(D14:D17)</f>
        <v/>
      </c>
      <c r="E18" s="17">
        <f>SUM(E14:E17)</f>
        <v/>
      </c>
      <c r="F18" s="17">
        <f>SUM(F14:F17)</f>
        <v/>
      </c>
      <c r="G18" s="17">
        <f>SUM(G14:G17)</f>
        <v/>
      </c>
      <c r="H18" s="17">
        <f>SUM(H14:H17)</f>
        <v/>
      </c>
      <c r="I18" s="17">
        <f>SUM(I14:I17)</f>
        <v/>
      </c>
      <c r="J18" s="17">
        <f>SUM(J14:J17)</f>
        <v/>
      </c>
      <c r="K18" s="17">
        <f>SUM(K14:K17)</f>
        <v/>
      </c>
      <c r="L18" s="17">
        <f>SUM(L14:L17)</f>
        <v/>
      </c>
      <c r="M18" s="17">
        <f>SUM(M14:M17)</f>
        <v/>
      </c>
      <c r="N18" s="17">
        <f>SUM(N14:N17)</f>
        <v/>
      </c>
      <c r="O18" s="17">
        <f>SUM(O14:O17)</f>
        <v/>
      </c>
    </row>
    <row r="19">
      <c r="B19" s="14" t="inlineStr">
        <is>
          <t>ÇIKIŞLAR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B20" s="16" t="inlineStr">
        <is>
          <t>Tedarikçi ödemeleri</t>
        </is>
      </c>
      <c r="C20" s="8" t="n">
        <v>700000</v>
      </c>
      <c r="D20" s="8" t="n">
        <v>820000</v>
      </c>
      <c r="E20" s="8" t="n">
        <v>650000</v>
      </c>
      <c r="F20" s="8" t="n">
        <v>900000</v>
      </c>
      <c r="G20" s="8" t="n">
        <v>760000</v>
      </c>
      <c r="H20" s="8" t="n">
        <v>680000</v>
      </c>
      <c r="I20" s="8" t="n">
        <v>950000</v>
      </c>
      <c r="J20" s="8" t="n">
        <v>720000</v>
      </c>
      <c r="K20" s="8" t="n">
        <v>800000</v>
      </c>
      <c r="L20" s="8" t="n">
        <v>700000</v>
      </c>
      <c r="M20" s="8" t="n">
        <v>880000</v>
      </c>
      <c r="N20" s="8" t="n">
        <v>640000</v>
      </c>
      <c r="O20" s="8" t="n">
        <v>760000</v>
      </c>
    </row>
    <row r="21">
      <c r="B21" s="16" t="inlineStr">
        <is>
          <t>Maaş ve SGK</t>
        </is>
      </c>
      <c r="C21" s="8" t="n">
        <v>0</v>
      </c>
      <c r="D21" s="8" t="n">
        <v>0</v>
      </c>
      <c r="E21" s="8" t="n">
        <v>0</v>
      </c>
      <c r="F21" s="8" t="n">
        <v>640000</v>
      </c>
      <c r="G21" s="8" t="n">
        <v>0</v>
      </c>
      <c r="H21" s="8" t="n">
        <v>0</v>
      </c>
      <c r="I21" s="8" t="n">
        <v>0</v>
      </c>
      <c r="J21" s="8" t="n">
        <v>640000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640000</v>
      </c>
    </row>
    <row r="22">
      <c r="B22" s="16" t="inlineStr">
        <is>
          <t>Vergiler (KDV, muhtasar, geçici vergi)</t>
        </is>
      </c>
      <c r="C22" s="8" t="n">
        <v>0</v>
      </c>
      <c r="D22" s="8" t="n">
        <v>0</v>
      </c>
      <c r="E22" s="8" t="n">
        <v>310000</v>
      </c>
      <c r="F22" s="8" t="n">
        <v>0</v>
      </c>
      <c r="G22" s="8" t="n">
        <v>0</v>
      </c>
      <c r="H22" s="8" t="n">
        <v>0</v>
      </c>
      <c r="I22" s="8" t="n">
        <v>290000</v>
      </c>
      <c r="J22" s="8" t="n">
        <v>0</v>
      </c>
      <c r="K22" s="8" t="n">
        <v>0</v>
      </c>
      <c r="L22" s="8" t="n">
        <v>0</v>
      </c>
      <c r="M22" s="8" t="n">
        <v>330000</v>
      </c>
      <c r="N22" s="8" t="n">
        <v>0</v>
      </c>
      <c r="O22" s="8" t="n">
        <v>0</v>
      </c>
    </row>
    <row r="23">
      <c r="B23" s="16" t="inlineStr">
        <is>
          <t>Kira ve sabit giderler</t>
        </is>
      </c>
      <c r="C23" s="8" t="n">
        <v>85000</v>
      </c>
      <c r="D23" s="8" t="n">
        <v>0</v>
      </c>
      <c r="E23" s="8" t="n">
        <v>0</v>
      </c>
      <c r="F23" s="8" t="n">
        <v>0</v>
      </c>
      <c r="G23" s="8" t="n">
        <v>85000</v>
      </c>
      <c r="H23" s="8" t="n">
        <v>0</v>
      </c>
      <c r="I23" s="8" t="n">
        <v>0</v>
      </c>
      <c r="J23" s="8" t="n">
        <v>0</v>
      </c>
      <c r="K23" s="8" t="n">
        <v>85000</v>
      </c>
      <c r="L23" s="8" t="n">
        <v>0</v>
      </c>
      <c r="M23" s="8" t="n">
        <v>0</v>
      </c>
      <c r="N23" s="8" t="n">
        <v>0</v>
      </c>
      <c r="O23" s="8" t="n">
        <v>85000</v>
      </c>
    </row>
    <row r="24">
      <c r="B24" s="16" t="inlineStr">
        <is>
          <t>Kredi anapara ve faiz</t>
        </is>
      </c>
      <c r="C24" s="8" t="n">
        <v>0</v>
      </c>
      <c r="D24" s="8" t="n">
        <v>210000</v>
      </c>
      <c r="E24" s="8" t="n">
        <v>0</v>
      </c>
      <c r="F24" s="8" t="n">
        <v>0</v>
      </c>
      <c r="G24" s="8" t="n">
        <v>0</v>
      </c>
      <c r="H24" s="8" t="n">
        <v>210000</v>
      </c>
      <c r="I24" s="8" t="n">
        <v>0</v>
      </c>
      <c r="J24" s="8" t="n">
        <v>0</v>
      </c>
      <c r="K24" s="8" t="n">
        <v>0</v>
      </c>
      <c r="L24" s="8" t="n">
        <v>210000</v>
      </c>
      <c r="M24" s="8" t="n">
        <v>0</v>
      </c>
      <c r="N24" s="8" t="n">
        <v>0</v>
      </c>
      <c r="O24" s="8" t="n">
        <v>0</v>
      </c>
    </row>
    <row r="25">
      <c r="B25" s="16" t="inlineStr">
        <is>
          <t>Yatırım ödemeleri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400000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</row>
    <row r="26">
      <c r="B26" s="16" t="inlineStr">
        <is>
          <t>Diğer çıkışlar</t>
        </is>
      </c>
      <c r="C26" s="8" t="n">
        <v>30000</v>
      </c>
      <c r="D26" s="8" t="n">
        <v>30000</v>
      </c>
      <c r="E26" s="8" t="n">
        <v>30000</v>
      </c>
      <c r="F26" s="8" t="n">
        <v>30000</v>
      </c>
      <c r="G26" s="8" t="n">
        <v>30000</v>
      </c>
      <c r="H26" s="8" t="n">
        <v>30000</v>
      </c>
      <c r="I26" s="8" t="n">
        <v>30000</v>
      </c>
      <c r="J26" s="8" t="n">
        <v>30000</v>
      </c>
      <c r="K26" s="8" t="n">
        <v>30000</v>
      </c>
      <c r="L26" s="8" t="n">
        <v>30000</v>
      </c>
      <c r="M26" s="8" t="n">
        <v>30000</v>
      </c>
      <c r="N26" s="8" t="n">
        <v>30000</v>
      </c>
      <c r="O26" s="8" t="n">
        <v>30000</v>
      </c>
    </row>
    <row r="27">
      <c r="B27" s="6" t="inlineStr">
        <is>
          <t>Toplam çıkış</t>
        </is>
      </c>
      <c r="C27" s="17">
        <f>SUM(C20:C26)</f>
        <v/>
      </c>
      <c r="D27" s="17">
        <f>SUM(D20:D26)</f>
        <v/>
      </c>
      <c r="E27" s="17">
        <f>SUM(E20:E26)</f>
        <v/>
      </c>
      <c r="F27" s="17">
        <f>SUM(F20:F26)</f>
        <v/>
      </c>
      <c r="G27" s="17">
        <f>SUM(G20:G26)</f>
        <v/>
      </c>
      <c r="H27" s="17">
        <f>SUM(H20:H26)</f>
        <v/>
      </c>
      <c r="I27" s="17">
        <f>SUM(I20:I26)</f>
        <v/>
      </c>
      <c r="J27" s="17">
        <f>SUM(J20:J26)</f>
        <v/>
      </c>
      <c r="K27" s="17">
        <f>SUM(K20:K26)</f>
        <v/>
      </c>
      <c r="L27" s="17">
        <f>SUM(L20:L26)</f>
        <v/>
      </c>
      <c r="M27" s="17">
        <f>SUM(M20:M26)</f>
        <v/>
      </c>
      <c r="N27" s="17">
        <f>SUM(N20:N26)</f>
        <v/>
      </c>
      <c r="O27" s="17">
        <f>SUM(O20:O26)</f>
        <v/>
      </c>
    </row>
    <row r="28">
      <c r="B28" s="6" t="inlineStr">
        <is>
          <t>Net nakit akışı</t>
        </is>
      </c>
      <c r="C28" s="13">
        <f>C18-C27</f>
        <v/>
      </c>
      <c r="D28" s="13">
        <f>D18-D27</f>
        <v/>
      </c>
      <c r="E28" s="13">
        <f>E18-E27</f>
        <v/>
      </c>
      <c r="F28" s="13">
        <f>F18-F27</f>
        <v/>
      </c>
      <c r="G28" s="13">
        <f>G18-G27</f>
        <v/>
      </c>
      <c r="H28" s="13">
        <f>H18-H27</f>
        <v/>
      </c>
      <c r="I28" s="13">
        <f>I18-I27</f>
        <v/>
      </c>
      <c r="J28" s="13">
        <f>J18-J27</f>
        <v/>
      </c>
      <c r="K28" s="13">
        <f>K18-K27</f>
        <v/>
      </c>
      <c r="L28" s="13">
        <f>L18-L27</f>
        <v/>
      </c>
      <c r="M28" s="13">
        <f>M18-M27</f>
        <v/>
      </c>
      <c r="N28" s="13">
        <f>N18-N27</f>
        <v/>
      </c>
      <c r="O28" s="13">
        <f>O18-O27</f>
        <v/>
      </c>
    </row>
    <row r="29">
      <c r="B29" s="14" t="inlineStr">
        <is>
          <t>Hafta sonu nakdi</t>
        </is>
      </c>
      <c r="C29" s="18">
        <f>C12+C28</f>
        <v/>
      </c>
      <c r="D29" s="18">
        <f>D12+D28</f>
        <v/>
      </c>
      <c r="E29" s="18">
        <f>E12+E28</f>
        <v/>
      </c>
      <c r="F29" s="18">
        <f>F12+F28</f>
        <v/>
      </c>
      <c r="G29" s="18">
        <f>G12+G28</f>
        <v/>
      </c>
      <c r="H29" s="18">
        <f>H12+H28</f>
        <v/>
      </c>
      <c r="I29" s="18">
        <f>I12+I28</f>
        <v/>
      </c>
      <c r="J29" s="18">
        <f>J12+J28</f>
        <v/>
      </c>
      <c r="K29" s="18">
        <f>K12+K28</f>
        <v/>
      </c>
      <c r="L29" s="18">
        <f>L12+L28</f>
        <v/>
      </c>
      <c r="M29" s="18">
        <f>M12+M28</f>
        <v/>
      </c>
      <c r="N29" s="18">
        <f>N12+N28</f>
        <v/>
      </c>
      <c r="O29" s="18">
        <f>O12+O28</f>
        <v/>
      </c>
    </row>
    <row r="30">
      <c r="B30" s="16" t="inlineStr">
        <is>
          <t>Kredi limiti dahil kullanılabilir kaynak</t>
        </is>
      </c>
      <c r="C30" s="13">
        <f>C29+$C$8</f>
        <v/>
      </c>
      <c r="D30" s="13">
        <f>D29+$C$8</f>
        <v/>
      </c>
      <c r="E30" s="13">
        <f>E29+$C$8</f>
        <v/>
      </c>
      <c r="F30" s="13">
        <f>F29+$C$8</f>
        <v/>
      </c>
      <c r="G30" s="13">
        <f>G29+$C$8</f>
        <v/>
      </c>
      <c r="H30" s="13">
        <f>H29+$C$8</f>
        <v/>
      </c>
      <c r="I30" s="13">
        <f>I29+$C$8</f>
        <v/>
      </c>
      <c r="J30" s="13">
        <f>J29+$C$8</f>
        <v/>
      </c>
      <c r="K30" s="13">
        <f>K29+$C$8</f>
        <v/>
      </c>
      <c r="L30" s="13">
        <f>L29+$C$8</f>
        <v/>
      </c>
      <c r="M30" s="13">
        <f>M29+$C$8</f>
        <v/>
      </c>
      <c r="N30" s="13">
        <f>N29+$C$8</f>
        <v/>
      </c>
      <c r="O30" s="13">
        <f>O29+$C$8</f>
        <v/>
      </c>
    </row>
    <row r="31">
      <c r="B31" s="16" t="inlineStr">
        <is>
          <t>Durum</t>
        </is>
      </c>
      <c r="C31" s="19">
        <f>IF(C29&lt;0,"AÇIK",IF(C29&lt;$C$7,"Hedef altı","Yeterli"))</f>
        <v/>
      </c>
      <c r="D31" s="19">
        <f>IF(D29&lt;0,"AÇIK",IF(D29&lt;$C$7,"Hedef altı","Yeterli"))</f>
        <v/>
      </c>
      <c r="E31" s="19">
        <f>IF(E29&lt;0,"AÇIK",IF(E29&lt;$C$7,"Hedef altı","Yeterli"))</f>
        <v/>
      </c>
      <c r="F31" s="19">
        <f>IF(F29&lt;0,"AÇIK",IF(F29&lt;$C$7,"Hedef altı","Yeterli"))</f>
        <v/>
      </c>
      <c r="G31" s="19">
        <f>IF(G29&lt;0,"AÇIK",IF(G29&lt;$C$7,"Hedef altı","Yeterli"))</f>
        <v/>
      </c>
      <c r="H31" s="19">
        <f>IF(H29&lt;0,"AÇIK",IF(H29&lt;$C$7,"Hedef altı","Yeterli"))</f>
        <v/>
      </c>
      <c r="I31" s="19">
        <f>IF(I29&lt;0,"AÇIK",IF(I29&lt;$C$7,"Hedef altı","Yeterli"))</f>
        <v/>
      </c>
      <c r="J31" s="19">
        <f>IF(J29&lt;0,"AÇIK",IF(J29&lt;$C$7,"Hedef altı","Yeterli"))</f>
        <v/>
      </c>
      <c r="K31" s="19">
        <f>IF(K29&lt;0,"AÇIK",IF(K29&lt;$C$7,"Hedef altı","Yeterli"))</f>
        <v/>
      </c>
      <c r="L31" s="19">
        <f>IF(L29&lt;0,"AÇIK",IF(L29&lt;$C$7,"Hedef altı","Yeterli"))</f>
        <v/>
      </c>
      <c r="M31" s="19">
        <f>IF(M29&lt;0,"AÇIK",IF(M29&lt;$C$7,"Hedef altı","Yeterli"))</f>
        <v/>
      </c>
      <c r="N31" s="19">
        <f>IF(N29&lt;0,"AÇIK",IF(N29&lt;$C$7,"Hedef altı","Yeterli"))</f>
        <v/>
      </c>
      <c r="O31" s="19">
        <f>IF(O29&lt;0,"AÇIK",IF(O29&lt;$C$7,"Hedef altı","Yeterli"))</f>
        <v/>
      </c>
    </row>
  </sheetData>
  <conditionalFormatting sqref="C31:O31">
    <cfRule type="cellIs" priority="1" operator="equal" dxfId="0">
      <formula>"AÇIK"</formula>
    </cfRule>
    <cfRule type="cellIs" priority="2" operator="equal" dxfId="1">
      <formula>"Hedef altı"</formula>
    </cfRule>
  </conditionalFormatting>
  <conditionalFormatting sqref="C29:O29">
    <cfRule type="cellIs" priority="3" operator="lessThan" dxfId="2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NİRENGİ DANIŞMANLIK</t>
        </is>
      </c>
      <c r="H1" s="2" t="inlineStr">
        <is>
          <t>emreceran.github.io/nirengi-danismanlik</t>
        </is>
      </c>
    </row>
    <row r="2">
      <c r="A2" s="3" t="inlineStr">
        <is>
          <t>Tahmin ile gerçekleşenin karşılaştırılması</t>
        </is>
      </c>
    </row>
    <row r="3">
      <c r="A3" s="4" t="inlineStr">
        <is>
          <t>Her hafta sonunda gerçek rakamları yazın; farklar işletmenizin gerçek davranışını gösterir.</t>
        </is>
      </c>
    </row>
    <row r="5" ht="32" customHeight="1">
      <c r="A5" s="10" t="inlineStr">
        <is>
          <t>Hafta</t>
        </is>
      </c>
      <c r="B5" s="10" t="inlineStr">
        <is>
          <t>İlk gün</t>
        </is>
      </c>
      <c r="C5" s="10" t="inlineStr">
        <is>
          <t>Tahmini giriş</t>
        </is>
      </c>
      <c r="D5" s="10" t="inlineStr">
        <is>
          <t>Gerçek giriş</t>
        </is>
      </c>
      <c r="E5" s="10" t="inlineStr">
        <is>
          <t>Fark</t>
        </is>
      </c>
      <c r="F5" s="10" t="inlineStr">
        <is>
          <t>Tahmini çıkış</t>
        </is>
      </c>
      <c r="G5" s="10" t="inlineStr">
        <is>
          <t>Gerçek çıkış</t>
        </is>
      </c>
      <c r="H5" s="10" t="inlineStr">
        <is>
          <t>Fark</t>
        </is>
      </c>
    </row>
    <row r="6">
      <c r="A6" t="inlineStr">
        <is>
          <t>Hafta 1</t>
        </is>
      </c>
      <c r="B6" s="20">
        <f>'Nakit Akışı'!C11</f>
        <v/>
      </c>
      <c r="C6" s="13">
        <f>'Nakit Akışı'!C18</f>
        <v/>
      </c>
      <c r="D6" s="8" t="n">
        <v>905000</v>
      </c>
      <c r="E6" s="13">
        <f>IF(D6="","",D6-C6)</f>
        <v/>
      </c>
      <c r="F6" s="13">
        <f>'Nakit Akışı'!C27</f>
        <v/>
      </c>
      <c r="G6" s="8" t="n">
        <v>790000</v>
      </c>
      <c r="H6" s="13">
        <f>IF(G6="","",G6-F6)</f>
        <v/>
      </c>
    </row>
    <row r="7">
      <c r="A7" t="inlineStr">
        <is>
          <t>Hafta 2</t>
        </is>
      </c>
      <c r="B7" s="20">
        <f>'Nakit Akışı'!D11</f>
        <v/>
      </c>
      <c r="C7" s="13">
        <f>'Nakit Akışı'!D18</f>
        <v/>
      </c>
      <c r="D7" s="8" t="n">
        <v>640000</v>
      </c>
      <c r="E7" s="13">
        <f>IF(D7="","",D7-C7)</f>
        <v/>
      </c>
      <c r="F7" s="13">
        <f>'Nakit Akışı'!D27</f>
        <v/>
      </c>
      <c r="G7" s="8" t="n">
        <v>1140000</v>
      </c>
      <c r="H7" s="13">
        <f>IF(G7="","",G7-F7)</f>
        <v/>
      </c>
    </row>
    <row r="8">
      <c r="A8" t="inlineStr">
        <is>
          <t>Hafta 3</t>
        </is>
      </c>
      <c r="B8" s="20">
        <f>'Nakit Akışı'!E11</f>
        <v/>
      </c>
      <c r="C8" s="13">
        <f>'Nakit Akışı'!E18</f>
        <v/>
      </c>
      <c r="D8" s="8" t="n"/>
      <c r="E8" s="13">
        <f>IF(D8="","",D8-C8)</f>
        <v/>
      </c>
      <c r="F8" s="13">
        <f>'Nakit Akışı'!E27</f>
        <v/>
      </c>
      <c r="G8" s="8" t="n"/>
      <c r="H8" s="13">
        <f>IF(G8="","",G8-F8)</f>
        <v/>
      </c>
    </row>
    <row r="9">
      <c r="A9" t="inlineStr">
        <is>
          <t>Hafta 4</t>
        </is>
      </c>
      <c r="B9" s="20">
        <f>'Nakit Akışı'!F11</f>
        <v/>
      </c>
      <c r="C9" s="13">
        <f>'Nakit Akışı'!F18</f>
        <v/>
      </c>
      <c r="D9" s="8" t="n"/>
      <c r="E9" s="13">
        <f>IF(D9="","",D9-C9)</f>
        <v/>
      </c>
      <c r="F9" s="13">
        <f>'Nakit Akışı'!F27</f>
        <v/>
      </c>
      <c r="G9" s="8" t="n"/>
      <c r="H9" s="13">
        <f>IF(G9="","",G9-F9)</f>
        <v/>
      </c>
    </row>
    <row r="10">
      <c r="A10" t="inlineStr">
        <is>
          <t>Hafta 5</t>
        </is>
      </c>
      <c r="B10" s="20">
        <f>'Nakit Akışı'!G11</f>
        <v/>
      </c>
      <c r="C10" s="13">
        <f>'Nakit Akışı'!G18</f>
        <v/>
      </c>
      <c r="D10" s="8" t="n"/>
      <c r="E10" s="13">
        <f>IF(D10="","",D10-C10)</f>
        <v/>
      </c>
      <c r="F10" s="13">
        <f>'Nakit Akışı'!G27</f>
        <v/>
      </c>
      <c r="G10" s="8" t="n"/>
      <c r="H10" s="13">
        <f>IF(G10="","",G10-F10)</f>
        <v/>
      </c>
    </row>
    <row r="11">
      <c r="A11" t="inlineStr">
        <is>
          <t>Hafta 6</t>
        </is>
      </c>
      <c r="B11" s="20">
        <f>'Nakit Akışı'!H11</f>
        <v/>
      </c>
      <c r="C11" s="13">
        <f>'Nakit Akışı'!H18</f>
        <v/>
      </c>
      <c r="D11" s="8" t="n"/>
      <c r="E11" s="13">
        <f>IF(D11="","",D11-C11)</f>
        <v/>
      </c>
      <c r="F11" s="13">
        <f>'Nakit Akışı'!H27</f>
        <v/>
      </c>
      <c r="G11" s="8" t="n"/>
      <c r="H11" s="13">
        <f>IF(G11="","",G11-F11)</f>
        <v/>
      </c>
    </row>
    <row r="12">
      <c r="A12" t="inlineStr">
        <is>
          <t>Hafta 7</t>
        </is>
      </c>
      <c r="B12" s="20">
        <f>'Nakit Akışı'!I11</f>
        <v/>
      </c>
      <c r="C12" s="13">
        <f>'Nakit Akışı'!I18</f>
        <v/>
      </c>
      <c r="D12" s="8" t="n"/>
      <c r="E12" s="13">
        <f>IF(D12="","",D12-C12)</f>
        <v/>
      </c>
      <c r="F12" s="13">
        <f>'Nakit Akışı'!I27</f>
        <v/>
      </c>
      <c r="G12" s="8" t="n"/>
      <c r="H12" s="13">
        <f>IF(G12="","",G12-F12)</f>
        <v/>
      </c>
    </row>
    <row r="13">
      <c r="A13" t="inlineStr">
        <is>
          <t>Hafta 8</t>
        </is>
      </c>
      <c r="B13" s="20">
        <f>'Nakit Akışı'!J11</f>
        <v/>
      </c>
      <c r="C13" s="13">
        <f>'Nakit Akışı'!J18</f>
        <v/>
      </c>
      <c r="D13" s="8" t="n"/>
      <c r="E13" s="13">
        <f>IF(D13="","",D13-C13)</f>
        <v/>
      </c>
      <c r="F13" s="13">
        <f>'Nakit Akışı'!J27</f>
        <v/>
      </c>
      <c r="G13" s="8" t="n"/>
      <c r="H13" s="13">
        <f>IF(G13="","",G13-F13)</f>
        <v/>
      </c>
    </row>
    <row r="14">
      <c r="A14" t="inlineStr">
        <is>
          <t>Hafta 9</t>
        </is>
      </c>
      <c r="B14" s="20">
        <f>'Nakit Akışı'!K11</f>
        <v/>
      </c>
      <c r="C14" s="13">
        <f>'Nakit Akışı'!K18</f>
        <v/>
      </c>
      <c r="D14" s="8" t="n"/>
      <c r="E14" s="13">
        <f>IF(D14="","",D14-C14)</f>
        <v/>
      </c>
      <c r="F14" s="13">
        <f>'Nakit Akışı'!K27</f>
        <v/>
      </c>
      <c r="G14" s="8" t="n"/>
      <c r="H14" s="13">
        <f>IF(G14="","",G14-F14)</f>
        <v/>
      </c>
    </row>
    <row r="15">
      <c r="A15" t="inlineStr">
        <is>
          <t>Hafta 10</t>
        </is>
      </c>
      <c r="B15" s="20">
        <f>'Nakit Akışı'!L11</f>
        <v/>
      </c>
      <c r="C15" s="13">
        <f>'Nakit Akışı'!L18</f>
        <v/>
      </c>
      <c r="D15" s="8" t="n"/>
      <c r="E15" s="13">
        <f>IF(D15="","",D15-C15)</f>
        <v/>
      </c>
      <c r="F15" s="13">
        <f>'Nakit Akışı'!L27</f>
        <v/>
      </c>
      <c r="G15" s="8" t="n"/>
      <c r="H15" s="13">
        <f>IF(G15="","",G15-F15)</f>
        <v/>
      </c>
    </row>
    <row r="16">
      <c r="A16" t="inlineStr">
        <is>
          <t>Hafta 11</t>
        </is>
      </c>
      <c r="B16" s="20">
        <f>'Nakit Akışı'!M11</f>
        <v/>
      </c>
      <c r="C16" s="13">
        <f>'Nakit Akışı'!M18</f>
        <v/>
      </c>
      <c r="D16" s="8" t="n"/>
      <c r="E16" s="13">
        <f>IF(D16="","",D16-C16)</f>
        <v/>
      </c>
      <c r="F16" s="13">
        <f>'Nakit Akışı'!M27</f>
        <v/>
      </c>
      <c r="G16" s="8" t="n"/>
      <c r="H16" s="13">
        <f>IF(G16="","",G16-F16)</f>
        <v/>
      </c>
    </row>
    <row r="17">
      <c r="A17" t="inlineStr">
        <is>
          <t>Hafta 12</t>
        </is>
      </c>
      <c r="B17" s="20">
        <f>'Nakit Akışı'!N11</f>
        <v/>
      </c>
      <c r="C17" s="13">
        <f>'Nakit Akışı'!N18</f>
        <v/>
      </c>
      <c r="D17" s="8" t="n"/>
      <c r="E17" s="13">
        <f>IF(D17="","",D17-C17)</f>
        <v/>
      </c>
      <c r="F17" s="13">
        <f>'Nakit Akışı'!N27</f>
        <v/>
      </c>
      <c r="G17" s="8" t="n"/>
      <c r="H17" s="13">
        <f>IF(G17="","",G17-F17)</f>
        <v/>
      </c>
    </row>
    <row r="18">
      <c r="A18" t="inlineStr">
        <is>
          <t>Hafta 13</t>
        </is>
      </c>
      <c r="B18" s="20">
        <f>'Nakit Akışı'!O11</f>
        <v/>
      </c>
      <c r="C18" s="13">
        <f>'Nakit Akışı'!O18</f>
        <v/>
      </c>
      <c r="D18" s="8" t="n"/>
      <c r="E18" s="13">
        <f>IF(D18="","",D18-C18)</f>
        <v/>
      </c>
      <c r="F18" s="13">
        <f>'Nakit Akışı'!O27</f>
        <v/>
      </c>
      <c r="G18" s="8" t="n"/>
      <c r="H18" s="13">
        <f>IF(G18="","",G18-F18)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NİRENGİ DANIŞMANLIK</t>
        </is>
      </c>
      <c r="B1" s="2" t="inlineStr">
        <is>
          <t>emreceran.github.io/nirengi-danismanlik</t>
        </is>
      </c>
    </row>
    <row r="2">
      <c r="A2" s="3" t="inlineStr">
        <is>
          <t>13 Haftalık Nakit Akış Tablosu</t>
        </is>
      </c>
    </row>
    <row r="3">
      <c r="A3" s="4" t="inlineStr">
        <is>
          <t>Bu sayfa şablonun nasıl kullanılacağını anlatır.</t>
        </is>
      </c>
    </row>
    <row r="5">
      <c r="A5" s="21" t="inlineStr">
        <is>
          <t>■</t>
        </is>
      </c>
      <c r="B5" t="inlineStr">
        <is>
          <t>Sarı hücreler giriş hücreleridir; kendi rakamlarınızı buraya yazın. Beyaz hücreler formüldür, değiştirmeyin.</t>
        </is>
      </c>
    </row>
    <row r="7" ht="30" customHeight="1">
      <c r="A7" s="9" t="inlineStr">
        <is>
          <t>1.</t>
        </is>
      </c>
      <c r="B7" s="22" t="inlineStr">
        <is>
          <t>Nakit Akışı sayfasında başlangıç tarihini, bugünkü kullanılabilir nakdi (kasa + vadesiz banka), asgari nakit hedefinizi ve kullanılabilir kredi limitinizi yazın.</t>
        </is>
      </c>
    </row>
    <row r="8" ht="30" customHeight="1">
      <c r="A8" s="9" t="inlineStr">
        <is>
          <t>2.</t>
        </is>
      </c>
      <c r="B8" s="22" t="inlineStr">
        <is>
          <t>Tahsilatları faturanın vadesine göre değil, müşterinin geçmişte gerçekten ödediği güne göre ilgili haftaya yazın.</t>
        </is>
      </c>
    </row>
    <row r="9" ht="30" customHeight="1">
      <c r="A9" s="9" t="inlineStr">
        <is>
          <t>3.</t>
        </is>
      </c>
      <c r="B9" s="22" t="inlineStr">
        <is>
          <t>Ödemeleri tedarikçi vadesine, maaş ve SGK'yı ödeme gününe, vergileri beyan takvimine göre yerleştirin. KDV ve SGK genellikle en büyük çıkışlardır.</t>
        </is>
      </c>
    </row>
    <row r="10" ht="30" customHeight="1">
      <c r="A10" s="9" t="inlineStr">
        <is>
          <t>4.</t>
        </is>
      </c>
      <c r="B10" s="22" t="inlineStr">
        <is>
          <t>Hafta sonu nakdi otomatik hesaplanır. 'AÇIK' yazan hafta kasanın eksiye düştüğü, 'Hedef altı' yazan hafta asgari hedefin altına inildiği haftadır.</t>
        </is>
      </c>
    </row>
    <row r="11" ht="15" customHeight="1">
      <c r="A11" s="9" t="inlineStr">
        <is>
          <t>5.</t>
        </is>
      </c>
      <c r="B11" s="22" t="inlineStr">
        <is>
          <t>Kredi limiti nakit değildir; ayrı satırda yalnızca bilgi olarak gösterilir.</t>
        </is>
      </c>
    </row>
    <row r="12" ht="30" customHeight="1">
      <c r="A12" s="9" t="inlineStr">
        <is>
          <t>6.</t>
        </is>
      </c>
      <c r="B12" s="22" t="inlineStr">
        <is>
          <t>Her hafta sonunda Tahmin-Gerçekleşen sayfasına gerçek giriş ve çıkışları yazın. Birkaç hafta sonra tahminleriniz belirgin biçimde isabetli hale gelir.</t>
        </is>
      </c>
    </row>
    <row r="13" ht="30" customHeight="1">
      <c r="A13" s="9" t="inlineStr">
        <is>
          <t>7.</t>
        </is>
      </c>
      <c r="B13" s="22" t="inlineStr">
        <is>
          <t>Her pazartesi geçen haftayı silip (sütunları sola kaydırıp) sona yeni bir hafta ekleyerek tabloyu hep 13 hafta ileriye bakar halde tutun.</t>
        </is>
      </c>
    </row>
    <row r="15">
      <c r="B15" s="23" t="inlineStr">
        <is>
          <t>Örnek veriler yalnızca şablonun nasıl çalıştığını göstermek içindir; silip kendi verinizi girebilirsiniz.</t>
        </is>
      </c>
    </row>
    <row r="17">
      <c r="B17" s="6" t="inlineStr">
        <is>
          <t>Konuyla ilgili yazı</t>
        </is>
      </c>
    </row>
    <row r="18">
      <c r="B18" s="24" t="inlineStr">
        <is>
          <t>https://emreceran.github.io/nirengi-danismanlik/blog/13-haftalik-nakit-akis-tablosu.html</t>
        </is>
      </c>
    </row>
    <row r="20">
      <c r="B20" s="6" t="inlineStr">
        <is>
          <t>Takıldığınız yerde ya da sonuçları birlikte yorumlamak isterseniz: ücretsiz ilk görüşme</t>
        </is>
      </c>
    </row>
    <row r="21">
      <c r="B21" s="24" t="inlineStr">
        <is>
          <t>https://emreceran.github.io/nirengi-danismanlik/iletisim.html</t>
        </is>
      </c>
    </row>
    <row r="23">
      <c r="B23" s="25" t="inlineStr">
        <is>
          <t>Bu şablon genel bilgilendirme amaçlıdır ve ücretsiz olarak paylaşılabilir. © Nirengi Danışmanlık</t>
        </is>
      </c>
    </row>
  </sheetData>
  <hyperlinks>
    <hyperlink xmlns:r="http://schemas.openxmlformats.org/officeDocument/2006/relationships" ref="B18" r:id="rId1"/>
    <hyperlink xmlns:r="http://schemas.openxmlformats.org/officeDocument/2006/relationships" ref="B2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2026-10-23T20:41:25Z</dcterms:created>
  <dcterms:modified xmlns:dcterms="http://purl.org/dc/terms/" xmlns:xsi="http://www.w3.org/2001/XMLSchema-instance" xsi:type="dcterms:W3CDTF">2026-10-23T20:41:25Z</dcterms:modified>
</cp:coreProperties>
</file>