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rün Maliyeti" sheetId="1" state="visible" r:id="rId1"/>
    <sheet xmlns:r="http://schemas.openxmlformats.org/officeDocument/2006/relationships" name="İstasyonlar" sheetId="2" state="visible" r:id="rId2"/>
    <sheet xmlns:r="http://schemas.openxmlformats.org/officeDocument/2006/relationships" name="Malzemeler" sheetId="3" state="visible" r:id="rId3"/>
    <sheet xmlns:r="http://schemas.openxmlformats.org/officeDocument/2006/relationships" name="Nasıl kullanılı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###"/>
    <numFmt numFmtId="165" formatCode="0.0"/>
    <numFmt numFmtId="166" formatCode="#,##0.00;-#,##0.00;&quot;&quot;"/>
    <numFmt numFmtId="167" formatCode="0.0%"/>
  </numFmts>
  <fonts count="12">
    <font>
      <name val="Calibri"/>
      <family val="2"/>
      <color theme="1"/>
      <sz val="11"/>
      <scheme val="minor"/>
    </font>
    <font>
      <b val="1"/>
      <color rgb="00163A2E"/>
      <sz val="9"/>
    </font>
    <font>
      <b val="1"/>
      <color rgb="0016191D"/>
      <sz val="16"/>
    </font>
    <font>
      <color rgb="0061666D"/>
      <sz val="10"/>
    </font>
    <font>
      <color rgb="0061666D"/>
      <sz val="9"/>
    </font>
    <font>
      <b val="1"/>
      <color rgb="00FFFFFF"/>
      <sz val="10"/>
    </font>
    <font>
      <color rgb="001F3F8F"/>
    </font>
    <font>
      <b val="1"/>
    </font>
    <font/>
    <font>
      <b val="1"/>
      <color rgb="00163A2E"/>
    </font>
    <font>
      <i val="1"/>
      <color rgb="0061666D"/>
    </font>
    <font>
      <color rgb="001F3F8F"/>
      <u val="single"/>
    </font>
  </fonts>
  <fills count="4">
    <fill>
      <patternFill/>
    </fill>
    <fill>
      <patternFill patternType="gray125"/>
    </fill>
    <fill>
      <patternFill patternType="solid">
        <fgColor rgb="00163A2E"/>
      </patternFill>
    </fill>
    <fill>
      <patternFill patternType="solid">
        <fgColor rgb="00FFF6D6"/>
      </patternFill>
    </fill>
  </fills>
  <borders count="3">
    <border>
      <left/>
      <right/>
      <top/>
      <bottom/>
      <diagonal/>
    </border>
    <border>
      <top style="medium">
        <color rgb="0016191D"/>
      </top>
    </border>
    <border>
      <top style="thin">
        <color rgb="00D6D3CA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applyAlignment="1" pivotButton="0" quotePrefix="0" xfId="0">
      <alignment/>
    </xf>
    <xf numFmtId="0" fontId="7" fillId="0" borderId="0" pivotButton="0" quotePrefix="0" xfId="0"/>
    <xf numFmtId="0" fontId="6" fillId="3" borderId="0" pivotButton="0" quotePrefix="0" xfId="0"/>
    <xf numFmtId="1" fontId="6" fillId="3" borderId="0" pivotButton="0" quotePrefix="0" xfId="0"/>
    <xf numFmtId="4" fontId="6" fillId="3" borderId="0" pivotButton="0" quotePrefix="0" xfId="0"/>
    <xf numFmtId="0" fontId="5" fillId="2" borderId="0" applyAlignment="1" pivotButton="0" quotePrefix="0" xfId="0">
      <alignment horizontal="center" vertical="center" wrapText="1"/>
    </xf>
    <xf numFmtId="164" fontId="6" fillId="3" borderId="0" pivotButton="0" quotePrefix="0" xfId="0"/>
    <xf numFmtId="9" fontId="6" fillId="3" borderId="0" pivotButton="0" quotePrefix="0" xfId="0"/>
    <xf numFmtId="4" fontId="0" fillId="0" borderId="0" pivotButton="0" quotePrefix="0" xfId="0"/>
    <xf numFmtId="4" fontId="7" fillId="0" borderId="2" pivotButton="0" quotePrefix="0" xfId="0"/>
    <xf numFmtId="165" fontId="6" fillId="3" borderId="0" pivotButton="0" quotePrefix="0" xfId="0"/>
    <xf numFmtId="166" fontId="0" fillId="0" borderId="0" pivotButton="0" quotePrefix="0" xfId="0"/>
    <xf numFmtId="0" fontId="8" fillId="0" borderId="0" pivotButton="0" quotePrefix="0" xfId="0"/>
    <xf numFmtId="4" fontId="9" fillId="0" borderId="1" pivotButton="0" quotePrefix="0" xfId="0"/>
    <xf numFmtId="167" fontId="9" fillId="0" borderId="1" pivotButton="0" quotePrefix="0" xfId="0"/>
    <xf numFmtId="167" fontId="0" fillId="0" borderId="0" pivotButton="0" quotePrefix="0" xfId="0"/>
    <xf numFmtId="3" fontId="6" fillId="3" borderId="0" pivotButton="0" quotePrefix="0" xfId="0"/>
    <xf numFmtId="3" fontId="0" fillId="0" borderId="0" pivotButton="0" quotePrefix="0" xfId="0"/>
    <xf numFmtId="4" fontId="7" fillId="0" borderId="0" pivotButton="0" quotePrefix="0" xfId="0"/>
    <xf numFmtId="0" fontId="0" fillId="3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1">
    <dxf>
      <font>
        <b val="1"/>
        <color rgb="008F2D1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emreceran.github.io/nirengi-danismanlik/blog/gercek-urun-maliyeti.html" TargetMode="External" Id="rId1"/><Relationship Type="http://schemas.openxmlformats.org/officeDocument/2006/relationships/hyperlink" Target="https://emreceran.github.io/nirengi-danismanlik/iletisim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2" customWidth="1" min="4" max="4"/>
    <col width="14" customWidth="1" min="5" max="5"/>
    <col width="16" customWidth="1" min="6" max="6"/>
    <col width="4" customWidth="1" min="7" max="7"/>
  </cols>
  <sheetData>
    <row r="1">
      <c r="A1" s="1" t="inlineStr">
        <is>
          <t>NİRENGİ DANIŞMANLIK</t>
        </is>
      </c>
      <c r="G1" s="2" t="inlineStr">
        <is>
          <t>emreceran.github.io/nirengi-danismanlik</t>
        </is>
      </c>
    </row>
    <row r="2">
      <c r="A2" s="3" t="inlineStr">
        <is>
          <t>Ürün maliyet kartı</t>
        </is>
      </c>
    </row>
    <row r="3">
      <c r="A3" s="4" t="inlineStr">
        <is>
          <t>Her ürün için bu sayfayı kopyalayın (sayfa sekmesine sağ tık → Taşı veya Kopyala).</t>
        </is>
      </c>
    </row>
    <row r="5">
      <c r="A5" s="5" t="inlineStr">
        <is>
          <t>Ürün</t>
        </is>
      </c>
      <c r="B5" s="6" t="inlineStr">
        <is>
          <t>Çalışma masası 120x60</t>
        </is>
      </c>
    </row>
    <row r="6">
      <c r="A6" s="5" t="inlineStr">
        <is>
          <t>Parti büyüklüğü (adet)</t>
        </is>
      </c>
      <c r="B6" s="7" t="n">
        <v>50</v>
      </c>
    </row>
    <row r="7">
      <c r="A7" s="5" t="inlineStr">
        <is>
          <t>Satış fiyatı (KDV hariç)</t>
        </is>
      </c>
      <c r="B7" s="8" t="n">
        <v>4250</v>
      </c>
    </row>
    <row r="9" ht="32" customHeight="1">
      <c r="A9" s="9" t="inlineStr">
        <is>
          <t>Malzeme</t>
        </is>
      </c>
      <c r="B9" s="9" t="inlineStr">
        <is>
          <t>Miktar / adet</t>
        </is>
      </c>
      <c r="C9" s="9" t="inlineStr">
        <is>
          <t>Fire %</t>
        </is>
      </c>
      <c r="D9" s="9" t="inlineStr">
        <is>
          <t>Birim fiyat</t>
        </is>
      </c>
      <c r="E9" s="9" t="inlineStr">
        <is>
          <t>Tutar / adet</t>
        </is>
      </c>
      <c r="F9" s="9" t="inlineStr"/>
    </row>
    <row r="10">
      <c r="A10" s="6" t="inlineStr">
        <is>
          <t>Kutu profil 40x40x2</t>
        </is>
      </c>
      <c r="B10" s="10" t="n">
        <v>14.5</v>
      </c>
      <c r="C10" s="11" t="n">
        <v>0.04</v>
      </c>
      <c r="D10" s="12">
        <f>IF(A10="","",IFERROR(VLOOKUP(A10,Malzemeler!$A$6:$C$205,3,FALSE),0))</f>
        <v/>
      </c>
      <c r="E10" s="12">
        <f>IF(A10="","",B10*(1+N(C10))*D10)</f>
        <v/>
      </c>
    </row>
    <row r="11">
      <c r="A11" s="6" t="inlineStr">
        <is>
          <t>Sac 1,5 mm DKP</t>
        </is>
      </c>
      <c r="B11" s="10" t="n">
        <v>9</v>
      </c>
      <c r="C11" s="11" t="n">
        <v>0.08</v>
      </c>
      <c r="D11" s="12">
        <f>IF(A11="","",IFERROR(VLOOKUP(A11,Malzemeler!$A$6:$C$205,3,FALSE),0))</f>
        <v/>
      </c>
      <c r="E11" s="12">
        <f>IF(A11="","",B11*(1+N(C11))*D11)</f>
        <v/>
      </c>
    </row>
    <row r="12">
      <c r="A12" s="6" t="inlineStr">
        <is>
          <t>Kaynak teli SG2 1,2 mm</t>
        </is>
      </c>
      <c r="B12" s="10" t="n">
        <v>0.35</v>
      </c>
      <c r="C12" s="11" t="n">
        <v>0.1</v>
      </c>
      <c r="D12" s="12">
        <f>IF(A12="","",IFERROR(VLOOKUP(A12,Malzemeler!$A$6:$C$205,3,FALSE),0))</f>
        <v/>
      </c>
      <c r="E12" s="12">
        <f>IF(A12="","",B12*(1+N(C12))*D12)</f>
        <v/>
      </c>
    </row>
    <row r="13">
      <c r="A13" s="6" t="inlineStr">
        <is>
          <t>Elektrostatik toz boya</t>
        </is>
      </c>
      <c r="B13" s="10" t="n">
        <v>0.6</v>
      </c>
      <c r="C13" s="11" t="n">
        <v>0.15</v>
      </c>
      <c r="D13" s="12">
        <f>IF(A13="","",IFERROR(VLOOKUP(A13,Malzemeler!$A$6:$C$205,3,FALSE),0))</f>
        <v/>
      </c>
      <c r="E13" s="12">
        <f>IF(A13="","",B13*(1+N(C13))*D13)</f>
        <v/>
      </c>
    </row>
    <row r="14">
      <c r="A14" s="6" t="inlineStr">
        <is>
          <t>Ayak pabucu</t>
        </is>
      </c>
      <c r="B14" s="10" t="n">
        <v>4</v>
      </c>
      <c r="C14" s="11" t="n">
        <v>0</v>
      </c>
      <c r="D14" s="12">
        <f>IF(A14="","",IFERROR(VLOOKUP(A14,Malzemeler!$A$6:$C$205,3,FALSE),0))</f>
        <v/>
      </c>
      <c r="E14" s="12">
        <f>IF(A14="","",B14*(1+N(C14))*D14)</f>
        <v/>
      </c>
    </row>
    <row r="15">
      <c r="A15" s="6" t="inlineStr">
        <is>
          <t>Cıvata-somun seti</t>
        </is>
      </c>
      <c r="B15" s="10" t="n">
        <v>1</v>
      </c>
      <c r="C15" s="11" t="n">
        <v>0</v>
      </c>
      <c r="D15" s="12">
        <f>IF(A15="","",IFERROR(VLOOKUP(A15,Malzemeler!$A$6:$C$205,3,FALSE),0))</f>
        <v/>
      </c>
      <c r="E15" s="12">
        <f>IF(A15="","",B15*(1+N(C15))*D15)</f>
        <v/>
      </c>
    </row>
    <row r="16">
      <c r="A16" s="6" t="inlineStr">
        <is>
          <t>Kraft koli 60x40x40</t>
        </is>
      </c>
      <c r="B16" s="10" t="n">
        <v>2</v>
      </c>
      <c r="C16" s="11" t="n">
        <v>0.02</v>
      </c>
      <c r="D16" s="12">
        <f>IF(A16="","",IFERROR(VLOOKUP(A16,Malzemeler!$A$6:$C$205,3,FALSE),0))</f>
        <v/>
      </c>
      <c r="E16" s="12">
        <f>IF(A16="","",B16*(1+N(C16))*D16)</f>
        <v/>
      </c>
    </row>
    <row r="17">
      <c r="A17" s="6" t="n"/>
      <c r="B17" s="10" t="n"/>
      <c r="C17" s="11" t="n"/>
      <c r="D17" s="12">
        <f>IF(A17="","",IFERROR(VLOOKUP(A17,Malzemeler!$A$6:$C$205,3,FALSE),0))</f>
        <v/>
      </c>
      <c r="E17" s="12">
        <f>IF(A17="","",B17*(1+N(C17))*D17)</f>
        <v/>
      </c>
    </row>
    <row r="18">
      <c r="A18" s="6" t="n"/>
      <c r="B18" s="10" t="n"/>
      <c r="C18" s="11" t="n"/>
      <c r="D18" s="12">
        <f>IF(A18="","",IFERROR(VLOOKUP(A18,Malzemeler!$A$6:$C$205,3,FALSE),0))</f>
        <v/>
      </c>
      <c r="E18" s="12">
        <f>IF(A18="","",B18*(1+N(C18))*D18)</f>
        <v/>
      </c>
    </row>
    <row r="19">
      <c r="A19" s="6" t="n"/>
      <c r="B19" s="10" t="n"/>
      <c r="C19" s="11" t="n"/>
      <c r="D19" s="12">
        <f>IF(A19="","",IFERROR(VLOOKUP(A19,Malzemeler!$A$6:$C$205,3,FALSE),0))</f>
        <v/>
      </c>
      <c r="E19" s="12">
        <f>IF(A19="","",B19*(1+N(C19))*D19)</f>
        <v/>
      </c>
    </row>
    <row r="20">
      <c r="A20" s="6" t="n"/>
      <c r="B20" s="10" t="n"/>
      <c r="C20" s="11" t="n"/>
      <c r="D20" s="12">
        <f>IF(A20="","",IFERROR(VLOOKUP(A20,Malzemeler!$A$6:$C$205,3,FALSE),0))</f>
        <v/>
      </c>
      <c r="E20" s="12">
        <f>IF(A20="","",B20*(1+N(C20))*D20)</f>
        <v/>
      </c>
    </row>
    <row r="21">
      <c r="A21" s="6" t="n"/>
      <c r="B21" s="10" t="n"/>
      <c r="C21" s="11" t="n"/>
      <c r="D21" s="12">
        <f>IF(A21="","",IFERROR(VLOOKUP(A21,Malzemeler!$A$6:$C$205,3,FALSE),0))</f>
        <v/>
      </c>
      <c r="E21" s="12">
        <f>IF(A21="","",B21*(1+N(C21))*D21)</f>
        <v/>
      </c>
    </row>
    <row r="22">
      <c r="A22" s="6" t="n"/>
      <c r="B22" s="10" t="n"/>
      <c r="C22" s="11" t="n"/>
      <c r="D22" s="12">
        <f>IF(A22="","",IFERROR(VLOOKUP(A22,Malzemeler!$A$6:$C$205,3,FALSE),0))</f>
        <v/>
      </c>
      <c r="E22" s="12">
        <f>IF(A22="","",B22*(1+N(C22))*D22)</f>
        <v/>
      </c>
    </row>
    <row r="23">
      <c r="A23" s="6" t="n"/>
      <c r="B23" s="10" t="n"/>
      <c r="C23" s="11" t="n"/>
      <c r="D23" s="12">
        <f>IF(A23="","",IFERROR(VLOOKUP(A23,Malzemeler!$A$6:$C$205,3,FALSE),0))</f>
        <v/>
      </c>
      <c r="E23" s="12">
        <f>IF(A23="","",B23*(1+N(C23))*D23)</f>
        <v/>
      </c>
    </row>
    <row r="24">
      <c r="A24" s="6" t="n"/>
      <c r="B24" s="10" t="n"/>
      <c r="C24" s="11" t="n"/>
      <c r="D24" s="12">
        <f>IF(A24="","",IFERROR(VLOOKUP(A24,Malzemeler!$A$6:$C$205,3,FALSE),0))</f>
        <v/>
      </c>
      <c r="E24" s="12">
        <f>IF(A24="","",B24*(1+N(C24))*D24)</f>
        <v/>
      </c>
    </row>
    <row r="25">
      <c r="A25" s="5" t="inlineStr">
        <is>
          <t>Malzeme toplamı</t>
        </is>
      </c>
      <c r="E25" s="13">
        <f>SUM(E10:E24)</f>
        <v/>
      </c>
    </row>
    <row r="27" ht="32" customHeight="1">
      <c r="A27" s="9" t="inlineStr">
        <is>
          <t>İstasyon</t>
        </is>
      </c>
      <c r="B27" s="9" t="inlineStr">
        <is>
          <t>Hazırlık (dk / parti)</t>
        </is>
      </c>
      <c r="C27" s="9" t="inlineStr">
        <is>
          <t>İşlem (dk / adet)</t>
        </is>
      </c>
      <c r="D27" s="9" t="inlineStr">
        <is>
          <t>Saat maliyeti</t>
        </is>
      </c>
      <c r="E27" s="9" t="inlineStr">
        <is>
          <t>Tutar / adet</t>
        </is>
      </c>
      <c r="F27" s="9" t="inlineStr"/>
    </row>
    <row r="28">
      <c r="A28" s="6" t="inlineStr">
        <is>
          <t>Kesim</t>
        </is>
      </c>
      <c r="B28" s="7" t="n">
        <v>30</v>
      </c>
      <c r="C28" s="14" t="n">
        <v>8</v>
      </c>
      <c r="D28" s="15">
        <f>IF(A28="",0,N(IFERROR(VLOOKUP(A28,İstasyonlar!$A$6:$H$35,8,FALSE),0)))</f>
        <v/>
      </c>
      <c r="E28" s="12">
        <f>IF(A28="","",(N(B28)/$B$6+N(C28))/60*D28)</f>
        <v/>
      </c>
    </row>
    <row r="29">
      <c r="A29" s="6" t="inlineStr">
        <is>
          <t>Kaynak</t>
        </is>
      </c>
      <c r="B29" s="7" t="n">
        <v>20</v>
      </c>
      <c r="C29" s="14" t="n">
        <v>25</v>
      </c>
      <c r="D29" s="15">
        <f>IF(A29="",0,N(IFERROR(VLOOKUP(A29,İstasyonlar!$A$6:$H$35,8,FALSE),0)))</f>
        <v/>
      </c>
      <c r="E29" s="12">
        <f>IF(A29="","",(N(B29)/$B$6+N(C29))/60*D29)</f>
        <v/>
      </c>
    </row>
    <row r="30">
      <c r="A30" s="6" t="inlineStr">
        <is>
          <t>Boya</t>
        </is>
      </c>
      <c r="B30" s="7" t="n">
        <v>45</v>
      </c>
      <c r="C30" s="14" t="n">
        <v>6</v>
      </c>
      <c r="D30" s="15">
        <f>IF(A30="",0,N(IFERROR(VLOOKUP(A30,İstasyonlar!$A$6:$H$35,8,FALSE),0)))</f>
        <v/>
      </c>
      <c r="E30" s="12">
        <f>IF(A30="","",(N(B30)/$B$6+N(C30))/60*D30)</f>
        <v/>
      </c>
    </row>
    <row r="31">
      <c r="A31" s="6" t="inlineStr">
        <is>
          <t>Montaj</t>
        </is>
      </c>
      <c r="B31" s="7" t="n">
        <v>10</v>
      </c>
      <c r="C31" s="14" t="n">
        <v>15</v>
      </c>
      <c r="D31" s="15">
        <f>IF(A31="",0,N(IFERROR(VLOOKUP(A31,İstasyonlar!$A$6:$H$35,8,FALSE),0)))</f>
        <v/>
      </c>
      <c r="E31" s="12">
        <f>IF(A31="","",(N(B31)/$B$6+N(C31))/60*D31)</f>
        <v/>
      </c>
    </row>
    <row r="32">
      <c r="A32" s="6" t="inlineStr">
        <is>
          <t>Paketleme</t>
        </is>
      </c>
      <c r="B32" s="7" t="n">
        <v>5</v>
      </c>
      <c r="C32" s="14" t="n">
        <v>4</v>
      </c>
      <c r="D32" s="15">
        <f>IF(A32="",0,N(IFERROR(VLOOKUP(A32,İstasyonlar!$A$6:$H$35,8,FALSE),0)))</f>
        <v/>
      </c>
      <c r="E32" s="12">
        <f>IF(A32="","",(N(B32)/$B$6+N(C32))/60*D32)</f>
        <v/>
      </c>
    </row>
    <row r="33">
      <c r="A33" s="6" t="n"/>
      <c r="B33" s="7" t="n"/>
      <c r="C33" s="14" t="n"/>
      <c r="D33" s="15">
        <f>IF(A33="",0,N(IFERROR(VLOOKUP(A33,İstasyonlar!$A$6:$H$35,8,FALSE),0)))</f>
        <v/>
      </c>
      <c r="E33" s="12">
        <f>IF(A33="","",(N(B33)/$B$6+N(C33))/60*D33)</f>
        <v/>
      </c>
    </row>
    <row r="34">
      <c r="A34" s="6" t="n"/>
      <c r="B34" s="7" t="n"/>
      <c r="C34" s="14" t="n"/>
      <c r="D34" s="15">
        <f>IF(A34="",0,N(IFERROR(VLOOKUP(A34,İstasyonlar!$A$6:$H$35,8,FALSE),0)))</f>
        <v/>
      </c>
      <c r="E34" s="12">
        <f>IF(A34="","",(N(B34)/$B$6+N(C34))/60*D34)</f>
        <v/>
      </c>
    </row>
    <row r="35">
      <c r="A35" s="6" t="n"/>
      <c r="B35" s="7" t="n"/>
      <c r="C35" s="14" t="n"/>
      <c r="D35" s="15">
        <f>IF(A35="",0,N(IFERROR(VLOOKUP(A35,İstasyonlar!$A$6:$H$35,8,FALSE),0)))</f>
        <v/>
      </c>
      <c r="E35" s="12">
        <f>IF(A35="","",(N(B35)/$B$6+N(C35))/60*D35)</f>
        <v/>
      </c>
    </row>
    <row r="36">
      <c r="A36" s="6" t="n"/>
      <c r="B36" s="7" t="n"/>
      <c r="C36" s="14" t="n"/>
      <c r="D36" s="15">
        <f>IF(A36="",0,N(IFERROR(VLOOKUP(A36,İstasyonlar!$A$6:$H$35,8,FALSE),0)))</f>
        <v/>
      </c>
      <c r="E36" s="12">
        <f>IF(A36="","",(N(B36)/$B$6+N(C36))/60*D36)</f>
        <v/>
      </c>
    </row>
    <row r="37">
      <c r="A37" s="6" t="n"/>
      <c r="B37" s="7" t="n"/>
      <c r="C37" s="14" t="n"/>
      <c r="D37" s="15">
        <f>IF(A37="",0,N(IFERROR(VLOOKUP(A37,İstasyonlar!$A$6:$H$35,8,FALSE),0)))</f>
        <v/>
      </c>
      <c r="E37" s="12">
        <f>IF(A37="","",(N(B37)/$B$6+N(C37))/60*D37)</f>
        <v/>
      </c>
    </row>
    <row r="38">
      <c r="A38" s="5" t="inlineStr">
        <is>
          <t>İşçilik ve makine toplamı</t>
        </is>
      </c>
      <c r="E38" s="13">
        <f>SUM(E28:E37)</f>
        <v/>
      </c>
    </row>
    <row r="40">
      <c r="A40" t="inlineStr">
        <is>
          <t>Genel üretim gideri payı (malzeme + istasyon üzerine)</t>
        </is>
      </c>
      <c r="C40" s="11" t="n">
        <v>0.08</v>
      </c>
    </row>
    <row r="42">
      <c r="A42" s="16" t="inlineStr">
        <is>
          <t>Malzeme</t>
        </is>
      </c>
      <c r="E42" s="12">
        <f>E25</f>
        <v/>
      </c>
    </row>
    <row r="43">
      <c r="A43" s="16" t="inlineStr">
        <is>
          <t>İşçilik ve makine</t>
        </is>
      </c>
      <c r="E43" s="12">
        <f>E38</f>
        <v/>
      </c>
    </row>
    <row r="44">
      <c r="A44" s="16" t="inlineStr">
        <is>
          <t>Genel üretim gideri</t>
        </is>
      </c>
      <c r="E44" s="12">
        <f>(E25+E38)*C40</f>
        <v/>
      </c>
    </row>
    <row r="45">
      <c r="A45" s="5" t="inlineStr">
        <is>
          <t>Birim maliyet</t>
        </is>
      </c>
      <c r="E45" s="17">
        <f>E42+E43+E44</f>
        <v/>
      </c>
    </row>
    <row r="46">
      <c r="A46" s="16" t="inlineStr">
        <is>
          <t>Satış fiyatı</t>
        </is>
      </c>
      <c r="E46" s="12">
        <f>B7</f>
        <v/>
      </c>
    </row>
    <row r="47">
      <c r="A47" s="16" t="inlineStr">
        <is>
          <t>Birim brüt kâr</t>
        </is>
      </c>
      <c r="E47" s="12">
        <f>E46-E45</f>
        <v/>
      </c>
    </row>
    <row r="48">
      <c r="A48" s="5" t="inlineStr">
        <is>
          <t>Brüt kâr marjı</t>
        </is>
      </c>
      <c r="E48" s="18">
        <f>IF(E46=0,"",E47/E46)</f>
        <v/>
      </c>
    </row>
    <row r="50">
      <c r="A50" s="5" t="inlineStr">
        <is>
          <t>Parti büyüklüğünün birim maliyete etkisi</t>
        </is>
      </c>
    </row>
    <row r="51" ht="32" customHeight="1">
      <c r="A51" s="9" t="inlineStr">
        <is>
          <t>Parti büyüklüğü</t>
        </is>
      </c>
      <c r="B51" s="9" t="inlineStr">
        <is>
          <t>Birim maliyet</t>
        </is>
      </c>
      <c r="C51" s="9" t="inlineStr">
        <is>
          <t>Kâr marjı</t>
        </is>
      </c>
      <c r="D51" s="9" t="inlineStr"/>
      <c r="E51" s="9" t="inlineStr"/>
      <c r="F51" s="9" t="inlineStr"/>
    </row>
    <row r="52">
      <c r="A52" s="7" t="n">
        <v>1</v>
      </c>
      <c r="B52" s="12">
        <f>(E25+SUMPRODUCT((B28:B37/A52+C28:C37)/60*D28:D37))*(1+C40)</f>
        <v/>
      </c>
      <c r="C52" s="19">
        <f>IF($B$7=0,"",($B$7-B52)/$B$7)</f>
        <v/>
      </c>
    </row>
    <row r="53">
      <c r="A53" s="7" t="n">
        <v>10</v>
      </c>
      <c r="B53" s="12">
        <f>(E25+SUMPRODUCT((B28:B37/A53+C28:C37)/60*D28:D37))*(1+C40)</f>
        <v/>
      </c>
      <c r="C53" s="19">
        <f>IF($B$7=0,"",($B$7-B53)/$B$7)</f>
        <v/>
      </c>
    </row>
    <row r="54">
      <c r="A54" s="7" t="n">
        <v>50</v>
      </c>
      <c r="B54" s="12">
        <f>(E25+SUMPRODUCT((B28:B37/A54+C28:C37)/60*D28:D37))*(1+C40)</f>
        <v/>
      </c>
      <c r="C54" s="19">
        <f>IF($B$7=0,"",($B$7-B54)/$B$7)</f>
        <v/>
      </c>
    </row>
    <row r="55">
      <c r="A55" s="7" t="n">
        <v>100</v>
      </c>
      <c r="B55" s="12">
        <f>(E25+SUMPRODUCT((B28:B37/A55+C28:C37)/60*D28:D37))*(1+C40)</f>
        <v/>
      </c>
      <c r="C55" s="19">
        <f>IF($B$7=0,"",($B$7-B55)/$B$7)</f>
        <v/>
      </c>
    </row>
    <row r="56">
      <c r="A56" s="7" t="n">
        <v>500</v>
      </c>
      <c r="B56" s="12">
        <f>(E25+SUMPRODUCT((B28:B37/A56+C28:C37)/60*D28:D37))*(1+C40)</f>
        <v/>
      </c>
      <c r="C56" s="19">
        <f>IF($B$7=0,"",($B$7-B56)/$B$7)</f>
        <v/>
      </c>
    </row>
  </sheetData>
  <conditionalFormatting sqref="E47:E48">
    <cfRule type="expression" priority="1" dxfId="0">
      <formula>N(E47)&lt;0</formula>
    </cfRule>
  </conditionalFormatting>
  <dataValidations count="2">
    <dataValidation sqref="A10 A11 A12 A13 A14 A15 A16 A17 A18 A19 A20 A21 A22 A23 A24" showDropDown="0" showInputMessage="0" showErrorMessage="0" allowBlank="1" type="list">
      <formula1>=Malzemeler!$A$6:$A$205</formula1>
    </dataValidation>
    <dataValidation sqref="A28 A29 A30 A31 A32 A33 A34 A35 A36 A37" showDropDown="0" showInputMessage="0" showErrorMessage="0" allowBlank="1" type="list">
      <formula1>=İstasyonlar!$A$6:$A$35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5" customWidth="1" min="8" max="8"/>
  </cols>
  <sheetData>
    <row r="1">
      <c r="A1" s="1" t="inlineStr">
        <is>
          <t>NİRENGİ DANIŞMANLIK</t>
        </is>
      </c>
      <c r="H1" s="2" t="inlineStr">
        <is>
          <t>emreceran.github.io/nirengi-danismanlik</t>
        </is>
      </c>
    </row>
    <row r="2">
      <c r="A2" s="3" t="inlineStr">
        <is>
          <t>Maliyet merkezleri (istasyonlar)</t>
        </is>
      </c>
    </row>
    <row r="3">
      <c r="A3" s="4" t="inlineStr">
        <is>
          <t>Her istasyonun aylık giderini ve çalışma saatini girin; saat maliyeti hesaplanır.</t>
        </is>
      </c>
    </row>
    <row r="5" ht="32" customHeight="1">
      <c r="A5" s="9" t="inlineStr">
        <is>
          <t>İstasyon / makine</t>
        </is>
      </c>
      <c r="B5" s="9" t="inlineStr">
        <is>
          <t>Aylık işçilik gideri</t>
        </is>
      </c>
      <c r="C5" s="9" t="inlineStr">
        <is>
          <t>Aylık amortisman</t>
        </is>
      </c>
      <c r="D5" s="9" t="inlineStr">
        <is>
          <t>Aylık enerji</t>
        </is>
      </c>
      <c r="E5" s="9" t="inlineStr">
        <is>
          <t>Aylık bakım ve diğer</t>
        </is>
      </c>
      <c r="F5" s="9" t="inlineStr">
        <is>
          <t>Toplam aylık gider</t>
        </is>
      </c>
      <c r="G5" s="9" t="inlineStr">
        <is>
          <t>Aylık fiili çalışma saati</t>
        </is>
      </c>
      <c r="H5" s="9" t="inlineStr">
        <is>
          <t>Saat maliyeti</t>
        </is>
      </c>
    </row>
    <row r="6">
      <c r="A6" s="6" t="inlineStr">
        <is>
          <t>Kesim</t>
        </is>
      </c>
      <c r="B6" s="20" t="n">
        <v>96000</v>
      </c>
      <c r="C6" s="20" t="n">
        <v>18000</v>
      </c>
      <c r="D6" s="20" t="n">
        <v>9000</v>
      </c>
      <c r="E6" s="20" t="n">
        <v>4000</v>
      </c>
      <c r="F6" s="21">
        <f>IF(A6="","",SUM(B6:E6))</f>
        <v/>
      </c>
      <c r="G6" s="20" t="n">
        <v>176</v>
      </c>
      <c r="H6" s="22">
        <f>IF(OR(A6="",N(G6)=0),"",F6/G6)</f>
        <v/>
      </c>
    </row>
    <row r="7">
      <c r="A7" s="6" t="inlineStr">
        <is>
          <t>Kaynak</t>
        </is>
      </c>
      <c r="B7" s="20" t="n">
        <v>150000</v>
      </c>
      <c r="C7" s="20" t="n">
        <v>12000</v>
      </c>
      <c r="D7" s="20" t="n">
        <v>14000</v>
      </c>
      <c r="E7" s="20" t="n">
        <v>6000</v>
      </c>
      <c r="F7" s="21">
        <f>IF(A7="","",SUM(B7:E7))</f>
        <v/>
      </c>
      <c r="G7" s="20" t="n">
        <v>176</v>
      </c>
      <c r="H7" s="22">
        <f>IF(OR(A7="",N(G7)=0),"",F7/G7)</f>
        <v/>
      </c>
    </row>
    <row r="8">
      <c r="A8" s="6" t="inlineStr">
        <is>
          <t>Boya</t>
        </is>
      </c>
      <c r="B8" s="20" t="n">
        <v>88000</v>
      </c>
      <c r="C8" s="20" t="n">
        <v>25000</v>
      </c>
      <c r="D8" s="20" t="n">
        <v>22000</v>
      </c>
      <c r="E8" s="20" t="n">
        <v>8000</v>
      </c>
      <c r="F8" s="21">
        <f>IF(A8="","",SUM(B8:E8))</f>
        <v/>
      </c>
      <c r="G8" s="20" t="n">
        <v>150</v>
      </c>
      <c r="H8" s="22">
        <f>IF(OR(A8="",N(G8)=0),"",F8/G8)</f>
        <v/>
      </c>
    </row>
    <row r="9">
      <c r="A9" s="6" t="inlineStr">
        <is>
          <t>Montaj</t>
        </is>
      </c>
      <c r="B9" s="20" t="n">
        <v>120000</v>
      </c>
      <c r="C9" s="20" t="n">
        <v>4000</v>
      </c>
      <c r="D9" s="20" t="n">
        <v>2000</v>
      </c>
      <c r="E9" s="20" t="n">
        <v>2000</v>
      </c>
      <c r="F9" s="21">
        <f>IF(A9="","",SUM(B9:E9))</f>
        <v/>
      </c>
      <c r="G9" s="20" t="n">
        <v>176</v>
      </c>
      <c r="H9" s="22">
        <f>IF(OR(A9="",N(G9)=0),"",F9/G9)</f>
        <v/>
      </c>
    </row>
    <row r="10">
      <c r="A10" s="6" t="inlineStr">
        <is>
          <t>Paketleme</t>
        </is>
      </c>
      <c r="B10" s="20" t="n">
        <v>60000</v>
      </c>
      <c r="C10" s="20" t="n">
        <v>2000</v>
      </c>
      <c r="D10" s="20" t="n">
        <v>1000</v>
      </c>
      <c r="E10" s="20" t="n">
        <v>1000</v>
      </c>
      <c r="F10" s="21">
        <f>IF(A10="","",SUM(B10:E10))</f>
        <v/>
      </c>
      <c r="G10" s="20" t="n">
        <v>176</v>
      </c>
      <c r="H10" s="22">
        <f>IF(OR(A10="",N(G10)=0),"",F10/G10)</f>
        <v/>
      </c>
    </row>
    <row r="11">
      <c r="A11" s="6" t="n"/>
      <c r="B11" s="20" t="n"/>
      <c r="C11" s="20" t="n"/>
      <c r="D11" s="20" t="n"/>
      <c r="E11" s="20" t="n"/>
      <c r="F11" s="21">
        <f>IF(A11="","",SUM(B11:E11))</f>
        <v/>
      </c>
      <c r="G11" s="20" t="n"/>
      <c r="H11" s="22">
        <f>IF(OR(A11="",N(G11)=0),"",F11/G11)</f>
        <v/>
      </c>
    </row>
    <row r="12">
      <c r="A12" s="6" t="n"/>
      <c r="B12" s="20" t="n"/>
      <c r="C12" s="20" t="n"/>
      <c r="D12" s="20" t="n"/>
      <c r="E12" s="20" t="n"/>
      <c r="F12" s="21">
        <f>IF(A12="","",SUM(B12:E12))</f>
        <v/>
      </c>
      <c r="G12" s="20" t="n"/>
      <c r="H12" s="22">
        <f>IF(OR(A12="",N(G12)=0),"",F12/G12)</f>
        <v/>
      </c>
    </row>
    <row r="13">
      <c r="A13" s="6" t="n"/>
      <c r="B13" s="20" t="n"/>
      <c r="C13" s="20" t="n"/>
      <c r="D13" s="20" t="n"/>
      <c r="E13" s="20" t="n"/>
      <c r="F13" s="21">
        <f>IF(A13="","",SUM(B13:E13))</f>
        <v/>
      </c>
      <c r="G13" s="20" t="n"/>
      <c r="H13" s="22">
        <f>IF(OR(A13="",N(G13)=0),"",F13/G13)</f>
        <v/>
      </c>
    </row>
    <row r="14">
      <c r="A14" s="6" t="n"/>
      <c r="B14" s="20" t="n"/>
      <c r="C14" s="20" t="n"/>
      <c r="D14" s="20" t="n"/>
      <c r="E14" s="20" t="n"/>
      <c r="F14" s="21">
        <f>IF(A14="","",SUM(B14:E14))</f>
        <v/>
      </c>
      <c r="G14" s="20" t="n"/>
      <c r="H14" s="22">
        <f>IF(OR(A14="",N(G14)=0),"",F14/G14)</f>
        <v/>
      </c>
    </row>
    <row r="15">
      <c r="A15" s="6" t="n"/>
      <c r="B15" s="20" t="n"/>
      <c r="C15" s="20" t="n"/>
      <c r="D15" s="20" t="n"/>
      <c r="E15" s="20" t="n"/>
      <c r="F15" s="21">
        <f>IF(A15="","",SUM(B15:E15))</f>
        <v/>
      </c>
      <c r="G15" s="20" t="n"/>
      <c r="H15" s="22">
        <f>IF(OR(A15="",N(G15)=0),"",F15/G15)</f>
        <v/>
      </c>
    </row>
    <row r="16">
      <c r="A16" s="6" t="n"/>
      <c r="B16" s="20" t="n"/>
      <c r="C16" s="20" t="n"/>
      <c r="D16" s="20" t="n"/>
      <c r="E16" s="20" t="n"/>
      <c r="F16" s="21">
        <f>IF(A16="","",SUM(B16:E16))</f>
        <v/>
      </c>
      <c r="G16" s="20" t="n"/>
      <c r="H16" s="22">
        <f>IF(OR(A16="",N(G16)=0),"",F16/G16)</f>
        <v/>
      </c>
    </row>
    <row r="17">
      <c r="A17" s="6" t="n"/>
      <c r="B17" s="20" t="n"/>
      <c r="C17" s="20" t="n"/>
      <c r="D17" s="20" t="n"/>
      <c r="E17" s="20" t="n"/>
      <c r="F17" s="21">
        <f>IF(A17="","",SUM(B17:E17))</f>
        <v/>
      </c>
      <c r="G17" s="20" t="n"/>
      <c r="H17" s="22">
        <f>IF(OR(A17="",N(G17)=0),"",F17/G17)</f>
        <v/>
      </c>
    </row>
    <row r="18">
      <c r="A18" s="6" t="n"/>
      <c r="B18" s="20" t="n"/>
      <c r="C18" s="20" t="n"/>
      <c r="D18" s="20" t="n"/>
      <c r="E18" s="20" t="n"/>
      <c r="F18" s="21">
        <f>IF(A18="","",SUM(B18:E18))</f>
        <v/>
      </c>
      <c r="G18" s="20" t="n"/>
      <c r="H18" s="22">
        <f>IF(OR(A18="",N(G18)=0),"",F18/G18)</f>
        <v/>
      </c>
    </row>
    <row r="19">
      <c r="A19" s="6" t="n"/>
      <c r="B19" s="20" t="n"/>
      <c r="C19" s="20" t="n"/>
      <c r="D19" s="20" t="n"/>
      <c r="E19" s="20" t="n"/>
      <c r="F19" s="21">
        <f>IF(A19="","",SUM(B19:E19))</f>
        <v/>
      </c>
      <c r="G19" s="20" t="n"/>
      <c r="H19" s="22">
        <f>IF(OR(A19="",N(G19)=0),"",F19/G19)</f>
        <v/>
      </c>
    </row>
    <row r="20">
      <c r="A20" s="6" t="n"/>
      <c r="B20" s="20" t="n"/>
      <c r="C20" s="20" t="n"/>
      <c r="D20" s="20" t="n"/>
      <c r="E20" s="20" t="n"/>
      <c r="F20" s="21">
        <f>IF(A20="","",SUM(B20:E20))</f>
        <v/>
      </c>
      <c r="G20" s="20" t="n"/>
      <c r="H20" s="22">
        <f>IF(OR(A20="",N(G20)=0),"",F20/G20)</f>
        <v/>
      </c>
    </row>
    <row r="21">
      <c r="A21" s="6" t="n"/>
      <c r="B21" s="20" t="n"/>
      <c r="C21" s="20" t="n"/>
      <c r="D21" s="20" t="n"/>
      <c r="E21" s="20" t="n"/>
      <c r="F21" s="21">
        <f>IF(A21="","",SUM(B21:E21))</f>
        <v/>
      </c>
      <c r="G21" s="20" t="n"/>
      <c r="H21" s="22">
        <f>IF(OR(A21="",N(G21)=0),"",F21/G21)</f>
        <v/>
      </c>
    </row>
    <row r="22">
      <c r="A22" s="6" t="n"/>
      <c r="B22" s="20" t="n"/>
      <c r="C22" s="20" t="n"/>
      <c r="D22" s="20" t="n"/>
      <c r="E22" s="20" t="n"/>
      <c r="F22" s="21">
        <f>IF(A22="","",SUM(B22:E22))</f>
        <v/>
      </c>
      <c r="G22" s="20" t="n"/>
      <c r="H22" s="22">
        <f>IF(OR(A22="",N(G22)=0),"",F22/G22)</f>
        <v/>
      </c>
    </row>
    <row r="23">
      <c r="A23" s="6" t="n"/>
      <c r="B23" s="20" t="n"/>
      <c r="C23" s="20" t="n"/>
      <c r="D23" s="20" t="n"/>
      <c r="E23" s="20" t="n"/>
      <c r="F23" s="21">
        <f>IF(A23="","",SUM(B23:E23))</f>
        <v/>
      </c>
      <c r="G23" s="20" t="n"/>
      <c r="H23" s="22">
        <f>IF(OR(A23="",N(G23)=0),"",F23/G23)</f>
        <v/>
      </c>
    </row>
    <row r="24">
      <c r="A24" s="6" t="n"/>
      <c r="B24" s="20" t="n"/>
      <c r="C24" s="20" t="n"/>
      <c r="D24" s="20" t="n"/>
      <c r="E24" s="20" t="n"/>
      <c r="F24" s="21">
        <f>IF(A24="","",SUM(B24:E24))</f>
        <v/>
      </c>
      <c r="G24" s="20" t="n"/>
      <c r="H24" s="22">
        <f>IF(OR(A24="",N(G24)=0),"",F24/G24)</f>
        <v/>
      </c>
    </row>
    <row r="25">
      <c r="A25" s="6" t="n"/>
      <c r="B25" s="20" t="n"/>
      <c r="C25" s="20" t="n"/>
      <c r="D25" s="20" t="n"/>
      <c r="E25" s="20" t="n"/>
      <c r="F25" s="21">
        <f>IF(A25="","",SUM(B25:E25))</f>
        <v/>
      </c>
      <c r="G25" s="20" t="n"/>
      <c r="H25" s="22">
        <f>IF(OR(A25="",N(G25)=0),"",F25/G25)</f>
        <v/>
      </c>
    </row>
    <row r="26">
      <c r="A26" s="6" t="n"/>
      <c r="B26" s="20" t="n"/>
      <c r="C26" s="20" t="n"/>
      <c r="D26" s="20" t="n"/>
      <c r="E26" s="20" t="n"/>
      <c r="F26" s="21">
        <f>IF(A26="","",SUM(B26:E26))</f>
        <v/>
      </c>
      <c r="G26" s="20" t="n"/>
      <c r="H26" s="22">
        <f>IF(OR(A26="",N(G26)=0),"",F26/G26)</f>
        <v/>
      </c>
    </row>
    <row r="27">
      <c r="A27" s="6" t="n"/>
      <c r="B27" s="20" t="n"/>
      <c r="C27" s="20" t="n"/>
      <c r="D27" s="20" t="n"/>
      <c r="E27" s="20" t="n"/>
      <c r="F27" s="21">
        <f>IF(A27="","",SUM(B27:E27))</f>
        <v/>
      </c>
      <c r="G27" s="20" t="n"/>
      <c r="H27" s="22">
        <f>IF(OR(A27="",N(G27)=0),"",F27/G27)</f>
        <v/>
      </c>
    </row>
    <row r="28">
      <c r="A28" s="6" t="n"/>
      <c r="B28" s="20" t="n"/>
      <c r="C28" s="20" t="n"/>
      <c r="D28" s="20" t="n"/>
      <c r="E28" s="20" t="n"/>
      <c r="F28" s="21">
        <f>IF(A28="","",SUM(B28:E28))</f>
        <v/>
      </c>
      <c r="G28" s="20" t="n"/>
      <c r="H28" s="22">
        <f>IF(OR(A28="",N(G28)=0),"",F28/G28)</f>
        <v/>
      </c>
    </row>
    <row r="29">
      <c r="A29" s="6" t="n"/>
      <c r="B29" s="20" t="n"/>
      <c r="C29" s="20" t="n"/>
      <c r="D29" s="20" t="n"/>
      <c r="E29" s="20" t="n"/>
      <c r="F29" s="21">
        <f>IF(A29="","",SUM(B29:E29))</f>
        <v/>
      </c>
      <c r="G29" s="20" t="n"/>
      <c r="H29" s="22">
        <f>IF(OR(A29="",N(G29)=0),"",F29/G29)</f>
        <v/>
      </c>
    </row>
    <row r="30">
      <c r="A30" s="6" t="n"/>
      <c r="B30" s="20" t="n"/>
      <c r="C30" s="20" t="n"/>
      <c r="D30" s="20" t="n"/>
      <c r="E30" s="20" t="n"/>
      <c r="F30" s="21">
        <f>IF(A30="","",SUM(B30:E30))</f>
        <v/>
      </c>
      <c r="G30" s="20" t="n"/>
      <c r="H30" s="22">
        <f>IF(OR(A30="",N(G30)=0),"",F30/G30)</f>
        <v/>
      </c>
    </row>
    <row r="31">
      <c r="A31" s="6" t="n"/>
      <c r="B31" s="20" t="n"/>
      <c r="C31" s="20" t="n"/>
      <c r="D31" s="20" t="n"/>
      <c r="E31" s="20" t="n"/>
      <c r="F31" s="21">
        <f>IF(A31="","",SUM(B31:E31))</f>
        <v/>
      </c>
      <c r="G31" s="20" t="n"/>
      <c r="H31" s="22">
        <f>IF(OR(A31="",N(G31)=0),"",F31/G31)</f>
        <v/>
      </c>
    </row>
    <row r="32">
      <c r="A32" s="6" t="n"/>
      <c r="B32" s="20" t="n"/>
      <c r="C32" s="20" t="n"/>
      <c r="D32" s="20" t="n"/>
      <c r="E32" s="20" t="n"/>
      <c r="F32" s="21">
        <f>IF(A32="","",SUM(B32:E32))</f>
        <v/>
      </c>
      <c r="G32" s="20" t="n"/>
      <c r="H32" s="22">
        <f>IF(OR(A32="",N(G32)=0),"",F32/G32)</f>
        <v/>
      </c>
    </row>
    <row r="33">
      <c r="A33" s="6" t="n"/>
      <c r="B33" s="20" t="n"/>
      <c r="C33" s="20" t="n"/>
      <c r="D33" s="20" t="n"/>
      <c r="E33" s="20" t="n"/>
      <c r="F33" s="21">
        <f>IF(A33="","",SUM(B33:E33))</f>
        <v/>
      </c>
      <c r="G33" s="20" t="n"/>
      <c r="H33" s="22">
        <f>IF(OR(A33="",N(G33)=0),"",F33/G33)</f>
        <v/>
      </c>
    </row>
    <row r="34">
      <c r="A34" s="6" t="n"/>
      <c r="B34" s="20" t="n"/>
      <c r="C34" s="20" t="n"/>
      <c r="D34" s="20" t="n"/>
      <c r="E34" s="20" t="n"/>
      <c r="F34" s="21">
        <f>IF(A34="","",SUM(B34:E34))</f>
        <v/>
      </c>
      <c r="G34" s="20" t="n"/>
      <c r="H34" s="22">
        <f>IF(OR(A34="",N(G34)=0),"",F34/G34)</f>
        <v/>
      </c>
    </row>
    <row r="35">
      <c r="A35" s="6" t="n"/>
      <c r="B35" s="20" t="n"/>
      <c r="C35" s="20" t="n"/>
      <c r="D35" s="20" t="n"/>
      <c r="E35" s="20" t="n"/>
      <c r="F35" s="21">
        <f>IF(A35="","",SUM(B35:E35))</f>
        <v/>
      </c>
      <c r="G35" s="20" t="n"/>
      <c r="H35" s="22">
        <f>IF(OR(A35="",N(G35)=0),"",F35/G35)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</cols>
  <sheetData>
    <row r="1">
      <c r="A1" s="1" t="inlineStr">
        <is>
          <t>NİRENGİ DANIŞMANLIK</t>
        </is>
      </c>
      <c r="C1" s="2" t="inlineStr">
        <is>
          <t>emreceran.github.io/nirengi-danismanlik</t>
        </is>
      </c>
    </row>
    <row r="2">
      <c r="A2" s="3" t="inlineStr">
        <is>
          <t>Malzeme fiyat listesi</t>
        </is>
      </c>
    </row>
    <row r="3">
      <c r="A3" s="4" t="inlineStr">
        <is>
          <t>Güncel alış fiyatlarını (KDV hariç) girin.</t>
        </is>
      </c>
    </row>
    <row r="5" ht="32" customHeight="1">
      <c r="A5" s="9" t="inlineStr">
        <is>
          <t>Malzeme</t>
        </is>
      </c>
      <c r="B5" s="9" t="inlineStr">
        <is>
          <t>Birim</t>
        </is>
      </c>
      <c r="C5" s="9" t="inlineStr">
        <is>
          <t>Birim fiyat</t>
        </is>
      </c>
    </row>
    <row r="6">
      <c r="A6" s="6" t="inlineStr">
        <is>
          <t>Kutu profil 40x40x2</t>
        </is>
      </c>
      <c r="B6" s="6" t="inlineStr">
        <is>
          <t>KG</t>
        </is>
      </c>
      <c r="C6" s="8" t="n">
        <v>45.9</v>
      </c>
    </row>
    <row r="7">
      <c r="A7" s="6" t="inlineStr">
        <is>
          <t>Sac 1,5 mm DKP</t>
        </is>
      </c>
      <c r="B7" s="6" t="inlineStr">
        <is>
          <t>KG</t>
        </is>
      </c>
      <c r="C7" s="8" t="n">
        <v>38.2</v>
      </c>
    </row>
    <row r="8">
      <c r="A8" s="6" t="inlineStr">
        <is>
          <t>Kaynak teli SG2 1,2 mm</t>
        </is>
      </c>
      <c r="B8" s="6" t="inlineStr">
        <is>
          <t>KG</t>
        </is>
      </c>
      <c r="C8" s="8" t="n">
        <v>112.5</v>
      </c>
    </row>
    <row r="9">
      <c r="A9" s="6" t="inlineStr">
        <is>
          <t>Elektrostatik toz boya</t>
        </is>
      </c>
      <c r="B9" s="6" t="inlineStr">
        <is>
          <t>KG</t>
        </is>
      </c>
      <c r="C9" s="8" t="n">
        <v>210</v>
      </c>
    </row>
    <row r="10">
      <c r="A10" s="6" t="inlineStr">
        <is>
          <t>Ayak pabucu</t>
        </is>
      </c>
      <c r="B10" s="6" t="inlineStr">
        <is>
          <t>ADET</t>
        </is>
      </c>
      <c r="C10" s="8" t="n">
        <v>6.5</v>
      </c>
    </row>
    <row r="11">
      <c r="A11" s="6" t="inlineStr">
        <is>
          <t>Cıvata-somun seti</t>
        </is>
      </c>
      <c r="B11" s="6" t="inlineStr">
        <is>
          <t>SET</t>
        </is>
      </c>
      <c r="C11" s="8" t="n">
        <v>14</v>
      </c>
    </row>
    <row r="12">
      <c r="A12" s="6" t="inlineStr">
        <is>
          <t>Kraft koli 60x40x40</t>
        </is>
      </c>
      <c r="B12" s="6" t="inlineStr">
        <is>
          <t>ADET</t>
        </is>
      </c>
      <c r="C12" s="8" t="n">
        <v>27.9</v>
      </c>
    </row>
    <row r="13">
      <c r="A13" s="6" t="n"/>
      <c r="B13" s="6" t="n"/>
      <c r="C13" s="8" t="n"/>
    </row>
    <row r="14">
      <c r="A14" s="6" t="n"/>
      <c r="B14" s="6" t="n"/>
      <c r="C14" s="8" t="n"/>
    </row>
    <row r="15">
      <c r="A15" s="6" t="n"/>
      <c r="B15" s="6" t="n"/>
      <c r="C15" s="8" t="n"/>
    </row>
    <row r="16">
      <c r="A16" s="6" t="n"/>
      <c r="B16" s="6" t="n"/>
      <c r="C16" s="8" t="n"/>
    </row>
    <row r="17">
      <c r="A17" s="6" t="n"/>
      <c r="B17" s="6" t="n"/>
      <c r="C17" s="8" t="n"/>
    </row>
    <row r="18">
      <c r="A18" s="6" t="n"/>
      <c r="B18" s="6" t="n"/>
      <c r="C18" s="8" t="n"/>
    </row>
    <row r="19">
      <c r="A19" s="6" t="n"/>
      <c r="B19" s="6" t="n"/>
      <c r="C19" s="8" t="n"/>
    </row>
    <row r="20">
      <c r="A20" s="6" t="n"/>
      <c r="B20" s="6" t="n"/>
      <c r="C20" s="8" t="n"/>
    </row>
    <row r="21">
      <c r="A21" s="6" t="n"/>
      <c r="B21" s="6" t="n"/>
      <c r="C21" s="8" t="n"/>
    </row>
    <row r="22">
      <c r="A22" s="6" t="n"/>
      <c r="B22" s="6" t="n"/>
      <c r="C22" s="8" t="n"/>
    </row>
    <row r="23">
      <c r="A23" s="6" t="n"/>
      <c r="B23" s="6" t="n"/>
      <c r="C23" s="8" t="n"/>
    </row>
    <row r="24">
      <c r="A24" s="6" t="n"/>
      <c r="B24" s="6" t="n"/>
      <c r="C24" s="8" t="n"/>
    </row>
    <row r="25">
      <c r="A25" s="6" t="n"/>
      <c r="B25" s="6" t="n"/>
      <c r="C25" s="8" t="n"/>
    </row>
    <row r="26">
      <c r="A26" s="6" t="n"/>
      <c r="B26" s="6" t="n"/>
      <c r="C26" s="8" t="n"/>
    </row>
    <row r="27">
      <c r="A27" s="6" t="n"/>
      <c r="B27" s="6" t="n"/>
      <c r="C27" s="8" t="n"/>
    </row>
    <row r="28">
      <c r="A28" s="6" t="n"/>
      <c r="B28" s="6" t="n"/>
      <c r="C28" s="8" t="n"/>
    </row>
    <row r="29">
      <c r="A29" s="6" t="n"/>
      <c r="B29" s="6" t="n"/>
      <c r="C29" s="8" t="n"/>
    </row>
    <row r="30">
      <c r="A30" s="6" t="n"/>
      <c r="B30" s="6" t="n"/>
      <c r="C30" s="8" t="n"/>
    </row>
    <row r="31">
      <c r="A31" s="6" t="n"/>
      <c r="B31" s="6" t="n"/>
      <c r="C31" s="8" t="n"/>
    </row>
    <row r="32">
      <c r="A32" s="6" t="n"/>
      <c r="B32" s="6" t="n"/>
      <c r="C32" s="8" t="n"/>
    </row>
    <row r="33">
      <c r="A33" s="6" t="n"/>
      <c r="B33" s="6" t="n"/>
      <c r="C33" s="8" t="n"/>
    </row>
    <row r="34">
      <c r="A34" s="6" t="n"/>
      <c r="B34" s="6" t="n"/>
      <c r="C34" s="8" t="n"/>
    </row>
    <row r="35">
      <c r="A35" s="6" t="n"/>
      <c r="B35" s="6" t="n"/>
      <c r="C35" s="8" t="n"/>
    </row>
    <row r="36">
      <c r="A36" s="6" t="n"/>
      <c r="B36" s="6" t="n"/>
      <c r="C36" s="8" t="n"/>
    </row>
    <row r="37">
      <c r="A37" s="6" t="n"/>
      <c r="B37" s="6" t="n"/>
      <c r="C37" s="8" t="n"/>
    </row>
    <row r="38">
      <c r="A38" s="6" t="n"/>
      <c r="B38" s="6" t="n"/>
      <c r="C38" s="8" t="n"/>
    </row>
    <row r="39">
      <c r="A39" s="6" t="n"/>
      <c r="B39" s="6" t="n"/>
      <c r="C39" s="8" t="n"/>
    </row>
    <row r="40">
      <c r="A40" s="6" t="n"/>
      <c r="B40" s="6" t="n"/>
      <c r="C40" s="8" t="n"/>
    </row>
    <row r="41">
      <c r="A41" s="6" t="n"/>
      <c r="B41" s="6" t="n"/>
      <c r="C41" s="8" t="n"/>
    </row>
    <row r="42">
      <c r="A42" s="6" t="n"/>
      <c r="B42" s="6" t="n"/>
      <c r="C42" s="8" t="n"/>
    </row>
    <row r="43">
      <c r="A43" s="6" t="n"/>
      <c r="B43" s="6" t="n"/>
      <c r="C43" s="8" t="n"/>
    </row>
    <row r="44">
      <c r="A44" s="6" t="n"/>
      <c r="B44" s="6" t="n"/>
      <c r="C44" s="8" t="n"/>
    </row>
    <row r="45">
      <c r="A45" s="6" t="n"/>
      <c r="B45" s="6" t="n"/>
      <c r="C45" s="8" t="n"/>
    </row>
    <row r="46">
      <c r="A46" s="6" t="n"/>
      <c r="B46" s="6" t="n"/>
      <c r="C46" s="8" t="n"/>
    </row>
    <row r="47">
      <c r="A47" s="6" t="n"/>
      <c r="B47" s="6" t="n"/>
      <c r="C47" s="8" t="n"/>
    </row>
    <row r="48">
      <c r="A48" s="6" t="n"/>
      <c r="B48" s="6" t="n"/>
      <c r="C48" s="8" t="n"/>
    </row>
    <row r="49">
      <c r="A49" s="6" t="n"/>
      <c r="B49" s="6" t="n"/>
      <c r="C49" s="8" t="n"/>
    </row>
    <row r="50">
      <c r="A50" s="6" t="n"/>
      <c r="B50" s="6" t="n"/>
      <c r="C50" s="8" t="n"/>
    </row>
    <row r="51">
      <c r="A51" s="6" t="n"/>
      <c r="B51" s="6" t="n"/>
      <c r="C51" s="8" t="n"/>
    </row>
    <row r="52">
      <c r="A52" s="6" t="n"/>
      <c r="B52" s="6" t="n"/>
      <c r="C52" s="8" t="n"/>
    </row>
    <row r="53">
      <c r="A53" s="6" t="n"/>
      <c r="B53" s="6" t="n"/>
      <c r="C53" s="8" t="n"/>
    </row>
    <row r="54">
      <c r="A54" s="6" t="n"/>
      <c r="B54" s="6" t="n"/>
      <c r="C54" s="8" t="n"/>
    </row>
    <row r="55">
      <c r="A55" s="6" t="n"/>
      <c r="B55" s="6" t="n"/>
      <c r="C55" s="8" t="n"/>
    </row>
    <row r="56">
      <c r="A56" s="6" t="n"/>
      <c r="B56" s="6" t="n"/>
      <c r="C56" s="8" t="n"/>
    </row>
    <row r="57">
      <c r="A57" s="6" t="n"/>
      <c r="B57" s="6" t="n"/>
      <c r="C57" s="8" t="n"/>
    </row>
    <row r="58">
      <c r="A58" s="6" t="n"/>
      <c r="B58" s="6" t="n"/>
      <c r="C58" s="8" t="n"/>
    </row>
    <row r="59">
      <c r="A59" s="6" t="n"/>
      <c r="B59" s="6" t="n"/>
      <c r="C59" s="8" t="n"/>
    </row>
    <row r="60">
      <c r="A60" s="6" t="n"/>
      <c r="B60" s="6" t="n"/>
      <c r="C60" s="8" t="n"/>
    </row>
    <row r="61">
      <c r="A61" s="6" t="n"/>
      <c r="B61" s="6" t="n"/>
      <c r="C61" s="8" t="n"/>
    </row>
    <row r="62">
      <c r="A62" s="6" t="n"/>
      <c r="B62" s="6" t="n"/>
      <c r="C62" s="8" t="n"/>
    </row>
    <row r="63">
      <c r="A63" s="6" t="n"/>
      <c r="B63" s="6" t="n"/>
      <c r="C63" s="8" t="n"/>
    </row>
    <row r="64">
      <c r="A64" s="6" t="n"/>
      <c r="B64" s="6" t="n"/>
      <c r="C64" s="8" t="n"/>
    </row>
    <row r="65">
      <c r="A65" s="6" t="n"/>
      <c r="B65" s="6" t="n"/>
      <c r="C65" s="8" t="n"/>
    </row>
    <row r="66">
      <c r="A66" s="6" t="n"/>
      <c r="B66" s="6" t="n"/>
      <c r="C66" s="8" t="n"/>
    </row>
    <row r="67">
      <c r="A67" s="6" t="n"/>
      <c r="B67" s="6" t="n"/>
      <c r="C67" s="8" t="n"/>
    </row>
    <row r="68">
      <c r="A68" s="6" t="n"/>
      <c r="B68" s="6" t="n"/>
      <c r="C68" s="8" t="n"/>
    </row>
    <row r="69">
      <c r="A69" s="6" t="n"/>
      <c r="B69" s="6" t="n"/>
      <c r="C69" s="8" t="n"/>
    </row>
    <row r="70">
      <c r="A70" s="6" t="n"/>
      <c r="B70" s="6" t="n"/>
      <c r="C70" s="8" t="n"/>
    </row>
    <row r="71">
      <c r="A71" s="6" t="n"/>
      <c r="B71" s="6" t="n"/>
      <c r="C71" s="8" t="n"/>
    </row>
    <row r="72">
      <c r="A72" s="6" t="n"/>
      <c r="B72" s="6" t="n"/>
      <c r="C72" s="8" t="n"/>
    </row>
    <row r="73">
      <c r="A73" s="6" t="n"/>
      <c r="B73" s="6" t="n"/>
      <c r="C73" s="8" t="n"/>
    </row>
    <row r="74">
      <c r="A74" s="6" t="n"/>
      <c r="B74" s="6" t="n"/>
      <c r="C74" s="8" t="n"/>
    </row>
    <row r="75">
      <c r="A75" s="6" t="n"/>
      <c r="B75" s="6" t="n"/>
      <c r="C75" s="8" t="n"/>
    </row>
    <row r="76">
      <c r="A76" s="6" t="n"/>
      <c r="B76" s="6" t="n"/>
      <c r="C76" s="8" t="n"/>
    </row>
    <row r="77">
      <c r="A77" s="6" t="n"/>
      <c r="B77" s="6" t="n"/>
      <c r="C77" s="8" t="n"/>
    </row>
    <row r="78">
      <c r="A78" s="6" t="n"/>
      <c r="B78" s="6" t="n"/>
      <c r="C78" s="8" t="n"/>
    </row>
    <row r="79">
      <c r="A79" s="6" t="n"/>
      <c r="B79" s="6" t="n"/>
      <c r="C79" s="8" t="n"/>
    </row>
    <row r="80">
      <c r="A80" s="6" t="n"/>
      <c r="B80" s="6" t="n"/>
      <c r="C80" s="8" t="n"/>
    </row>
    <row r="81">
      <c r="A81" s="6" t="n"/>
      <c r="B81" s="6" t="n"/>
      <c r="C81" s="8" t="n"/>
    </row>
    <row r="82">
      <c r="A82" s="6" t="n"/>
      <c r="B82" s="6" t="n"/>
      <c r="C82" s="8" t="n"/>
    </row>
    <row r="83">
      <c r="A83" s="6" t="n"/>
      <c r="B83" s="6" t="n"/>
      <c r="C83" s="8" t="n"/>
    </row>
    <row r="84">
      <c r="A84" s="6" t="n"/>
      <c r="B84" s="6" t="n"/>
      <c r="C84" s="8" t="n"/>
    </row>
    <row r="85">
      <c r="A85" s="6" t="n"/>
      <c r="B85" s="6" t="n"/>
      <c r="C85" s="8" t="n"/>
    </row>
    <row r="86">
      <c r="A86" s="6" t="n"/>
      <c r="B86" s="6" t="n"/>
      <c r="C86" s="8" t="n"/>
    </row>
    <row r="87">
      <c r="A87" s="6" t="n"/>
      <c r="B87" s="6" t="n"/>
      <c r="C87" s="8" t="n"/>
    </row>
    <row r="88">
      <c r="A88" s="6" t="n"/>
      <c r="B88" s="6" t="n"/>
      <c r="C88" s="8" t="n"/>
    </row>
    <row r="89">
      <c r="A89" s="6" t="n"/>
      <c r="B89" s="6" t="n"/>
      <c r="C89" s="8" t="n"/>
    </row>
    <row r="90">
      <c r="A90" s="6" t="n"/>
      <c r="B90" s="6" t="n"/>
      <c r="C90" s="8" t="n"/>
    </row>
    <row r="91">
      <c r="A91" s="6" t="n"/>
      <c r="B91" s="6" t="n"/>
      <c r="C91" s="8" t="n"/>
    </row>
    <row r="92">
      <c r="A92" s="6" t="n"/>
      <c r="B92" s="6" t="n"/>
      <c r="C92" s="8" t="n"/>
    </row>
    <row r="93">
      <c r="A93" s="6" t="n"/>
      <c r="B93" s="6" t="n"/>
      <c r="C93" s="8" t="n"/>
    </row>
    <row r="94">
      <c r="A94" s="6" t="n"/>
      <c r="B94" s="6" t="n"/>
      <c r="C94" s="8" t="n"/>
    </row>
    <row r="95">
      <c r="A95" s="6" t="n"/>
      <c r="B95" s="6" t="n"/>
      <c r="C95" s="8" t="n"/>
    </row>
    <row r="96">
      <c r="A96" s="6" t="n"/>
      <c r="B96" s="6" t="n"/>
      <c r="C96" s="8" t="n"/>
    </row>
    <row r="97">
      <c r="A97" s="6" t="n"/>
      <c r="B97" s="6" t="n"/>
      <c r="C97" s="8" t="n"/>
    </row>
    <row r="98">
      <c r="A98" s="6" t="n"/>
      <c r="B98" s="6" t="n"/>
      <c r="C98" s="8" t="n"/>
    </row>
    <row r="99">
      <c r="A99" s="6" t="n"/>
      <c r="B99" s="6" t="n"/>
      <c r="C99" s="8" t="n"/>
    </row>
    <row r="100">
      <c r="A100" s="6" t="n"/>
      <c r="B100" s="6" t="n"/>
      <c r="C100" s="8" t="n"/>
    </row>
    <row r="101">
      <c r="A101" s="6" t="n"/>
      <c r="B101" s="6" t="n"/>
      <c r="C101" s="8" t="n"/>
    </row>
    <row r="102">
      <c r="A102" s="6" t="n"/>
      <c r="B102" s="6" t="n"/>
      <c r="C102" s="8" t="n"/>
    </row>
    <row r="103">
      <c r="A103" s="6" t="n"/>
      <c r="B103" s="6" t="n"/>
      <c r="C103" s="8" t="n"/>
    </row>
    <row r="104">
      <c r="A104" s="6" t="n"/>
      <c r="B104" s="6" t="n"/>
      <c r="C104" s="8" t="n"/>
    </row>
    <row r="105">
      <c r="A105" s="6" t="n"/>
      <c r="B105" s="6" t="n"/>
      <c r="C105" s="8" t="n"/>
    </row>
    <row r="106">
      <c r="A106" s="6" t="n"/>
      <c r="B106" s="6" t="n"/>
      <c r="C106" s="8" t="n"/>
    </row>
    <row r="107">
      <c r="A107" s="6" t="n"/>
      <c r="B107" s="6" t="n"/>
      <c r="C107" s="8" t="n"/>
    </row>
    <row r="108">
      <c r="A108" s="6" t="n"/>
      <c r="B108" s="6" t="n"/>
      <c r="C108" s="8" t="n"/>
    </row>
    <row r="109">
      <c r="A109" s="6" t="n"/>
      <c r="B109" s="6" t="n"/>
      <c r="C109" s="8" t="n"/>
    </row>
    <row r="110">
      <c r="A110" s="6" t="n"/>
      <c r="B110" s="6" t="n"/>
      <c r="C110" s="8" t="n"/>
    </row>
    <row r="111">
      <c r="A111" s="6" t="n"/>
      <c r="B111" s="6" t="n"/>
      <c r="C111" s="8" t="n"/>
    </row>
    <row r="112">
      <c r="A112" s="6" t="n"/>
      <c r="B112" s="6" t="n"/>
      <c r="C112" s="8" t="n"/>
    </row>
    <row r="113">
      <c r="A113" s="6" t="n"/>
      <c r="B113" s="6" t="n"/>
      <c r="C113" s="8" t="n"/>
    </row>
    <row r="114">
      <c r="A114" s="6" t="n"/>
      <c r="B114" s="6" t="n"/>
      <c r="C114" s="8" t="n"/>
    </row>
    <row r="115">
      <c r="A115" s="6" t="n"/>
      <c r="B115" s="6" t="n"/>
      <c r="C115" s="8" t="n"/>
    </row>
    <row r="116">
      <c r="A116" s="6" t="n"/>
      <c r="B116" s="6" t="n"/>
      <c r="C116" s="8" t="n"/>
    </row>
    <row r="117">
      <c r="A117" s="6" t="n"/>
      <c r="B117" s="6" t="n"/>
      <c r="C117" s="8" t="n"/>
    </row>
    <row r="118">
      <c r="A118" s="6" t="n"/>
      <c r="B118" s="6" t="n"/>
      <c r="C118" s="8" t="n"/>
    </row>
    <row r="119">
      <c r="A119" s="6" t="n"/>
      <c r="B119" s="6" t="n"/>
      <c r="C119" s="8" t="n"/>
    </row>
    <row r="120">
      <c r="A120" s="6" t="n"/>
      <c r="B120" s="6" t="n"/>
      <c r="C120" s="8" t="n"/>
    </row>
    <row r="121">
      <c r="A121" s="6" t="n"/>
      <c r="B121" s="6" t="n"/>
      <c r="C121" s="8" t="n"/>
    </row>
    <row r="122">
      <c r="A122" s="6" t="n"/>
      <c r="B122" s="6" t="n"/>
      <c r="C122" s="8" t="n"/>
    </row>
    <row r="123">
      <c r="A123" s="6" t="n"/>
      <c r="B123" s="6" t="n"/>
      <c r="C123" s="8" t="n"/>
    </row>
    <row r="124">
      <c r="A124" s="6" t="n"/>
      <c r="B124" s="6" t="n"/>
      <c r="C124" s="8" t="n"/>
    </row>
    <row r="125">
      <c r="A125" s="6" t="n"/>
      <c r="B125" s="6" t="n"/>
      <c r="C125" s="8" t="n"/>
    </row>
    <row r="126">
      <c r="A126" s="6" t="n"/>
      <c r="B126" s="6" t="n"/>
      <c r="C126" s="8" t="n"/>
    </row>
    <row r="127">
      <c r="A127" s="6" t="n"/>
      <c r="B127" s="6" t="n"/>
      <c r="C127" s="8" t="n"/>
    </row>
    <row r="128">
      <c r="A128" s="6" t="n"/>
      <c r="B128" s="6" t="n"/>
      <c r="C128" s="8" t="n"/>
    </row>
    <row r="129">
      <c r="A129" s="6" t="n"/>
      <c r="B129" s="6" t="n"/>
      <c r="C129" s="8" t="n"/>
    </row>
    <row r="130">
      <c r="A130" s="6" t="n"/>
      <c r="B130" s="6" t="n"/>
      <c r="C130" s="8" t="n"/>
    </row>
    <row r="131">
      <c r="A131" s="6" t="n"/>
      <c r="B131" s="6" t="n"/>
      <c r="C131" s="8" t="n"/>
    </row>
    <row r="132">
      <c r="A132" s="6" t="n"/>
      <c r="B132" s="6" t="n"/>
      <c r="C132" s="8" t="n"/>
    </row>
    <row r="133">
      <c r="A133" s="6" t="n"/>
      <c r="B133" s="6" t="n"/>
      <c r="C133" s="8" t="n"/>
    </row>
    <row r="134">
      <c r="A134" s="6" t="n"/>
      <c r="B134" s="6" t="n"/>
      <c r="C134" s="8" t="n"/>
    </row>
    <row r="135">
      <c r="A135" s="6" t="n"/>
      <c r="B135" s="6" t="n"/>
      <c r="C135" s="8" t="n"/>
    </row>
    <row r="136">
      <c r="A136" s="6" t="n"/>
      <c r="B136" s="6" t="n"/>
      <c r="C136" s="8" t="n"/>
    </row>
    <row r="137">
      <c r="A137" s="6" t="n"/>
      <c r="B137" s="6" t="n"/>
      <c r="C137" s="8" t="n"/>
    </row>
    <row r="138">
      <c r="A138" s="6" t="n"/>
      <c r="B138" s="6" t="n"/>
      <c r="C138" s="8" t="n"/>
    </row>
    <row r="139">
      <c r="A139" s="6" t="n"/>
      <c r="B139" s="6" t="n"/>
      <c r="C139" s="8" t="n"/>
    </row>
    <row r="140">
      <c r="A140" s="6" t="n"/>
      <c r="B140" s="6" t="n"/>
      <c r="C140" s="8" t="n"/>
    </row>
    <row r="141">
      <c r="A141" s="6" t="n"/>
      <c r="B141" s="6" t="n"/>
      <c r="C141" s="8" t="n"/>
    </row>
    <row r="142">
      <c r="A142" s="6" t="n"/>
      <c r="B142" s="6" t="n"/>
      <c r="C142" s="8" t="n"/>
    </row>
    <row r="143">
      <c r="A143" s="6" t="n"/>
      <c r="B143" s="6" t="n"/>
      <c r="C143" s="8" t="n"/>
    </row>
    <row r="144">
      <c r="A144" s="6" t="n"/>
      <c r="B144" s="6" t="n"/>
      <c r="C144" s="8" t="n"/>
    </row>
    <row r="145">
      <c r="A145" s="6" t="n"/>
      <c r="B145" s="6" t="n"/>
      <c r="C145" s="8" t="n"/>
    </row>
    <row r="146">
      <c r="A146" s="6" t="n"/>
      <c r="B146" s="6" t="n"/>
      <c r="C146" s="8" t="n"/>
    </row>
    <row r="147">
      <c r="A147" s="6" t="n"/>
      <c r="B147" s="6" t="n"/>
      <c r="C147" s="8" t="n"/>
    </row>
    <row r="148">
      <c r="A148" s="6" t="n"/>
      <c r="B148" s="6" t="n"/>
      <c r="C148" s="8" t="n"/>
    </row>
    <row r="149">
      <c r="A149" s="6" t="n"/>
      <c r="B149" s="6" t="n"/>
      <c r="C149" s="8" t="n"/>
    </row>
    <row r="150">
      <c r="A150" s="6" t="n"/>
      <c r="B150" s="6" t="n"/>
      <c r="C150" s="8" t="n"/>
    </row>
    <row r="151">
      <c r="A151" s="6" t="n"/>
      <c r="B151" s="6" t="n"/>
      <c r="C151" s="8" t="n"/>
    </row>
    <row r="152">
      <c r="A152" s="6" t="n"/>
      <c r="B152" s="6" t="n"/>
      <c r="C152" s="8" t="n"/>
    </row>
    <row r="153">
      <c r="A153" s="6" t="n"/>
      <c r="B153" s="6" t="n"/>
      <c r="C153" s="8" t="n"/>
    </row>
    <row r="154">
      <c r="A154" s="6" t="n"/>
      <c r="B154" s="6" t="n"/>
      <c r="C154" s="8" t="n"/>
    </row>
    <row r="155">
      <c r="A155" s="6" t="n"/>
      <c r="B155" s="6" t="n"/>
      <c r="C155" s="8" t="n"/>
    </row>
    <row r="156">
      <c r="A156" s="6" t="n"/>
      <c r="B156" s="6" t="n"/>
      <c r="C156" s="8" t="n"/>
    </row>
    <row r="157">
      <c r="A157" s="6" t="n"/>
      <c r="B157" s="6" t="n"/>
      <c r="C157" s="8" t="n"/>
    </row>
    <row r="158">
      <c r="A158" s="6" t="n"/>
      <c r="B158" s="6" t="n"/>
      <c r="C158" s="8" t="n"/>
    </row>
    <row r="159">
      <c r="A159" s="6" t="n"/>
      <c r="B159" s="6" t="n"/>
      <c r="C159" s="8" t="n"/>
    </row>
    <row r="160">
      <c r="A160" s="6" t="n"/>
      <c r="B160" s="6" t="n"/>
      <c r="C160" s="8" t="n"/>
    </row>
    <row r="161">
      <c r="A161" s="6" t="n"/>
      <c r="B161" s="6" t="n"/>
      <c r="C161" s="8" t="n"/>
    </row>
    <row r="162">
      <c r="A162" s="6" t="n"/>
      <c r="B162" s="6" t="n"/>
      <c r="C162" s="8" t="n"/>
    </row>
    <row r="163">
      <c r="A163" s="6" t="n"/>
      <c r="B163" s="6" t="n"/>
      <c r="C163" s="8" t="n"/>
    </row>
    <row r="164">
      <c r="A164" s="6" t="n"/>
      <c r="B164" s="6" t="n"/>
      <c r="C164" s="8" t="n"/>
    </row>
    <row r="165">
      <c r="A165" s="6" t="n"/>
      <c r="B165" s="6" t="n"/>
      <c r="C165" s="8" t="n"/>
    </row>
    <row r="166">
      <c r="A166" s="6" t="n"/>
      <c r="B166" s="6" t="n"/>
      <c r="C166" s="8" t="n"/>
    </row>
    <row r="167">
      <c r="A167" s="6" t="n"/>
      <c r="B167" s="6" t="n"/>
      <c r="C167" s="8" t="n"/>
    </row>
    <row r="168">
      <c r="A168" s="6" t="n"/>
      <c r="B168" s="6" t="n"/>
      <c r="C168" s="8" t="n"/>
    </row>
    <row r="169">
      <c r="A169" s="6" t="n"/>
      <c r="B169" s="6" t="n"/>
      <c r="C169" s="8" t="n"/>
    </row>
    <row r="170">
      <c r="A170" s="6" t="n"/>
      <c r="B170" s="6" t="n"/>
      <c r="C170" s="8" t="n"/>
    </row>
    <row r="171">
      <c r="A171" s="6" t="n"/>
      <c r="B171" s="6" t="n"/>
      <c r="C171" s="8" t="n"/>
    </row>
    <row r="172">
      <c r="A172" s="6" t="n"/>
      <c r="B172" s="6" t="n"/>
      <c r="C172" s="8" t="n"/>
    </row>
    <row r="173">
      <c r="A173" s="6" t="n"/>
      <c r="B173" s="6" t="n"/>
      <c r="C173" s="8" t="n"/>
    </row>
    <row r="174">
      <c r="A174" s="6" t="n"/>
      <c r="B174" s="6" t="n"/>
      <c r="C174" s="8" t="n"/>
    </row>
    <row r="175">
      <c r="A175" s="6" t="n"/>
      <c r="B175" s="6" t="n"/>
      <c r="C175" s="8" t="n"/>
    </row>
    <row r="176">
      <c r="A176" s="6" t="n"/>
      <c r="B176" s="6" t="n"/>
      <c r="C176" s="8" t="n"/>
    </row>
    <row r="177">
      <c r="A177" s="6" t="n"/>
      <c r="B177" s="6" t="n"/>
      <c r="C177" s="8" t="n"/>
    </row>
    <row r="178">
      <c r="A178" s="6" t="n"/>
      <c r="B178" s="6" t="n"/>
      <c r="C178" s="8" t="n"/>
    </row>
    <row r="179">
      <c r="A179" s="6" t="n"/>
      <c r="B179" s="6" t="n"/>
      <c r="C179" s="8" t="n"/>
    </row>
    <row r="180">
      <c r="A180" s="6" t="n"/>
      <c r="B180" s="6" t="n"/>
      <c r="C180" s="8" t="n"/>
    </row>
    <row r="181">
      <c r="A181" s="6" t="n"/>
      <c r="B181" s="6" t="n"/>
      <c r="C181" s="8" t="n"/>
    </row>
    <row r="182">
      <c r="A182" s="6" t="n"/>
      <c r="B182" s="6" t="n"/>
      <c r="C182" s="8" t="n"/>
    </row>
    <row r="183">
      <c r="A183" s="6" t="n"/>
      <c r="B183" s="6" t="n"/>
      <c r="C183" s="8" t="n"/>
    </row>
    <row r="184">
      <c r="A184" s="6" t="n"/>
      <c r="B184" s="6" t="n"/>
      <c r="C184" s="8" t="n"/>
    </row>
    <row r="185">
      <c r="A185" s="6" t="n"/>
      <c r="B185" s="6" t="n"/>
      <c r="C185" s="8" t="n"/>
    </row>
    <row r="186">
      <c r="A186" s="6" t="n"/>
      <c r="B186" s="6" t="n"/>
      <c r="C186" s="8" t="n"/>
    </row>
    <row r="187">
      <c r="A187" s="6" t="n"/>
      <c r="B187" s="6" t="n"/>
      <c r="C187" s="8" t="n"/>
    </row>
    <row r="188">
      <c r="A188" s="6" t="n"/>
      <c r="B188" s="6" t="n"/>
      <c r="C188" s="8" t="n"/>
    </row>
    <row r="189">
      <c r="A189" s="6" t="n"/>
      <c r="B189" s="6" t="n"/>
      <c r="C189" s="8" t="n"/>
    </row>
    <row r="190">
      <c r="A190" s="6" t="n"/>
      <c r="B190" s="6" t="n"/>
      <c r="C190" s="8" t="n"/>
    </row>
    <row r="191">
      <c r="A191" s="6" t="n"/>
      <c r="B191" s="6" t="n"/>
      <c r="C191" s="8" t="n"/>
    </row>
    <row r="192">
      <c r="A192" s="6" t="n"/>
      <c r="B192" s="6" t="n"/>
      <c r="C192" s="8" t="n"/>
    </row>
    <row r="193">
      <c r="A193" s="6" t="n"/>
      <c r="B193" s="6" t="n"/>
      <c r="C193" s="8" t="n"/>
    </row>
    <row r="194">
      <c r="A194" s="6" t="n"/>
      <c r="B194" s="6" t="n"/>
      <c r="C194" s="8" t="n"/>
    </row>
    <row r="195">
      <c r="A195" s="6" t="n"/>
      <c r="B195" s="6" t="n"/>
      <c r="C195" s="8" t="n"/>
    </row>
    <row r="196">
      <c r="A196" s="6" t="n"/>
      <c r="B196" s="6" t="n"/>
      <c r="C196" s="8" t="n"/>
    </row>
    <row r="197">
      <c r="A197" s="6" t="n"/>
      <c r="B197" s="6" t="n"/>
      <c r="C197" s="8" t="n"/>
    </row>
    <row r="198">
      <c r="A198" s="6" t="n"/>
      <c r="B198" s="6" t="n"/>
      <c r="C198" s="8" t="n"/>
    </row>
    <row r="199">
      <c r="A199" s="6" t="n"/>
      <c r="B199" s="6" t="n"/>
      <c r="C199" s="8" t="n"/>
    </row>
    <row r="200">
      <c r="A200" s="6" t="n"/>
      <c r="B200" s="6" t="n"/>
      <c r="C200" s="8" t="n"/>
    </row>
    <row r="201">
      <c r="A201" s="6" t="n"/>
      <c r="B201" s="6" t="n"/>
      <c r="C201" s="8" t="n"/>
    </row>
    <row r="202">
      <c r="A202" s="6" t="n"/>
      <c r="B202" s="6" t="n"/>
      <c r="C202" s="8" t="n"/>
    </row>
    <row r="203">
      <c r="A203" s="6" t="n"/>
      <c r="B203" s="6" t="n"/>
      <c r="C203" s="8" t="n"/>
    </row>
    <row r="204">
      <c r="A204" s="6" t="n"/>
      <c r="B204" s="6" t="n"/>
      <c r="C204" s="8" t="n"/>
    </row>
    <row r="205">
      <c r="A205" s="6" t="n"/>
      <c r="B205" s="6" t="n"/>
      <c r="C205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NİRENGİ DANIŞMANLIK</t>
        </is>
      </c>
      <c r="B1" s="2" t="inlineStr">
        <is>
          <t>emreceran.github.io/nirengi-danismanlik</t>
        </is>
      </c>
    </row>
    <row r="2">
      <c r="A2" s="3" t="inlineStr">
        <is>
          <t>Ürün Maliyet Hesabı</t>
        </is>
      </c>
    </row>
    <row r="3">
      <c r="A3" s="4" t="inlineStr">
        <is>
          <t>Bu sayfa şablonun nasıl kullanılacağını anlatır.</t>
        </is>
      </c>
    </row>
    <row r="5">
      <c r="A5" s="23" t="inlineStr">
        <is>
          <t>■</t>
        </is>
      </c>
      <c r="B5" t="inlineStr">
        <is>
          <t>Sarı hücreler giriş hücreleridir; kendi rakamlarınızı buraya yazın. Beyaz hücreler formüldür, değiştirmeyin.</t>
        </is>
      </c>
    </row>
    <row r="7" ht="45" customHeight="1">
      <c r="A7" s="24" t="inlineStr">
        <is>
          <t>1.</t>
        </is>
      </c>
      <c r="B7" s="25" t="inlineStr">
        <is>
          <t>İstasyonlar sayfasına üretimdeki her istasyonun (kesim, kaynak, boya vb.) aylık işçilik, amortisman, enerji ve bakım giderlerini ve aylık fiili çalışma saatini girin. Saat maliyeti otomatik hesaplanır.</t>
        </is>
      </c>
    </row>
    <row r="8" ht="15" customHeight="1">
      <c r="A8" s="24" t="inlineStr">
        <is>
          <t>2.</t>
        </is>
      </c>
      <c r="B8" s="25" t="inlineStr">
        <is>
          <t>Malzemeler sayfasına kullandığınız malzemelerin güncel alış fiyatlarını (KDV hariç) girin.</t>
        </is>
      </c>
    </row>
    <row r="9" ht="30" customHeight="1">
      <c r="A9" s="24" t="inlineStr">
        <is>
          <t>3.</t>
        </is>
      </c>
      <c r="B9" s="25" t="inlineStr">
        <is>
          <t>Ürün Maliyeti sayfasında ürünün reçetesini (malzeme, adet başına miktar, fire oranı) ve rotasını (hangi istasyonda kaç dakika) yazın. Malzeme ve istasyon adlarını listeden seçebilirsiniz.</t>
        </is>
      </c>
    </row>
    <row r="10" ht="30" customHeight="1">
      <c r="A10" s="24" t="inlineStr">
        <is>
          <t>4.</t>
        </is>
      </c>
      <c r="B10" s="25" t="inlineStr">
        <is>
          <t>Hazırlık süresi parti başına bir kez harcanan süredir (makine ayarı, kalıp değişimi). Parti büyüklüğü küçüldükçe adet başına hazırlık maliyeti artar; alttaki tablo bu etkiyi gösterir.</t>
        </is>
      </c>
    </row>
    <row r="11" ht="30" customHeight="1">
      <c r="A11" s="24" t="inlineStr">
        <is>
          <t>5.</t>
        </is>
      </c>
      <c r="B11" s="25" t="inlineStr">
        <is>
          <t>Genel üretim gideri payı, istasyonlara dağıtılmamış giderler (kalite kontrol, depo, üretim yönetimi) içindir. Oranı geçmiş yılın gerçek giderlerinden hesaplamanızı öneririz.</t>
        </is>
      </c>
    </row>
    <row r="12" ht="30" customHeight="1">
      <c r="A12" s="24" t="inlineStr">
        <is>
          <t>6.</t>
        </is>
      </c>
      <c r="B12" s="25" t="inlineStr">
        <is>
          <t>Her ürün için sayfayı kopyalayın. Birkaç ana ürünün gerçek maliyeti, fiyatlama kararları için genellikle yeterli bilgiyi verir.</t>
        </is>
      </c>
    </row>
    <row r="13" ht="30" customHeight="1">
      <c r="A13" s="24" t="inlineStr">
        <is>
          <t>7.</t>
        </is>
      </c>
      <c r="B13" s="25" t="inlineStr">
        <is>
          <t>Bu şablon yönetim kararları içindir; mali tablolardaki maliyet hesabıyla tutarlılığı mali müşavirinizle birlikte kontrol edin.</t>
        </is>
      </c>
    </row>
    <row r="15">
      <c r="B15" s="26" t="inlineStr">
        <is>
          <t>Örnek veriler yalnızca şablonun nasıl çalıştığını göstermek içindir; silip kendi verinizi girebilirsiniz.</t>
        </is>
      </c>
    </row>
    <row r="17">
      <c r="B17" s="5" t="inlineStr">
        <is>
          <t>Konuyla ilgili yazı</t>
        </is>
      </c>
    </row>
    <row r="18">
      <c r="B18" s="27" t="inlineStr">
        <is>
          <t>https://emreceran.github.io/nirengi-danismanlik/blog/gercek-urun-maliyeti.html</t>
        </is>
      </c>
    </row>
    <row r="20">
      <c r="B20" s="5" t="inlineStr">
        <is>
          <t>Takıldığınız yerde ya da sonuçları birlikte yorumlamak isterseniz: ücretsiz ilk görüşme</t>
        </is>
      </c>
    </row>
    <row r="21">
      <c r="B21" s="27" t="inlineStr">
        <is>
          <t>https://emreceran.github.io/nirengi-danismanlik/iletisim.html</t>
        </is>
      </c>
    </row>
    <row r="23">
      <c r="B23" s="28" t="inlineStr">
        <is>
          <t>Bu şablon genel bilgilendirme amaçlıdır ve ücretsiz olarak paylaşılabilir. © Nirengi Danışmanlık</t>
        </is>
      </c>
    </row>
  </sheetData>
  <hyperlinks>
    <hyperlink xmlns:r="http://schemas.openxmlformats.org/officeDocument/2006/relationships" ref="B18" r:id="rId1"/>
    <hyperlink xmlns:r="http://schemas.openxmlformats.org/officeDocument/2006/relationships" ref="B21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2026-10-23T20:41:27Z</dcterms:created>
  <dcterms:modified xmlns:dcterms="http://purl.org/dc/terms/" xmlns:xsi="http://www.w3.org/2001/XMLSchema-instance" xsi:type="dcterms:W3CDTF">2026-10-23T20:41:27Z</dcterms:modified>
</cp:coreProperties>
</file>