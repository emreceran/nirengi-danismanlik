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üşteriler" sheetId="1" state="visible" r:id="rId1"/>
    <sheet xmlns:r="http://schemas.openxmlformats.org/officeDocument/2006/relationships" name="Faturalar" sheetId="2" state="visible" r:id="rId2"/>
    <sheet xmlns:r="http://schemas.openxmlformats.org/officeDocument/2006/relationships" name="Nasıl kullanılır" sheetId="3" state="visible" r:id="rId3"/>
  </sheets>
  <definedNames>
    <definedName name="_xlnm._FilterDatabase" localSheetId="1" hidden="1">'Faturalar'!$A$7:$L$407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0.0%"/>
  </numFmts>
  <fonts count="11">
    <font>
      <name val="Calibri"/>
      <family val="2"/>
      <color theme="1"/>
      <sz val="11"/>
      <scheme val="minor"/>
    </font>
    <font>
      <b val="1"/>
      <color rgb="00163A2E"/>
      <sz val="9"/>
    </font>
    <font>
      <b val="1"/>
      <color rgb="0016191D"/>
      <sz val="16"/>
    </font>
    <font>
      <color rgb="0061666D"/>
      <sz val="10"/>
    </font>
    <font>
      <color rgb="0061666D"/>
      <sz val="9"/>
    </font>
    <font>
      <b val="1"/>
    </font>
    <font>
      <color rgb="001F3F8F"/>
    </font>
    <font>
      <b val="1"/>
      <color rgb="00FFFFFF"/>
      <sz val="10"/>
    </font>
    <font>
      <b val="1"/>
      <color rgb="00163A2E"/>
    </font>
    <font>
      <i val="1"/>
      <color rgb="0061666D"/>
    </font>
    <font>
      <color rgb="001F3F8F"/>
      <u val="single"/>
    </font>
  </fonts>
  <fills count="4">
    <fill>
      <patternFill/>
    </fill>
    <fill>
      <patternFill patternType="gray125"/>
    </fill>
    <fill>
      <patternFill patternType="solid">
        <fgColor rgb="00FFF6D6"/>
      </patternFill>
    </fill>
    <fill>
      <patternFill patternType="solid">
        <fgColor rgb="00163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4" fillId="0" borderId="0" applyAlignment="1" pivotButton="0" quotePrefix="0" xfId="0">
      <alignment horizontal="right"/>
    </xf>
    <xf numFmtId="0" fontId="2" fillId="0" borderId="0" pivotButton="0" quotePrefix="0" xfId="0"/>
    <xf numFmtId="0" fontId="3" fillId="0" borderId="0" applyAlignment="1" pivotButton="0" quotePrefix="0" xfId="0">
      <alignment/>
    </xf>
    <xf numFmtId="0" fontId="5" fillId="0" borderId="0" pivotButton="0" quotePrefix="0" xfId="0"/>
    <xf numFmtId="3" fontId="8" fillId="0" borderId="0" pivotButton="0" quotePrefix="0" xfId="0"/>
    <xf numFmtId="166" fontId="8" fillId="0" borderId="0" pivotButton="0" quotePrefix="0" xfId="0"/>
    <xf numFmtId="1" fontId="8" fillId="0" borderId="0" pivotButton="0" quotePrefix="0" xfId="0"/>
    <xf numFmtId="0" fontId="7" fillId="3" borderId="0" applyAlignment="1" pivotButton="0" quotePrefix="0" xfId="0">
      <alignment horizontal="center" vertical="center" wrapText="1"/>
    </xf>
    <xf numFmtId="0" fontId="6" fillId="2" borderId="0" pivotButton="0" quotePrefix="0" xfId="0"/>
    <xf numFmtId="3" fontId="6" fillId="2" borderId="0" pivotButton="0" quotePrefix="0" xfId="0"/>
    <xf numFmtId="3" fontId="0" fillId="0" borderId="0" pivotButton="0" quotePrefix="0" xfId="0"/>
    <xf numFmtId="166" fontId="0" fillId="0" borderId="0" pivotButton="0" quotePrefix="0" xfId="0"/>
    <xf numFmtId="165" fontId="6" fillId="2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center"/>
    </xf>
    <xf numFmtId="0" fontId="0" fillId="2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vertical="top" wrapText="1"/>
    </xf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dxfs count="3">
    <dxf>
      <font>
        <b val="1"/>
        <color rgb="008F2D1F"/>
      </font>
      <fill>
        <patternFill patternType="solid">
          <fgColor rgb="00F6D5CF"/>
        </patternFill>
      </fill>
    </dxf>
    <dxf>
      <font>
        <b val="1"/>
        <color rgb="008F2D1F"/>
      </font>
    </dxf>
    <dxf>
      <fill>
        <patternFill patternType="solid">
          <fgColor rgb="00FCEB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emreceran.github.io/nirengi-danismanlik/blog/satis-buyurken-para-musteride-kalmasin.html" TargetMode="External" Id="rId1"/><Relationship Type="http://schemas.openxmlformats.org/officeDocument/2006/relationships/hyperlink" Target="https://emreceran.github.io/nirengi-danismanlik/iletisim.html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5" customWidth="1" min="3" max="3"/>
    <col width="15" customWidth="1" min="4" max="4"/>
    <col width="14" customWidth="1" min="5" max="5"/>
    <col width="14" customWidth="1" min="6" max="6"/>
    <col width="14" customWidth="1" min="7" max="7"/>
    <col width="14" customWidth="1" min="8" max="8"/>
    <col width="13" customWidth="1" min="9" max="9"/>
    <col width="16" customWidth="1" min="10" max="10"/>
    <col width="3" customWidth="1" min="11" max="11"/>
  </cols>
  <sheetData>
    <row r="1">
      <c r="A1" s="1" t="inlineStr">
        <is>
          <t>NİRENGİ DANIŞMANLIK</t>
        </is>
      </c>
      <c r="K1" s="2" t="inlineStr">
        <is>
          <t>emreceran.github.io/nirengi-danismanlik</t>
        </is>
      </c>
    </row>
    <row r="2">
      <c r="A2" s="3" t="inlineStr">
        <is>
          <t>Müşteri bazında yaşlandırma ve limit takibi</t>
        </is>
      </c>
    </row>
    <row r="3">
      <c r="A3" s="4" t="inlineStr">
        <is>
          <t>Müşteri adlarını Faturalar sayfasındakiyle birebir aynı yazın.</t>
        </is>
      </c>
    </row>
    <row r="5">
      <c r="A5" s="5" t="inlineStr">
        <is>
          <t>Toplam açık alacak</t>
        </is>
      </c>
      <c r="B5" s="6">
        <f>SUM(C12:C111)</f>
        <v/>
      </c>
    </row>
    <row r="6">
      <c r="A6" s="5" t="inlineStr">
        <is>
          <t>Vadesi geçen alacak</t>
        </is>
      </c>
      <c r="B6" s="6">
        <f>SUM(E12:H111)</f>
        <v/>
      </c>
    </row>
    <row r="7">
      <c r="A7" s="5" t="inlineStr">
        <is>
          <t>Vadesi geçen oranı</t>
        </is>
      </c>
      <c r="B7" s="7">
        <f>IF(B5=0,0,B6/B5)</f>
        <v/>
      </c>
    </row>
    <row r="8">
      <c r="A8" s="5" t="inlineStr">
        <is>
          <t>90 günden eski alacak oranı</t>
        </is>
      </c>
      <c r="B8" s="7">
        <f>IF(B5=0,0,SUM(H12:H111)/B5)</f>
        <v/>
      </c>
    </row>
    <row r="9">
      <c r="A9" s="5" t="inlineStr">
        <is>
          <t>Limiti aşan müşteri sayısı</t>
        </is>
      </c>
      <c r="B9" s="8">
        <f>COUNTIF(J12:J111,"LİMİT AŞILDI")</f>
        <v/>
      </c>
    </row>
    <row r="11" ht="32" customHeight="1">
      <c r="A11" s="9" t="inlineStr">
        <is>
          <t>Müşteri</t>
        </is>
      </c>
      <c r="B11" s="9" t="inlineStr">
        <is>
          <t>Risk limiti</t>
        </is>
      </c>
      <c r="C11" s="9" t="inlineStr">
        <is>
          <t>Toplam açık</t>
        </is>
      </c>
      <c r="D11" s="9" t="inlineStr">
        <is>
          <t>Vadesi gelmedi</t>
        </is>
      </c>
      <c r="E11" s="9" t="inlineStr">
        <is>
          <t>1-30 gün</t>
        </is>
      </c>
      <c r="F11" s="9" t="inlineStr">
        <is>
          <t>31-60 gün</t>
        </is>
      </c>
      <c r="G11" s="9" t="inlineStr">
        <is>
          <t>61-90 gün</t>
        </is>
      </c>
      <c r="H11" s="9" t="inlineStr">
        <is>
          <t>90+ gün</t>
        </is>
      </c>
      <c r="I11" s="9" t="inlineStr">
        <is>
          <t>Limit kullanımı</t>
        </is>
      </c>
      <c r="J11" s="9" t="inlineStr">
        <is>
          <t>Durum</t>
        </is>
      </c>
    </row>
    <row r="12">
      <c r="A12" s="10" t="inlineStr">
        <is>
          <t>Akyol Yapı Ltd.</t>
        </is>
      </c>
      <c r="B12" s="11" t="n">
        <v>600000</v>
      </c>
      <c r="C12" s="12">
        <f>IF(A12="","",SUMIFS(Faturalar!$G$8:$G$407,Faturalar!$A$8:$A$407,A12,Faturalar!$G$8:$G$407,"&gt;0"))</f>
        <v/>
      </c>
      <c r="D12" s="12">
        <f>IF(A12="","",SUMIFS(Faturalar!$G$8:$G$407,Faturalar!$A$8:$A$407,A12,Faturalar!$I$8:$I$407,"Vadesi gelmedi"))</f>
        <v/>
      </c>
      <c r="E12" s="12">
        <f>IF(A12="","",SUMIFS(Faturalar!$G$8:$G$407,Faturalar!$A$8:$A$407,A12,Faturalar!$I$8:$I$407,"1-30"))</f>
        <v/>
      </c>
      <c r="F12" s="12">
        <f>IF(A12="","",SUMIFS(Faturalar!$G$8:$G$407,Faturalar!$A$8:$A$407,A12,Faturalar!$I$8:$I$407,"31-60"))</f>
        <v/>
      </c>
      <c r="G12" s="12">
        <f>IF(A12="","",SUMIFS(Faturalar!$G$8:$G$407,Faturalar!$A$8:$A$407,A12,Faturalar!$I$8:$I$407,"61-90"))</f>
        <v/>
      </c>
      <c r="H12" s="12">
        <f>IF(A12="","",SUMIFS(Faturalar!$G$8:$G$407,Faturalar!$A$8:$A$407,A12,Faturalar!$I$8:$I$407,"90+"))</f>
        <v/>
      </c>
      <c r="I12" s="13">
        <f>IF(OR(A12="",B12="",B12=0),"",C12/B12)</f>
        <v/>
      </c>
      <c r="J12">
        <f>IF(I12="","",IF(I12&gt;1,"LİMİT AŞILDI",IF(I12&gt;0.8,"Limite yakın","")))</f>
        <v/>
      </c>
    </row>
    <row r="13">
      <c r="A13" s="10" t="inlineStr">
        <is>
          <t>Beyşehir Gıda A.Ş.</t>
        </is>
      </c>
      <c r="B13" s="11" t="n">
        <v>900000</v>
      </c>
      <c r="C13" s="12">
        <f>IF(A13="","",SUMIFS(Faturalar!$G$8:$G$407,Faturalar!$A$8:$A$407,A13,Faturalar!$G$8:$G$407,"&gt;0"))</f>
        <v/>
      </c>
      <c r="D13" s="12">
        <f>IF(A13="","",SUMIFS(Faturalar!$G$8:$G$407,Faturalar!$A$8:$A$407,A13,Faturalar!$I$8:$I$407,"Vadesi gelmedi"))</f>
        <v/>
      </c>
      <c r="E13" s="12">
        <f>IF(A13="","",SUMIFS(Faturalar!$G$8:$G$407,Faturalar!$A$8:$A$407,A13,Faturalar!$I$8:$I$407,"1-30"))</f>
        <v/>
      </c>
      <c r="F13" s="12">
        <f>IF(A13="","",SUMIFS(Faturalar!$G$8:$G$407,Faturalar!$A$8:$A$407,A13,Faturalar!$I$8:$I$407,"31-60"))</f>
        <v/>
      </c>
      <c r="G13" s="12">
        <f>IF(A13="","",SUMIFS(Faturalar!$G$8:$G$407,Faturalar!$A$8:$A$407,A13,Faturalar!$I$8:$I$407,"61-90"))</f>
        <v/>
      </c>
      <c r="H13" s="12">
        <f>IF(A13="","",SUMIFS(Faturalar!$G$8:$G$407,Faturalar!$A$8:$A$407,A13,Faturalar!$I$8:$I$407,"90+"))</f>
        <v/>
      </c>
      <c r="I13" s="13">
        <f>IF(OR(A13="",B13="",B13=0),"",C13/B13)</f>
        <v/>
      </c>
      <c r="J13">
        <f>IF(I13="","",IF(I13&gt;1,"LİMİT AŞILDI",IF(I13&gt;0.8,"Limite yakın","")))</f>
        <v/>
      </c>
    </row>
    <row r="14">
      <c r="A14" s="10" t="inlineStr">
        <is>
          <t>Çumra Tarım Koop.</t>
        </is>
      </c>
      <c r="B14" s="11" t="n">
        <v>400000</v>
      </c>
      <c r="C14" s="12">
        <f>IF(A14="","",SUMIFS(Faturalar!$G$8:$G$407,Faturalar!$A$8:$A$407,A14,Faturalar!$G$8:$G$407,"&gt;0"))</f>
        <v/>
      </c>
      <c r="D14" s="12">
        <f>IF(A14="","",SUMIFS(Faturalar!$G$8:$G$407,Faturalar!$A$8:$A$407,A14,Faturalar!$I$8:$I$407,"Vadesi gelmedi"))</f>
        <v/>
      </c>
      <c r="E14" s="12">
        <f>IF(A14="","",SUMIFS(Faturalar!$G$8:$G$407,Faturalar!$A$8:$A$407,A14,Faturalar!$I$8:$I$407,"1-30"))</f>
        <v/>
      </c>
      <c r="F14" s="12">
        <f>IF(A14="","",SUMIFS(Faturalar!$G$8:$G$407,Faturalar!$A$8:$A$407,A14,Faturalar!$I$8:$I$407,"31-60"))</f>
        <v/>
      </c>
      <c r="G14" s="12">
        <f>IF(A14="","",SUMIFS(Faturalar!$G$8:$G$407,Faturalar!$A$8:$A$407,A14,Faturalar!$I$8:$I$407,"61-90"))</f>
        <v/>
      </c>
      <c r="H14" s="12">
        <f>IF(A14="","",SUMIFS(Faturalar!$G$8:$G$407,Faturalar!$A$8:$A$407,A14,Faturalar!$I$8:$I$407,"90+"))</f>
        <v/>
      </c>
      <c r="I14" s="13">
        <f>IF(OR(A14="",B14="",B14=0),"",C14/B14)</f>
        <v/>
      </c>
      <c r="J14">
        <f>IF(I14="","",IF(I14&gt;1,"LİMİT AŞILDI",IF(I14&gt;0.8,"Limite yakın","")))</f>
        <v/>
      </c>
    </row>
    <row r="15">
      <c r="A15" s="10" t="inlineStr">
        <is>
          <t>Derya Mobilya</t>
        </is>
      </c>
      <c r="B15" s="11" t="n">
        <v>350000</v>
      </c>
      <c r="C15" s="12">
        <f>IF(A15="","",SUMIFS(Faturalar!$G$8:$G$407,Faturalar!$A$8:$A$407,A15,Faturalar!$G$8:$G$407,"&gt;0"))</f>
        <v/>
      </c>
      <c r="D15" s="12">
        <f>IF(A15="","",SUMIFS(Faturalar!$G$8:$G$407,Faturalar!$A$8:$A$407,A15,Faturalar!$I$8:$I$407,"Vadesi gelmedi"))</f>
        <v/>
      </c>
      <c r="E15" s="12">
        <f>IF(A15="","",SUMIFS(Faturalar!$G$8:$G$407,Faturalar!$A$8:$A$407,A15,Faturalar!$I$8:$I$407,"1-30"))</f>
        <v/>
      </c>
      <c r="F15" s="12">
        <f>IF(A15="","",SUMIFS(Faturalar!$G$8:$G$407,Faturalar!$A$8:$A$407,A15,Faturalar!$I$8:$I$407,"31-60"))</f>
        <v/>
      </c>
      <c r="G15" s="12">
        <f>IF(A15="","",SUMIFS(Faturalar!$G$8:$G$407,Faturalar!$A$8:$A$407,A15,Faturalar!$I$8:$I$407,"61-90"))</f>
        <v/>
      </c>
      <c r="H15" s="12">
        <f>IF(A15="","",SUMIFS(Faturalar!$G$8:$G$407,Faturalar!$A$8:$A$407,A15,Faturalar!$I$8:$I$407,"90+"))</f>
        <v/>
      </c>
      <c r="I15" s="13">
        <f>IF(OR(A15="",B15="",B15=0),"",C15/B15)</f>
        <v/>
      </c>
      <c r="J15">
        <f>IF(I15="","",IF(I15&gt;1,"LİMİT AŞILDI",IF(I15&gt;0.8,"Limite yakın","")))</f>
        <v/>
      </c>
    </row>
    <row r="16">
      <c r="A16" s="10" t="inlineStr">
        <is>
          <t>Ereğli Metal San.</t>
        </is>
      </c>
      <c r="B16" s="11" t="n">
        <v>1200000</v>
      </c>
      <c r="C16" s="12">
        <f>IF(A16="","",SUMIFS(Faturalar!$G$8:$G$407,Faturalar!$A$8:$A$407,A16,Faturalar!$G$8:$G$407,"&gt;0"))</f>
        <v/>
      </c>
      <c r="D16" s="12">
        <f>IF(A16="","",SUMIFS(Faturalar!$G$8:$G$407,Faturalar!$A$8:$A$407,A16,Faturalar!$I$8:$I$407,"Vadesi gelmedi"))</f>
        <v/>
      </c>
      <c r="E16" s="12">
        <f>IF(A16="","",SUMIFS(Faturalar!$G$8:$G$407,Faturalar!$A$8:$A$407,A16,Faturalar!$I$8:$I$407,"1-30"))</f>
        <v/>
      </c>
      <c r="F16" s="12">
        <f>IF(A16="","",SUMIFS(Faturalar!$G$8:$G$407,Faturalar!$A$8:$A$407,A16,Faturalar!$I$8:$I$407,"31-60"))</f>
        <v/>
      </c>
      <c r="G16" s="12">
        <f>IF(A16="","",SUMIFS(Faturalar!$G$8:$G$407,Faturalar!$A$8:$A$407,A16,Faturalar!$I$8:$I$407,"61-90"))</f>
        <v/>
      </c>
      <c r="H16" s="12">
        <f>IF(A16="","",SUMIFS(Faturalar!$G$8:$G$407,Faturalar!$A$8:$A$407,A16,Faturalar!$I$8:$I$407,"90+"))</f>
        <v/>
      </c>
      <c r="I16" s="13">
        <f>IF(OR(A16="",B16="",B16=0),"",C16/B16)</f>
        <v/>
      </c>
      <c r="J16">
        <f>IF(I16="","",IF(I16&gt;1,"LİMİT AŞILDI",IF(I16&gt;0.8,"Limite yakın","")))</f>
        <v/>
      </c>
    </row>
    <row r="17">
      <c r="A17" s="10" t="inlineStr">
        <is>
          <t>Fevzi Usta İnşaat</t>
        </is>
      </c>
      <c r="B17" s="11" t="n">
        <v>500000</v>
      </c>
      <c r="C17" s="12">
        <f>IF(A17="","",SUMIFS(Faturalar!$G$8:$G$407,Faturalar!$A$8:$A$407,A17,Faturalar!$G$8:$G$407,"&gt;0"))</f>
        <v/>
      </c>
      <c r="D17" s="12">
        <f>IF(A17="","",SUMIFS(Faturalar!$G$8:$G$407,Faturalar!$A$8:$A$407,A17,Faturalar!$I$8:$I$407,"Vadesi gelmedi"))</f>
        <v/>
      </c>
      <c r="E17" s="12">
        <f>IF(A17="","",SUMIFS(Faturalar!$G$8:$G$407,Faturalar!$A$8:$A$407,A17,Faturalar!$I$8:$I$407,"1-30"))</f>
        <v/>
      </c>
      <c r="F17" s="12">
        <f>IF(A17="","",SUMIFS(Faturalar!$G$8:$G$407,Faturalar!$A$8:$A$407,A17,Faturalar!$I$8:$I$407,"31-60"))</f>
        <v/>
      </c>
      <c r="G17" s="12">
        <f>IF(A17="","",SUMIFS(Faturalar!$G$8:$G$407,Faturalar!$A$8:$A$407,A17,Faturalar!$I$8:$I$407,"61-90"))</f>
        <v/>
      </c>
      <c r="H17" s="12">
        <f>IF(A17="","",SUMIFS(Faturalar!$G$8:$G$407,Faturalar!$A$8:$A$407,A17,Faturalar!$I$8:$I$407,"90+"))</f>
        <v/>
      </c>
      <c r="I17" s="13">
        <f>IF(OR(A17="",B17="",B17=0),"",C17/B17)</f>
        <v/>
      </c>
      <c r="J17">
        <f>IF(I17="","",IF(I17&gt;1,"LİMİT AŞILDI",IF(I17&gt;0.8,"Limite yakın","")))</f>
        <v/>
      </c>
    </row>
    <row r="18">
      <c r="A18" s="10" t="inlineStr">
        <is>
          <t>Gölbaşı Plastik</t>
        </is>
      </c>
      <c r="B18" s="11" t="n">
        <v>450000</v>
      </c>
      <c r="C18" s="12">
        <f>IF(A18="","",SUMIFS(Faturalar!$G$8:$G$407,Faturalar!$A$8:$A$407,A18,Faturalar!$G$8:$G$407,"&gt;0"))</f>
        <v/>
      </c>
      <c r="D18" s="12">
        <f>IF(A18="","",SUMIFS(Faturalar!$G$8:$G$407,Faturalar!$A$8:$A$407,A18,Faturalar!$I$8:$I$407,"Vadesi gelmedi"))</f>
        <v/>
      </c>
      <c r="E18" s="12">
        <f>IF(A18="","",SUMIFS(Faturalar!$G$8:$G$407,Faturalar!$A$8:$A$407,A18,Faturalar!$I$8:$I$407,"1-30"))</f>
        <v/>
      </c>
      <c r="F18" s="12">
        <f>IF(A18="","",SUMIFS(Faturalar!$G$8:$G$407,Faturalar!$A$8:$A$407,A18,Faturalar!$I$8:$I$407,"31-60"))</f>
        <v/>
      </c>
      <c r="G18" s="12">
        <f>IF(A18="","",SUMIFS(Faturalar!$G$8:$G$407,Faturalar!$A$8:$A$407,A18,Faturalar!$I$8:$I$407,"61-90"))</f>
        <v/>
      </c>
      <c r="H18" s="12">
        <f>IF(A18="","",SUMIFS(Faturalar!$G$8:$G$407,Faturalar!$A$8:$A$407,A18,Faturalar!$I$8:$I$407,"90+"))</f>
        <v/>
      </c>
      <c r="I18" s="13">
        <f>IF(OR(A18="",B18="",B18=0),"",C18/B18)</f>
        <v/>
      </c>
      <c r="J18">
        <f>IF(I18="","",IF(I18&gt;1,"LİMİT AŞILDI",IF(I18&gt;0.8,"Limite yakın","")))</f>
        <v/>
      </c>
    </row>
    <row r="19">
      <c r="A19" s="10" t="n"/>
      <c r="B19" s="11" t="n"/>
      <c r="C19" s="12">
        <f>IF(A19="","",SUMIFS(Faturalar!$G$8:$G$407,Faturalar!$A$8:$A$407,A19,Faturalar!$G$8:$G$407,"&gt;0"))</f>
        <v/>
      </c>
      <c r="D19" s="12">
        <f>IF(A19="","",SUMIFS(Faturalar!$G$8:$G$407,Faturalar!$A$8:$A$407,A19,Faturalar!$I$8:$I$407,"Vadesi gelmedi"))</f>
        <v/>
      </c>
      <c r="E19" s="12">
        <f>IF(A19="","",SUMIFS(Faturalar!$G$8:$G$407,Faturalar!$A$8:$A$407,A19,Faturalar!$I$8:$I$407,"1-30"))</f>
        <v/>
      </c>
      <c r="F19" s="12">
        <f>IF(A19="","",SUMIFS(Faturalar!$G$8:$G$407,Faturalar!$A$8:$A$407,A19,Faturalar!$I$8:$I$407,"31-60"))</f>
        <v/>
      </c>
      <c r="G19" s="12">
        <f>IF(A19="","",SUMIFS(Faturalar!$G$8:$G$407,Faturalar!$A$8:$A$407,A19,Faturalar!$I$8:$I$407,"61-90"))</f>
        <v/>
      </c>
      <c r="H19" s="12">
        <f>IF(A19="","",SUMIFS(Faturalar!$G$8:$G$407,Faturalar!$A$8:$A$407,A19,Faturalar!$I$8:$I$407,"90+"))</f>
        <v/>
      </c>
      <c r="I19" s="13">
        <f>IF(OR(A19="",B19="",B19=0),"",C19/B19)</f>
        <v/>
      </c>
      <c r="J19">
        <f>IF(I19="","",IF(I19&gt;1,"LİMİT AŞILDI",IF(I19&gt;0.8,"Limite yakın","")))</f>
        <v/>
      </c>
    </row>
    <row r="20">
      <c r="A20" s="10" t="n"/>
      <c r="B20" s="11" t="n"/>
      <c r="C20" s="12">
        <f>IF(A20="","",SUMIFS(Faturalar!$G$8:$G$407,Faturalar!$A$8:$A$407,A20,Faturalar!$G$8:$G$407,"&gt;0"))</f>
        <v/>
      </c>
      <c r="D20" s="12">
        <f>IF(A20="","",SUMIFS(Faturalar!$G$8:$G$407,Faturalar!$A$8:$A$407,A20,Faturalar!$I$8:$I$407,"Vadesi gelmedi"))</f>
        <v/>
      </c>
      <c r="E20" s="12">
        <f>IF(A20="","",SUMIFS(Faturalar!$G$8:$G$407,Faturalar!$A$8:$A$407,A20,Faturalar!$I$8:$I$407,"1-30"))</f>
        <v/>
      </c>
      <c r="F20" s="12">
        <f>IF(A20="","",SUMIFS(Faturalar!$G$8:$G$407,Faturalar!$A$8:$A$407,A20,Faturalar!$I$8:$I$407,"31-60"))</f>
        <v/>
      </c>
      <c r="G20" s="12">
        <f>IF(A20="","",SUMIFS(Faturalar!$G$8:$G$407,Faturalar!$A$8:$A$407,A20,Faturalar!$I$8:$I$407,"61-90"))</f>
        <v/>
      </c>
      <c r="H20" s="12">
        <f>IF(A20="","",SUMIFS(Faturalar!$G$8:$G$407,Faturalar!$A$8:$A$407,A20,Faturalar!$I$8:$I$407,"90+"))</f>
        <v/>
      </c>
      <c r="I20" s="13">
        <f>IF(OR(A20="",B20="",B20=0),"",C20/B20)</f>
        <v/>
      </c>
      <c r="J20">
        <f>IF(I20="","",IF(I20&gt;1,"LİMİT AŞILDI",IF(I20&gt;0.8,"Limite yakın","")))</f>
        <v/>
      </c>
    </row>
    <row r="21">
      <c r="A21" s="10" t="n"/>
      <c r="B21" s="11" t="n"/>
      <c r="C21" s="12">
        <f>IF(A21="","",SUMIFS(Faturalar!$G$8:$G$407,Faturalar!$A$8:$A$407,A21,Faturalar!$G$8:$G$407,"&gt;0"))</f>
        <v/>
      </c>
      <c r="D21" s="12">
        <f>IF(A21="","",SUMIFS(Faturalar!$G$8:$G$407,Faturalar!$A$8:$A$407,A21,Faturalar!$I$8:$I$407,"Vadesi gelmedi"))</f>
        <v/>
      </c>
      <c r="E21" s="12">
        <f>IF(A21="","",SUMIFS(Faturalar!$G$8:$G$407,Faturalar!$A$8:$A$407,A21,Faturalar!$I$8:$I$407,"1-30"))</f>
        <v/>
      </c>
      <c r="F21" s="12">
        <f>IF(A21="","",SUMIFS(Faturalar!$G$8:$G$407,Faturalar!$A$8:$A$407,A21,Faturalar!$I$8:$I$407,"31-60"))</f>
        <v/>
      </c>
      <c r="G21" s="12">
        <f>IF(A21="","",SUMIFS(Faturalar!$G$8:$G$407,Faturalar!$A$8:$A$407,A21,Faturalar!$I$8:$I$407,"61-90"))</f>
        <v/>
      </c>
      <c r="H21" s="12">
        <f>IF(A21="","",SUMIFS(Faturalar!$G$8:$G$407,Faturalar!$A$8:$A$407,A21,Faturalar!$I$8:$I$407,"90+"))</f>
        <v/>
      </c>
      <c r="I21" s="13">
        <f>IF(OR(A21="",B21="",B21=0),"",C21/B21)</f>
        <v/>
      </c>
      <c r="J21">
        <f>IF(I21="","",IF(I21&gt;1,"LİMİT AŞILDI",IF(I21&gt;0.8,"Limite yakın","")))</f>
        <v/>
      </c>
    </row>
    <row r="22">
      <c r="A22" s="10" t="n"/>
      <c r="B22" s="11" t="n"/>
      <c r="C22" s="12">
        <f>IF(A22="","",SUMIFS(Faturalar!$G$8:$G$407,Faturalar!$A$8:$A$407,A22,Faturalar!$G$8:$G$407,"&gt;0"))</f>
        <v/>
      </c>
      <c r="D22" s="12">
        <f>IF(A22="","",SUMIFS(Faturalar!$G$8:$G$407,Faturalar!$A$8:$A$407,A22,Faturalar!$I$8:$I$407,"Vadesi gelmedi"))</f>
        <v/>
      </c>
      <c r="E22" s="12">
        <f>IF(A22="","",SUMIFS(Faturalar!$G$8:$G$407,Faturalar!$A$8:$A$407,A22,Faturalar!$I$8:$I$407,"1-30"))</f>
        <v/>
      </c>
      <c r="F22" s="12">
        <f>IF(A22="","",SUMIFS(Faturalar!$G$8:$G$407,Faturalar!$A$8:$A$407,A22,Faturalar!$I$8:$I$407,"31-60"))</f>
        <v/>
      </c>
      <c r="G22" s="12">
        <f>IF(A22="","",SUMIFS(Faturalar!$G$8:$G$407,Faturalar!$A$8:$A$407,A22,Faturalar!$I$8:$I$407,"61-90"))</f>
        <v/>
      </c>
      <c r="H22" s="12">
        <f>IF(A22="","",SUMIFS(Faturalar!$G$8:$G$407,Faturalar!$A$8:$A$407,A22,Faturalar!$I$8:$I$407,"90+"))</f>
        <v/>
      </c>
      <c r="I22" s="13">
        <f>IF(OR(A22="",B22="",B22=0),"",C22/B22)</f>
        <v/>
      </c>
      <c r="J22">
        <f>IF(I22="","",IF(I22&gt;1,"LİMİT AŞILDI",IF(I22&gt;0.8,"Limite yakın","")))</f>
        <v/>
      </c>
    </row>
    <row r="23">
      <c r="A23" s="10" t="n"/>
      <c r="B23" s="11" t="n"/>
      <c r="C23" s="12">
        <f>IF(A23="","",SUMIFS(Faturalar!$G$8:$G$407,Faturalar!$A$8:$A$407,A23,Faturalar!$G$8:$G$407,"&gt;0"))</f>
        <v/>
      </c>
      <c r="D23" s="12">
        <f>IF(A23="","",SUMIFS(Faturalar!$G$8:$G$407,Faturalar!$A$8:$A$407,A23,Faturalar!$I$8:$I$407,"Vadesi gelmedi"))</f>
        <v/>
      </c>
      <c r="E23" s="12">
        <f>IF(A23="","",SUMIFS(Faturalar!$G$8:$G$407,Faturalar!$A$8:$A$407,A23,Faturalar!$I$8:$I$407,"1-30"))</f>
        <v/>
      </c>
      <c r="F23" s="12">
        <f>IF(A23="","",SUMIFS(Faturalar!$G$8:$G$407,Faturalar!$A$8:$A$407,A23,Faturalar!$I$8:$I$407,"31-60"))</f>
        <v/>
      </c>
      <c r="G23" s="12">
        <f>IF(A23="","",SUMIFS(Faturalar!$G$8:$G$407,Faturalar!$A$8:$A$407,A23,Faturalar!$I$8:$I$407,"61-90"))</f>
        <v/>
      </c>
      <c r="H23" s="12">
        <f>IF(A23="","",SUMIFS(Faturalar!$G$8:$G$407,Faturalar!$A$8:$A$407,A23,Faturalar!$I$8:$I$407,"90+"))</f>
        <v/>
      </c>
      <c r="I23" s="13">
        <f>IF(OR(A23="",B23="",B23=0),"",C23/B23)</f>
        <v/>
      </c>
      <c r="J23">
        <f>IF(I23="","",IF(I23&gt;1,"LİMİT AŞILDI",IF(I23&gt;0.8,"Limite yakın","")))</f>
        <v/>
      </c>
    </row>
    <row r="24">
      <c r="A24" s="10" t="n"/>
      <c r="B24" s="11" t="n"/>
      <c r="C24" s="12">
        <f>IF(A24="","",SUMIFS(Faturalar!$G$8:$G$407,Faturalar!$A$8:$A$407,A24,Faturalar!$G$8:$G$407,"&gt;0"))</f>
        <v/>
      </c>
      <c r="D24" s="12">
        <f>IF(A24="","",SUMIFS(Faturalar!$G$8:$G$407,Faturalar!$A$8:$A$407,A24,Faturalar!$I$8:$I$407,"Vadesi gelmedi"))</f>
        <v/>
      </c>
      <c r="E24" s="12">
        <f>IF(A24="","",SUMIFS(Faturalar!$G$8:$G$407,Faturalar!$A$8:$A$407,A24,Faturalar!$I$8:$I$407,"1-30"))</f>
        <v/>
      </c>
      <c r="F24" s="12">
        <f>IF(A24="","",SUMIFS(Faturalar!$G$8:$G$407,Faturalar!$A$8:$A$407,A24,Faturalar!$I$8:$I$407,"31-60"))</f>
        <v/>
      </c>
      <c r="G24" s="12">
        <f>IF(A24="","",SUMIFS(Faturalar!$G$8:$G$407,Faturalar!$A$8:$A$407,A24,Faturalar!$I$8:$I$407,"61-90"))</f>
        <v/>
      </c>
      <c r="H24" s="12">
        <f>IF(A24="","",SUMIFS(Faturalar!$G$8:$G$407,Faturalar!$A$8:$A$407,A24,Faturalar!$I$8:$I$407,"90+"))</f>
        <v/>
      </c>
      <c r="I24" s="13">
        <f>IF(OR(A24="",B24="",B24=0),"",C24/B24)</f>
        <v/>
      </c>
      <c r="J24">
        <f>IF(I24="","",IF(I24&gt;1,"LİMİT AŞILDI",IF(I24&gt;0.8,"Limite yakın","")))</f>
        <v/>
      </c>
    </row>
    <row r="25">
      <c r="A25" s="10" t="n"/>
      <c r="B25" s="11" t="n"/>
      <c r="C25" s="12">
        <f>IF(A25="","",SUMIFS(Faturalar!$G$8:$G$407,Faturalar!$A$8:$A$407,A25,Faturalar!$G$8:$G$407,"&gt;0"))</f>
        <v/>
      </c>
      <c r="D25" s="12">
        <f>IF(A25="","",SUMIFS(Faturalar!$G$8:$G$407,Faturalar!$A$8:$A$407,A25,Faturalar!$I$8:$I$407,"Vadesi gelmedi"))</f>
        <v/>
      </c>
      <c r="E25" s="12">
        <f>IF(A25="","",SUMIFS(Faturalar!$G$8:$G$407,Faturalar!$A$8:$A$407,A25,Faturalar!$I$8:$I$407,"1-30"))</f>
        <v/>
      </c>
      <c r="F25" s="12">
        <f>IF(A25="","",SUMIFS(Faturalar!$G$8:$G$407,Faturalar!$A$8:$A$407,A25,Faturalar!$I$8:$I$407,"31-60"))</f>
        <v/>
      </c>
      <c r="G25" s="12">
        <f>IF(A25="","",SUMIFS(Faturalar!$G$8:$G$407,Faturalar!$A$8:$A$407,A25,Faturalar!$I$8:$I$407,"61-90"))</f>
        <v/>
      </c>
      <c r="H25" s="12">
        <f>IF(A25="","",SUMIFS(Faturalar!$G$8:$G$407,Faturalar!$A$8:$A$407,A25,Faturalar!$I$8:$I$407,"90+"))</f>
        <v/>
      </c>
      <c r="I25" s="13">
        <f>IF(OR(A25="",B25="",B25=0),"",C25/B25)</f>
        <v/>
      </c>
      <c r="J25">
        <f>IF(I25="","",IF(I25&gt;1,"LİMİT AŞILDI",IF(I25&gt;0.8,"Limite yakın","")))</f>
        <v/>
      </c>
    </row>
    <row r="26">
      <c r="A26" s="10" t="n"/>
      <c r="B26" s="11" t="n"/>
      <c r="C26" s="12">
        <f>IF(A26="","",SUMIFS(Faturalar!$G$8:$G$407,Faturalar!$A$8:$A$407,A26,Faturalar!$G$8:$G$407,"&gt;0"))</f>
        <v/>
      </c>
      <c r="D26" s="12">
        <f>IF(A26="","",SUMIFS(Faturalar!$G$8:$G$407,Faturalar!$A$8:$A$407,A26,Faturalar!$I$8:$I$407,"Vadesi gelmedi"))</f>
        <v/>
      </c>
      <c r="E26" s="12">
        <f>IF(A26="","",SUMIFS(Faturalar!$G$8:$G$407,Faturalar!$A$8:$A$407,A26,Faturalar!$I$8:$I$407,"1-30"))</f>
        <v/>
      </c>
      <c r="F26" s="12">
        <f>IF(A26="","",SUMIFS(Faturalar!$G$8:$G$407,Faturalar!$A$8:$A$407,A26,Faturalar!$I$8:$I$407,"31-60"))</f>
        <v/>
      </c>
      <c r="G26" s="12">
        <f>IF(A26="","",SUMIFS(Faturalar!$G$8:$G$407,Faturalar!$A$8:$A$407,A26,Faturalar!$I$8:$I$407,"61-90"))</f>
        <v/>
      </c>
      <c r="H26" s="12">
        <f>IF(A26="","",SUMIFS(Faturalar!$G$8:$G$407,Faturalar!$A$8:$A$407,A26,Faturalar!$I$8:$I$407,"90+"))</f>
        <v/>
      </c>
      <c r="I26" s="13">
        <f>IF(OR(A26="",B26="",B26=0),"",C26/B26)</f>
        <v/>
      </c>
      <c r="J26">
        <f>IF(I26="","",IF(I26&gt;1,"LİMİT AŞILDI",IF(I26&gt;0.8,"Limite yakın","")))</f>
        <v/>
      </c>
    </row>
    <row r="27">
      <c r="A27" s="10" t="n"/>
      <c r="B27" s="11" t="n"/>
      <c r="C27" s="12">
        <f>IF(A27="","",SUMIFS(Faturalar!$G$8:$G$407,Faturalar!$A$8:$A$407,A27,Faturalar!$G$8:$G$407,"&gt;0"))</f>
        <v/>
      </c>
      <c r="D27" s="12">
        <f>IF(A27="","",SUMIFS(Faturalar!$G$8:$G$407,Faturalar!$A$8:$A$407,A27,Faturalar!$I$8:$I$407,"Vadesi gelmedi"))</f>
        <v/>
      </c>
      <c r="E27" s="12">
        <f>IF(A27="","",SUMIFS(Faturalar!$G$8:$G$407,Faturalar!$A$8:$A$407,A27,Faturalar!$I$8:$I$407,"1-30"))</f>
        <v/>
      </c>
      <c r="F27" s="12">
        <f>IF(A27="","",SUMIFS(Faturalar!$G$8:$G$407,Faturalar!$A$8:$A$407,A27,Faturalar!$I$8:$I$407,"31-60"))</f>
        <v/>
      </c>
      <c r="G27" s="12">
        <f>IF(A27="","",SUMIFS(Faturalar!$G$8:$G$407,Faturalar!$A$8:$A$407,A27,Faturalar!$I$8:$I$407,"61-90"))</f>
        <v/>
      </c>
      <c r="H27" s="12">
        <f>IF(A27="","",SUMIFS(Faturalar!$G$8:$G$407,Faturalar!$A$8:$A$407,A27,Faturalar!$I$8:$I$407,"90+"))</f>
        <v/>
      </c>
      <c r="I27" s="13">
        <f>IF(OR(A27="",B27="",B27=0),"",C27/B27)</f>
        <v/>
      </c>
      <c r="J27">
        <f>IF(I27="","",IF(I27&gt;1,"LİMİT AŞILDI",IF(I27&gt;0.8,"Limite yakın","")))</f>
        <v/>
      </c>
    </row>
    <row r="28">
      <c r="A28" s="10" t="n"/>
      <c r="B28" s="11" t="n"/>
      <c r="C28" s="12">
        <f>IF(A28="","",SUMIFS(Faturalar!$G$8:$G$407,Faturalar!$A$8:$A$407,A28,Faturalar!$G$8:$G$407,"&gt;0"))</f>
        <v/>
      </c>
      <c r="D28" s="12">
        <f>IF(A28="","",SUMIFS(Faturalar!$G$8:$G$407,Faturalar!$A$8:$A$407,A28,Faturalar!$I$8:$I$407,"Vadesi gelmedi"))</f>
        <v/>
      </c>
      <c r="E28" s="12">
        <f>IF(A28="","",SUMIFS(Faturalar!$G$8:$G$407,Faturalar!$A$8:$A$407,A28,Faturalar!$I$8:$I$407,"1-30"))</f>
        <v/>
      </c>
      <c r="F28" s="12">
        <f>IF(A28="","",SUMIFS(Faturalar!$G$8:$G$407,Faturalar!$A$8:$A$407,A28,Faturalar!$I$8:$I$407,"31-60"))</f>
        <v/>
      </c>
      <c r="G28" s="12">
        <f>IF(A28="","",SUMIFS(Faturalar!$G$8:$G$407,Faturalar!$A$8:$A$407,A28,Faturalar!$I$8:$I$407,"61-90"))</f>
        <v/>
      </c>
      <c r="H28" s="12">
        <f>IF(A28="","",SUMIFS(Faturalar!$G$8:$G$407,Faturalar!$A$8:$A$407,A28,Faturalar!$I$8:$I$407,"90+"))</f>
        <v/>
      </c>
      <c r="I28" s="13">
        <f>IF(OR(A28="",B28="",B28=0),"",C28/B28)</f>
        <v/>
      </c>
      <c r="J28">
        <f>IF(I28="","",IF(I28&gt;1,"LİMİT AŞILDI",IF(I28&gt;0.8,"Limite yakın","")))</f>
        <v/>
      </c>
    </row>
    <row r="29">
      <c r="A29" s="10" t="n"/>
      <c r="B29" s="11" t="n"/>
      <c r="C29" s="12">
        <f>IF(A29="","",SUMIFS(Faturalar!$G$8:$G$407,Faturalar!$A$8:$A$407,A29,Faturalar!$G$8:$G$407,"&gt;0"))</f>
        <v/>
      </c>
      <c r="D29" s="12">
        <f>IF(A29="","",SUMIFS(Faturalar!$G$8:$G$407,Faturalar!$A$8:$A$407,A29,Faturalar!$I$8:$I$407,"Vadesi gelmedi"))</f>
        <v/>
      </c>
      <c r="E29" s="12">
        <f>IF(A29="","",SUMIFS(Faturalar!$G$8:$G$407,Faturalar!$A$8:$A$407,A29,Faturalar!$I$8:$I$407,"1-30"))</f>
        <v/>
      </c>
      <c r="F29" s="12">
        <f>IF(A29="","",SUMIFS(Faturalar!$G$8:$G$407,Faturalar!$A$8:$A$407,A29,Faturalar!$I$8:$I$407,"31-60"))</f>
        <v/>
      </c>
      <c r="G29" s="12">
        <f>IF(A29="","",SUMIFS(Faturalar!$G$8:$G$407,Faturalar!$A$8:$A$407,A29,Faturalar!$I$8:$I$407,"61-90"))</f>
        <v/>
      </c>
      <c r="H29" s="12">
        <f>IF(A29="","",SUMIFS(Faturalar!$G$8:$G$407,Faturalar!$A$8:$A$407,A29,Faturalar!$I$8:$I$407,"90+"))</f>
        <v/>
      </c>
      <c r="I29" s="13">
        <f>IF(OR(A29="",B29="",B29=0),"",C29/B29)</f>
        <v/>
      </c>
      <c r="J29">
        <f>IF(I29="","",IF(I29&gt;1,"LİMİT AŞILDI",IF(I29&gt;0.8,"Limite yakın","")))</f>
        <v/>
      </c>
    </row>
    <row r="30">
      <c r="A30" s="10" t="n"/>
      <c r="B30" s="11" t="n"/>
      <c r="C30" s="12">
        <f>IF(A30="","",SUMIFS(Faturalar!$G$8:$G$407,Faturalar!$A$8:$A$407,A30,Faturalar!$G$8:$G$407,"&gt;0"))</f>
        <v/>
      </c>
      <c r="D30" s="12">
        <f>IF(A30="","",SUMIFS(Faturalar!$G$8:$G$407,Faturalar!$A$8:$A$407,A30,Faturalar!$I$8:$I$407,"Vadesi gelmedi"))</f>
        <v/>
      </c>
      <c r="E30" s="12">
        <f>IF(A30="","",SUMIFS(Faturalar!$G$8:$G$407,Faturalar!$A$8:$A$407,A30,Faturalar!$I$8:$I$407,"1-30"))</f>
        <v/>
      </c>
      <c r="F30" s="12">
        <f>IF(A30="","",SUMIFS(Faturalar!$G$8:$G$407,Faturalar!$A$8:$A$407,A30,Faturalar!$I$8:$I$407,"31-60"))</f>
        <v/>
      </c>
      <c r="G30" s="12">
        <f>IF(A30="","",SUMIFS(Faturalar!$G$8:$G$407,Faturalar!$A$8:$A$407,A30,Faturalar!$I$8:$I$407,"61-90"))</f>
        <v/>
      </c>
      <c r="H30" s="12">
        <f>IF(A30="","",SUMIFS(Faturalar!$G$8:$G$407,Faturalar!$A$8:$A$407,A30,Faturalar!$I$8:$I$407,"90+"))</f>
        <v/>
      </c>
      <c r="I30" s="13">
        <f>IF(OR(A30="",B30="",B30=0),"",C30/B30)</f>
        <v/>
      </c>
      <c r="J30">
        <f>IF(I30="","",IF(I30&gt;1,"LİMİT AŞILDI",IF(I30&gt;0.8,"Limite yakın","")))</f>
        <v/>
      </c>
    </row>
    <row r="31">
      <c r="A31" s="10" t="n"/>
      <c r="B31" s="11" t="n"/>
      <c r="C31" s="12">
        <f>IF(A31="","",SUMIFS(Faturalar!$G$8:$G$407,Faturalar!$A$8:$A$407,A31,Faturalar!$G$8:$G$407,"&gt;0"))</f>
        <v/>
      </c>
      <c r="D31" s="12">
        <f>IF(A31="","",SUMIFS(Faturalar!$G$8:$G$407,Faturalar!$A$8:$A$407,A31,Faturalar!$I$8:$I$407,"Vadesi gelmedi"))</f>
        <v/>
      </c>
      <c r="E31" s="12">
        <f>IF(A31="","",SUMIFS(Faturalar!$G$8:$G$407,Faturalar!$A$8:$A$407,A31,Faturalar!$I$8:$I$407,"1-30"))</f>
        <v/>
      </c>
      <c r="F31" s="12">
        <f>IF(A31="","",SUMIFS(Faturalar!$G$8:$G$407,Faturalar!$A$8:$A$407,A31,Faturalar!$I$8:$I$407,"31-60"))</f>
        <v/>
      </c>
      <c r="G31" s="12">
        <f>IF(A31="","",SUMIFS(Faturalar!$G$8:$G$407,Faturalar!$A$8:$A$407,A31,Faturalar!$I$8:$I$407,"61-90"))</f>
        <v/>
      </c>
      <c r="H31" s="12">
        <f>IF(A31="","",SUMIFS(Faturalar!$G$8:$G$407,Faturalar!$A$8:$A$407,A31,Faturalar!$I$8:$I$407,"90+"))</f>
        <v/>
      </c>
      <c r="I31" s="13">
        <f>IF(OR(A31="",B31="",B31=0),"",C31/B31)</f>
        <v/>
      </c>
      <c r="J31">
        <f>IF(I31="","",IF(I31&gt;1,"LİMİT AŞILDI",IF(I31&gt;0.8,"Limite yakın","")))</f>
        <v/>
      </c>
    </row>
    <row r="32">
      <c r="A32" s="10" t="n"/>
      <c r="B32" s="11" t="n"/>
      <c r="C32" s="12">
        <f>IF(A32="","",SUMIFS(Faturalar!$G$8:$G$407,Faturalar!$A$8:$A$407,A32,Faturalar!$G$8:$G$407,"&gt;0"))</f>
        <v/>
      </c>
      <c r="D32" s="12">
        <f>IF(A32="","",SUMIFS(Faturalar!$G$8:$G$407,Faturalar!$A$8:$A$407,A32,Faturalar!$I$8:$I$407,"Vadesi gelmedi"))</f>
        <v/>
      </c>
      <c r="E32" s="12">
        <f>IF(A32="","",SUMIFS(Faturalar!$G$8:$G$407,Faturalar!$A$8:$A$407,A32,Faturalar!$I$8:$I$407,"1-30"))</f>
        <v/>
      </c>
      <c r="F32" s="12">
        <f>IF(A32="","",SUMIFS(Faturalar!$G$8:$G$407,Faturalar!$A$8:$A$407,A32,Faturalar!$I$8:$I$407,"31-60"))</f>
        <v/>
      </c>
      <c r="G32" s="12">
        <f>IF(A32="","",SUMIFS(Faturalar!$G$8:$G$407,Faturalar!$A$8:$A$407,A32,Faturalar!$I$8:$I$407,"61-90"))</f>
        <v/>
      </c>
      <c r="H32" s="12">
        <f>IF(A32="","",SUMIFS(Faturalar!$G$8:$G$407,Faturalar!$A$8:$A$407,A32,Faturalar!$I$8:$I$407,"90+"))</f>
        <v/>
      </c>
      <c r="I32" s="13">
        <f>IF(OR(A32="",B32="",B32=0),"",C32/B32)</f>
        <v/>
      </c>
      <c r="J32">
        <f>IF(I32="","",IF(I32&gt;1,"LİMİT AŞILDI",IF(I32&gt;0.8,"Limite yakın","")))</f>
        <v/>
      </c>
    </row>
    <row r="33">
      <c r="A33" s="10" t="n"/>
      <c r="B33" s="11" t="n"/>
      <c r="C33" s="12">
        <f>IF(A33="","",SUMIFS(Faturalar!$G$8:$G$407,Faturalar!$A$8:$A$407,A33,Faturalar!$G$8:$G$407,"&gt;0"))</f>
        <v/>
      </c>
      <c r="D33" s="12">
        <f>IF(A33="","",SUMIFS(Faturalar!$G$8:$G$407,Faturalar!$A$8:$A$407,A33,Faturalar!$I$8:$I$407,"Vadesi gelmedi"))</f>
        <v/>
      </c>
      <c r="E33" s="12">
        <f>IF(A33="","",SUMIFS(Faturalar!$G$8:$G$407,Faturalar!$A$8:$A$407,A33,Faturalar!$I$8:$I$407,"1-30"))</f>
        <v/>
      </c>
      <c r="F33" s="12">
        <f>IF(A33="","",SUMIFS(Faturalar!$G$8:$G$407,Faturalar!$A$8:$A$407,A33,Faturalar!$I$8:$I$407,"31-60"))</f>
        <v/>
      </c>
      <c r="G33" s="12">
        <f>IF(A33="","",SUMIFS(Faturalar!$G$8:$G$407,Faturalar!$A$8:$A$407,A33,Faturalar!$I$8:$I$407,"61-90"))</f>
        <v/>
      </c>
      <c r="H33" s="12">
        <f>IF(A33="","",SUMIFS(Faturalar!$G$8:$G$407,Faturalar!$A$8:$A$407,A33,Faturalar!$I$8:$I$407,"90+"))</f>
        <v/>
      </c>
      <c r="I33" s="13">
        <f>IF(OR(A33="",B33="",B33=0),"",C33/B33)</f>
        <v/>
      </c>
      <c r="J33">
        <f>IF(I33="","",IF(I33&gt;1,"LİMİT AŞILDI",IF(I33&gt;0.8,"Limite yakın","")))</f>
        <v/>
      </c>
    </row>
    <row r="34">
      <c r="A34" s="10" t="n"/>
      <c r="B34" s="11" t="n"/>
      <c r="C34" s="12">
        <f>IF(A34="","",SUMIFS(Faturalar!$G$8:$G$407,Faturalar!$A$8:$A$407,A34,Faturalar!$G$8:$G$407,"&gt;0"))</f>
        <v/>
      </c>
      <c r="D34" s="12">
        <f>IF(A34="","",SUMIFS(Faturalar!$G$8:$G$407,Faturalar!$A$8:$A$407,A34,Faturalar!$I$8:$I$407,"Vadesi gelmedi"))</f>
        <v/>
      </c>
      <c r="E34" s="12">
        <f>IF(A34="","",SUMIFS(Faturalar!$G$8:$G$407,Faturalar!$A$8:$A$407,A34,Faturalar!$I$8:$I$407,"1-30"))</f>
        <v/>
      </c>
      <c r="F34" s="12">
        <f>IF(A34="","",SUMIFS(Faturalar!$G$8:$G$407,Faturalar!$A$8:$A$407,A34,Faturalar!$I$8:$I$407,"31-60"))</f>
        <v/>
      </c>
      <c r="G34" s="12">
        <f>IF(A34="","",SUMIFS(Faturalar!$G$8:$G$407,Faturalar!$A$8:$A$407,A34,Faturalar!$I$8:$I$407,"61-90"))</f>
        <v/>
      </c>
      <c r="H34" s="12">
        <f>IF(A34="","",SUMIFS(Faturalar!$G$8:$G$407,Faturalar!$A$8:$A$407,A34,Faturalar!$I$8:$I$407,"90+"))</f>
        <v/>
      </c>
      <c r="I34" s="13">
        <f>IF(OR(A34="",B34="",B34=0),"",C34/B34)</f>
        <v/>
      </c>
      <c r="J34">
        <f>IF(I34="","",IF(I34&gt;1,"LİMİT AŞILDI",IF(I34&gt;0.8,"Limite yakın","")))</f>
        <v/>
      </c>
    </row>
    <row r="35">
      <c r="A35" s="10" t="n"/>
      <c r="B35" s="11" t="n"/>
      <c r="C35" s="12">
        <f>IF(A35="","",SUMIFS(Faturalar!$G$8:$G$407,Faturalar!$A$8:$A$407,A35,Faturalar!$G$8:$G$407,"&gt;0"))</f>
        <v/>
      </c>
      <c r="D35" s="12">
        <f>IF(A35="","",SUMIFS(Faturalar!$G$8:$G$407,Faturalar!$A$8:$A$407,A35,Faturalar!$I$8:$I$407,"Vadesi gelmedi"))</f>
        <v/>
      </c>
      <c r="E35" s="12">
        <f>IF(A35="","",SUMIFS(Faturalar!$G$8:$G$407,Faturalar!$A$8:$A$407,A35,Faturalar!$I$8:$I$407,"1-30"))</f>
        <v/>
      </c>
      <c r="F35" s="12">
        <f>IF(A35="","",SUMIFS(Faturalar!$G$8:$G$407,Faturalar!$A$8:$A$407,A35,Faturalar!$I$8:$I$407,"31-60"))</f>
        <v/>
      </c>
      <c r="G35" s="12">
        <f>IF(A35="","",SUMIFS(Faturalar!$G$8:$G$407,Faturalar!$A$8:$A$407,A35,Faturalar!$I$8:$I$407,"61-90"))</f>
        <v/>
      </c>
      <c r="H35" s="12">
        <f>IF(A35="","",SUMIFS(Faturalar!$G$8:$G$407,Faturalar!$A$8:$A$407,A35,Faturalar!$I$8:$I$407,"90+"))</f>
        <v/>
      </c>
      <c r="I35" s="13">
        <f>IF(OR(A35="",B35="",B35=0),"",C35/B35)</f>
        <v/>
      </c>
      <c r="J35">
        <f>IF(I35="","",IF(I35&gt;1,"LİMİT AŞILDI",IF(I35&gt;0.8,"Limite yakın","")))</f>
        <v/>
      </c>
    </row>
    <row r="36">
      <c r="A36" s="10" t="n"/>
      <c r="B36" s="11" t="n"/>
      <c r="C36" s="12">
        <f>IF(A36="","",SUMIFS(Faturalar!$G$8:$G$407,Faturalar!$A$8:$A$407,A36,Faturalar!$G$8:$G$407,"&gt;0"))</f>
        <v/>
      </c>
      <c r="D36" s="12">
        <f>IF(A36="","",SUMIFS(Faturalar!$G$8:$G$407,Faturalar!$A$8:$A$407,A36,Faturalar!$I$8:$I$407,"Vadesi gelmedi"))</f>
        <v/>
      </c>
      <c r="E36" s="12">
        <f>IF(A36="","",SUMIFS(Faturalar!$G$8:$G$407,Faturalar!$A$8:$A$407,A36,Faturalar!$I$8:$I$407,"1-30"))</f>
        <v/>
      </c>
      <c r="F36" s="12">
        <f>IF(A36="","",SUMIFS(Faturalar!$G$8:$G$407,Faturalar!$A$8:$A$407,A36,Faturalar!$I$8:$I$407,"31-60"))</f>
        <v/>
      </c>
      <c r="G36" s="12">
        <f>IF(A36="","",SUMIFS(Faturalar!$G$8:$G$407,Faturalar!$A$8:$A$407,A36,Faturalar!$I$8:$I$407,"61-90"))</f>
        <v/>
      </c>
      <c r="H36" s="12">
        <f>IF(A36="","",SUMIFS(Faturalar!$G$8:$G$407,Faturalar!$A$8:$A$407,A36,Faturalar!$I$8:$I$407,"90+"))</f>
        <v/>
      </c>
      <c r="I36" s="13">
        <f>IF(OR(A36="",B36="",B36=0),"",C36/B36)</f>
        <v/>
      </c>
      <c r="J36">
        <f>IF(I36="","",IF(I36&gt;1,"LİMİT AŞILDI",IF(I36&gt;0.8,"Limite yakın","")))</f>
        <v/>
      </c>
    </row>
    <row r="37">
      <c r="A37" s="10" t="n"/>
      <c r="B37" s="11" t="n"/>
      <c r="C37" s="12">
        <f>IF(A37="","",SUMIFS(Faturalar!$G$8:$G$407,Faturalar!$A$8:$A$407,A37,Faturalar!$G$8:$G$407,"&gt;0"))</f>
        <v/>
      </c>
      <c r="D37" s="12">
        <f>IF(A37="","",SUMIFS(Faturalar!$G$8:$G$407,Faturalar!$A$8:$A$407,A37,Faturalar!$I$8:$I$407,"Vadesi gelmedi"))</f>
        <v/>
      </c>
      <c r="E37" s="12">
        <f>IF(A37="","",SUMIFS(Faturalar!$G$8:$G$407,Faturalar!$A$8:$A$407,A37,Faturalar!$I$8:$I$407,"1-30"))</f>
        <v/>
      </c>
      <c r="F37" s="12">
        <f>IF(A37="","",SUMIFS(Faturalar!$G$8:$G$407,Faturalar!$A$8:$A$407,A37,Faturalar!$I$8:$I$407,"31-60"))</f>
        <v/>
      </c>
      <c r="G37" s="12">
        <f>IF(A37="","",SUMIFS(Faturalar!$G$8:$G$407,Faturalar!$A$8:$A$407,A37,Faturalar!$I$8:$I$407,"61-90"))</f>
        <v/>
      </c>
      <c r="H37" s="12">
        <f>IF(A37="","",SUMIFS(Faturalar!$G$8:$G$407,Faturalar!$A$8:$A$407,A37,Faturalar!$I$8:$I$407,"90+"))</f>
        <v/>
      </c>
      <c r="I37" s="13">
        <f>IF(OR(A37="",B37="",B37=0),"",C37/B37)</f>
        <v/>
      </c>
      <c r="J37">
        <f>IF(I37="","",IF(I37&gt;1,"LİMİT AŞILDI",IF(I37&gt;0.8,"Limite yakın","")))</f>
        <v/>
      </c>
    </row>
    <row r="38">
      <c r="A38" s="10" t="n"/>
      <c r="B38" s="11" t="n"/>
      <c r="C38" s="12">
        <f>IF(A38="","",SUMIFS(Faturalar!$G$8:$G$407,Faturalar!$A$8:$A$407,A38,Faturalar!$G$8:$G$407,"&gt;0"))</f>
        <v/>
      </c>
      <c r="D38" s="12">
        <f>IF(A38="","",SUMIFS(Faturalar!$G$8:$G$407,Faturalar!$A$8:$A$407,A38,Faturalar!$I$8:$I$407,"Vadesi gelmedi"))</f>
        <v/>
      </c>
      <c r="E38" s="12">
        <f>IF(A38="","",SUMIFS(Faturalar!$G$8:$G$407,Faturalar!$A$8:$A$407,A38,Faturalar!$I$8:$I$407,"1-30"))</f>
        <v/>
      </c>
      <c r="F38" s="12">
        <f>IF(A38="","",SUMIFS(Faturalar!$G$8:$G$407,Faturalar!$A$8:$A$407,A38,Faturalar!$I$8:$I$407,"31-60"))</f>
        <v/>
      </c>
      <c r="G38" s="12">
        <f>IF(A38="","",SUMIFS(Faturalar!$G$8:$G$407,Faturalar!$A$8:$A$407,A38,Faturalar!$I$8:$I$407,"61-90"))</f>
        <v/>
      </c>
      <c r="H38" s="12">
        <f>IF(A38="","",SUMIFS(Faturalar!$G$8:$G$407,Faturalar!$A$8:$A$407,A38,Faturalar!$I$8:$I$407,"90+"))</f>
        <v/>
      </c>
      <c r="I38" s="13">
        <f>IF(OR(A38="",B38="",B38=0),"",C38/B38)</f>
        <v/>
      </c>
      <c r="J38">
        <f>IF(I38="","",IF(I38&gt;1,"LİMİT AŞILDI",IF(I38&gt;0.8,"Limite yakın","")))</f>
        <v/>
      </c>
    </row>
    <row r="39">
      <c r="A39" s="10" t="n"/>
      <c r="B39" s="11" t="n"/>
      <c r="C39" s="12">
        <f>IF(A39="","",SUMIFS(Faturalar!$G$8:$G$407,Faturalar!$A$8:$A$407,A39,Faturalar!$G$8:$G$407,"&gt;0"))</f>
        <v/>
      </c>
      <c r="D39" s="12">
        <f>IF(A39="","",SUMIFS(Faturalar!$G$8:$G$407,Faturalar!$A$8:$A$407,A39,Faturalar!$I$8:$I$407,"Vadesi gelmedi"))</f>
        <v/>
      </c>
      <c r="E39" s="12">
        <f>IF(A39="","",SUMIFS(Faturalar!$G$8:$G$407,Faturalar!$A$8:$A$407,A39,Faturalar!$I$8:$I$407,"1-30"))</f>
        <v/>
      </c>
      <c r="F39" s="12">
        <f>IF(A39="","",SUMIFS(Faturalar!$G$8:$G$407,Faturalar!$A$8:$A$407,A39,Faturalar!$I$8:$I$407,"31-60"))</f>
        <v/>
      </c>
      <c r="G39" s="12">
        <f>IF(A39="","",SUMIFS(Faturalar!$G$8:$G$407,Faturalar!$A$8:$A$407,A39,Faturalar!$I$8:$I$407,"61-90"))</f>
        <v/>
      </c>
      <c r="H39" s="12">
        <f>IF(A39="","",SUMIFS(Faturalar!$G$8:$G$407,Faturalar!$A$8:$A$407,A39,Faturalar!$I$8:$I$407,"90+"))</f>
        <v/>
      </c>
      <c r="I39" s="13">
        <f>IF(OR(A39="",B39="",B39=0),"",C39/B39)</f>
        <v/>
      </c>
      <c r="J39">
        <f>IF(I39="","",IF(I39&gt;1,"LİMİT AŞILDI",IF(I39&gt;0.8,"Limite yakın","")))</f>
        <v/>
      </c>
    </row>
    <row r="40">
      <c r="A40" s="10" t="n"/>
      <c r="B40" s="11" t="n"/>
      <c r="C40" s="12">
        <f>IF(A40="","",SUMIFS(Faturalar!$G$8:$G$407,Faturalar!$A$8:$A$407,A40,Faturalar!$G$8:$G$407,"&gt;0"))</f>
        <v/>
      </c>
      <c r="D40" s="12">
        <f>IF(A40="","",SUMIFS(Faturalar!$G$8:$G$407,Faturalar!$A$8:$A$407,A40,Faturalar!$I$8:$I$407,"Vadesi gelmedi"))</f>
        <v/>
      </c>
      <c r="E40" s="12">
        <f>IF(A40="","",SUMIFS(Faturalar!$G$8:$G$407,Faturalar!$A$8:$A$407,A40,Faturalar!$I$8:$I$407,"1-30"))</f>
        <v/>
      </c>
      <c r="F40" s="12">
        <f>IF(A40="","",SUMIFS(Faturalar!$G$8:$G$407,Faturalar!$A$8:$A$407,A40,Faturalar!$I$8:$I$407,"31-60"))</f>
        <v/>
      </c>
      <c r="G40" s="12">
        <f>IF(A40="","",SUMIFS(Faturalar!$G$8:$G$407,Faturalar!$A$8:$A$407,A40,Faturalar!$I$8:$I$407,"61-90"))</f>
        <v/>
      </c>
      <c r="H40" s="12">
        <f>IF(A40="","",SUMIFS(Faturalar!$G$8:$G$407,Faturalar!$A$8:$A$407,A40,Faturalar!$I$8:$I$407,"90+"))</f>
        <v/>
      </c>
      <c r="I40" s="13">
        <f>IF(OR(A40="",B40="",B40=0),"",C40/B40)</f>
        <v/>
      </c>
      <c r="J40">
        <f>IF(I40="","",IF(I40&gt;1,"LİMİT AŞILDI",IF(I40&gt;0.8,"Limite yakın","")))</f>
        <v/>
      </c>
    </row>
    <row r="41">
      <c r="A41" s="10" t="n"/>
      <c r="B41" s="11" t="n"/>
      <c r="C41" s="12">
        <f>IF(A41="","",SUMIFS(Faturalar!$G$8:$G$407,Faturalar!$A$8:$A$407,A41,Faturalar!$G$8:$G$407,"&gt;0"))</f>
        <v/>
      </c>
      <c r="D41" s="12">
        <f>IF(A41="","",SUMIFS(Faturalar!$G$8:$G$407,Faturalar!$A$8:$A$407,A41,Faturalar!$I$8:$I$407,"Vadesi gelmedi"))</f>
        <v/>
      </c>
      <c r="E41" s="12">
        <f>IF(A41="","",SUMIFS(Faturalar!$G$8:$G$407,Faturalar!$A$8:$A$407,A41,Faturalar!$I$8:$I$407,"1-30"))</f>
        <v/>
      </c>
      <c r="F41" s="12">
        <f>IF(A41="","",SUMIFS(Faturalar!$G$8:$G$407,Faturalar!$A$8:$A$407,A41,Faturalar!$I$8:$I$407,"31-60"))</f>
        <v/>
      </c>
      <c r="G41" s="12">
        <f>IF(A41="","",SUMIFS(Faturalar!$G$8:$G$407,Faturalar!$A$8:$A$407,A41,Faturalar!$I$8:$I$407,"61-90"))</f>
        <v/>
      </c>
      <c r="H41" s="12">
        <f>IF(A41="","",SUMIFS(Faturalar!$G$8:$G$407,Faturalar!$A$8:$A$407,A41,Faturalar!$I$8:$I$407,"90+"))</f>
        <v/>
      </c>
      <c r="I41" s="13">
        <f>IF(OR(A41="",B41="",B41=0),"",C41/B41)</f>
        <v/>
      </c>
      <c r="J41">
        <f>IF(I41="","",IF(I41&gt;1,"LİMİT AŞILDI",IF(I41&gt;0.8,"Limite yakın","")))</f>
        <v/>
      </c>
    </row>
    <row r="42">
      <c r="A42" s="10" t="n"/>
      <c r="B42" s="11" t="n"/>
      <c r="C42" s="12">
        <f>IF(A42="","",SUMIFS(Faturalar!$G$8:$G$407,Faturalar!$A$8:$A$407,A42,Faturalar!$G$8:$G$407,"&gt;0"))</f>
        <v/>
      </c>
      <c r="D42" s="12">
        <f>IF(A42="","",SUMIFS(Faturalar!$G$8:$G$407,Faturalar!$A$8:$A$407,A42,Faturalar!$I$8:$I$407,"Vadesi gelmedi"))</f>
        <v/>
      </c>
      <c r="E42" s="12">
        <f>IF(A42="","",SUMIFS(Faturalar!$G$8:$G$407,Faturalar!$A$8:$A$407,A42,Faturalar!$I$8:$I$407,"1-30"))</f>
        <v/>
      </c>
      <c r="F42" s="12">
        <f>IF(A42="","",SUMIFS(Faturalar!$G$8:$G$407,Faturalar!$A$8:$A$407,A42,Faturalar!$I$8:$I$407,"31-60"))</f>
        <v/>
      </c>
      <c r="G42" s="12">
        <f>IF(A42="","",SUMIFS(Faturalar!$G$8:$G$407,Faturalar!$A$8:$A$407,A42,Faturalar!$I$8:$I$407,"61-90"))</f>
        <v/>
      </c>
      <c r="H42" s="12">
        <f>IF(A42="","",SUMIFS(Faturalar!$G$8:$G$407,Faturalar!$A$8:$A$407,A42,Faturalar!$I$8:$I$407,"90+"))</f>
        <v/>
      </c>
      <c r="I42" s="13">
        <f>IF(OR(A42="",B42="",B42=0),"",C42/B42)</f>
        <v/>
      </c>
      <c r="J42">
        <f>IF(I42="","",IF(I42&gt;1,"LİMİT AŞILDI",IF(I42&gt;0.8,"Limite yakın","")))</f>
        <v/>
      </c>
    </row>
    <row r="43">
      <c r="A43" s="10" t="n"/>
      <c r="B43" s="11" t="n"/>
      <c r="C43" s="12">
        <f>IF(A43="","",SUMIFS(Faturalar!$G$8:$G$407,Faturalar!$A$8:$A$407,A43,Faturalar!$G$8:$G$407,"&gt;0"))</f>
        <v/>
      </c>
      <c r="D43" s="12">
        <f>IF(A43="","",SUMIFS(Faturalar!$G$8:$G$407,Faturalar!$A$8:$A$407,A43,Faturalar!$I$8:$I$407,"Vadesi gelmedi"))</f>
        <v/>
      </c>
      <c r="E43" s="12">
        <f>IF(A43="","",SUMIFS(Faturalar!$G$8:$G$407,Faturalar!$A$8:$A$407,A43,Faturalar!$I$8:$I$407,"1-30"))</f>
        <v/>
      </c>
      <c r="F43" s="12">
        <f>IF(A43="","",SUMIFS(Faturalar!$G$8:$G$407,Faturalar!$A$8:$A$407,A43,Faturalar!$I$8:$I$407,"31-60"))</f>
        <v/>
      </c>
      <c r="G43" s="12">
        <f>IF(A43="","",SUMIFS(Faturalar!$G$8:$G$407,Faturalar!$A$8:$A$407,A43,Faturalar!$I$8:$I$407,"61-90"))</f>
        <v/>
      </c>
      <c r="H43" s="12">
        <f>IF(A43="","",SUMIFS(Faturalar!$G$8:$G$407,Faturalar!$A$8:$A$407,A43,Faturalar!$I$8:$I$407,"90+"))</f>
        <v/>
      </c>
      <c r="I43" s="13">
        <f>IF(OR(A43="",B43="",B43=0),"",C43/B43)</f>
        <v/>
      </c>
      <c r="J43">
        <f>IF(I43="","",IF(I43&gt;1,"LİMİT AŞILDI",IF(I43&gt;0.8,"Limite yakın","")))</f>
        <v/>
      </c>
    </row>
    <row r="44">
      <c r="A44" s="10" t="n"/>
      <c r="B44" s="11" t="n"/>
      <c r="C44" s="12">
        <f>IF(A44="","",SUMIFS(Faturalar!$G$8:$G$407,Faturalar!$A$8:$A$407,A44,Faturalar!$G$8:$G$407,"&gt;0"))</f>
        <v/>
      </c>
      <c r="D44" s="12">
        <f>IF(A44="","",SUMIFS(Faturalar!$G$8:$G$407,Faturalar!$A$8:$A$407,A44,Faturalar!$I$8:$I$407,"Vadesi gelmedi"))</f>
        <v/>
      </c>
      <c r="E44" s="12">
        <f>IF(A44="","",SUMIFS(Faturalar!$G$8:$G$407,Faturalar!$A$8:$A$407,A44,Faturalar!$I$8:$I$407,"1-30"))</f>
        <v/>
      </c>
      <c r="F44" s="12">
        <f>IF(A44="","",SUMIFS(Faturalar!$G$8:$G$407,Faturalar!$A$8:$A$407,A44,Faturalar!$I$8:$I$407,"31-60"))</f>
        <v/>
      </c>
      <c r="G44" s="12">
        <f>IF(A44="","",SUMIFS(Faturalar!$G$8:$G$407,Faturalar!$A$8:$A$407,A44,Faturalar!$I$8:$I$407,"61-90"))</f>
        <v/>
      </c>
      <c r="H44" s="12">
        <f>IF(A44="","",SUMIFS(Faturalar!$G$8:$G$407,Faturalar!$A$8:$A$407,A44,Faturalar!$I$8:$I$407,"90+"))</f>
        <v/>
      </c>
      <c r="I44" s="13">
        <f>IF(OR(A44="",B44="",B44=0),"",C44/B44)</f>
        <v/>
      </c>
      <c r="J44">
        <f>IF(I44="","",IF(I44&gt;1,"LİMİT AŞILDI",IF(I44&gt;0.8,"Limite yakın","")))</f>
        <v/>
      </c>
    </row>
    <row r="45">
      <c r="A45" s="10" t="n"/>
      <c r="B45" s="11" t="n"/>
      <c r="C45" s="12">
        <f>IF(A45="","",SUMIFS(Faturalar!$G$8:$G$407,Faturalar!$A$8:$A$407,A45,Faturalar!$G$8:$G$407,"&gt;0"))</f>
        <v/>
      </c>
      <c r="D45" s="12">
        <f>IF(A45="","",SUMIFS(Faturalar!$G$8:$G$407,Faturalar!$A$8:$A$407,A45,Faturalar!$I$8:$I$407,"Vadesi gelmedi"))</f>
        <v/>
      </c>
      <c r="E45" s="12">
        <f>IF(A45="","",SUMIFS(Faturalar!$G$8:$G$407,Faturalar!$A$8:$A$407,A45,Faturalar!$I$8:$I$407,"1-30"))</f>
        <v/>
      </c>
      <c r="F45" s="12">
        <f>IF(A45="","",SUMIFS(Faturalar!$G$8:$G$407,Faturalar!$A$8:$A$407,A45,Faturalar!$I$8:$I$407,"31-60"))</f>
        <v/>
      </c>
      <c r="G45" s="12">
        <f>IF(A45="","",SUMIFS(Faturalar!$G$8:$G$407,Faturalar!$A$8:$A$407,A45,Faturalar!$I$8:$I$407,"61-90"))</f>
        <v/>
      </c>
      <c r="H45" s="12">
        <f>IF(A45="","",SUMIFS(Faturalar!$G$8:$G$407,Faturalar!$A$8:$A$407,A45,Faturalar!$I$8:$I$407,"90+"))</f>
        <v/>
      </c>
      <c r="I45" s="13">
        <f>IF(OR(A45="",B45="",B45=0),"",C45/B45)</f>
        <v/>
      </c>
      <c r="J45">
        <f>IF(I45="","",IF(I45&gt;1,"LİMİT AŞILDI",IF(I45&gt;0.8,"Limite yakın","")))</f>
        <v/>
      </c>
    </row>
    <row r="46">
      <c r="A46" s="10" t="n"/>
      <c r="B46" s="11" t="n"/>
      <c r="C46" s="12">
        <f>IF(A46="","",SUMIFS(Faturalar!$G$8:$G$407,Faturalar!$A$8:$A$407,A46,Faturalar!$G$8:$G$407,"&gt;0"))</f>
        <v/>
      </c>
      <c r="D46" s="12">
        <f>IF(A46="","",SUMIFS(Faturalar!$G$8:$G$407,Faturalar!$A$8:$A$407,A46,Faturalar!$I$8:$I$407,"Vadesi gelmedi"))</f>
        <v/>
      </c>
      <c r="E46" s="12">
        <f>IF(A46="","",SUMIFS(Faturalar!$G$8:$G$407,Faturalar!$A$8:$A$407,A46,Faturalar!$I$8:$I$407,"1-30"))</f>
        <v/>
      </c>
      <c r="F46" s="12">
        <f>IF(A46="","",SUMIFS(Faturalar!$G$8:$G$407,Faturalar!$A$8:$A$407,A46,Faturalar!$I$8:$I$407,"31-60"))</f>
        <v/>
      </c>
      <c r="G46" s="12">
        <f>IF(A46="","",SUMIFS(Faturalar!$G$8:$G$407,Faturalar!$A$8:$A$407,A46,Faturalar!$I$8:$I$407,"61-90"))</f>
        <v/>
      </c>
      <c r="H46" s="12">
        <f>IF(A46="","",SUMIFS(Faturalar!$G$8:$G$407,Faturalar!$A$8:$A$407,A46,Faturalar!$I$8:$I$407,"90+"))</f>
        <v/>
      </c>
      <c r="I46" s="13">
        <f>IF(OR(A46="",B46="",B46=0),"",C46/B46)</f>
        <v/>
      </c>
      <c r="J46">
        <f>IF(I46="","",IF(I46&gt;1,"LİMİT AŞILDI",IF(I46&gt;0.8,"Limite yakın","")))</f>
        <v/>
      </c>
    </row>
    <row r="47">
      <c r="A47" s="10" t="n"/>
      <c r="B47" s="11" t="n"/>
      <c r="C47" s="12">
        <f>IF(A47="","",SUMIFS(Faturalar!$G$8:$G$407,Faturalar!$A$8:$A$407,A47,Faturalar!$G$8:$G$407,"&gt;0"))</f>
        <v/>
      </c>
      <c r="D47" s="12">
        <f>IF(A47="","",SUMIFS(Faturalar!$G$8:$G$407,Faturalar!$A$8:$A$407,A47,Faturalar!$I$8:$I$407,"Vadesi gelmedi"))</f>
        <v/>
      </c>
      <c r="E47" s="12">
        <f>IF(A47="","",SUMIFS(Faturalar!$G$8:$G$407,Faturalar!$A$8:$A$407,A47,Faturalar!$I$8:$I$407,"1-30"))</f>
        <v/>
      </c>
      <c r="F47" s="12">
        <f>IF(A47="","",SUMIFS(Faturalar!$G$8:$G$407,Faturalar!$A$8:$A$407,A47,Faturalar!$I$8:$I$407,"31-60"))</f>
        <v/>
      </c>
      <c r="G47" s="12">
        <f>IF(A47="","",SUMIFS(Faturalar!$G$8:$G$407,Faturalar!$A$8:$A$407,A47,Faturalar!$I$8:$I$407,"61-90"))</f>
        <v/>
      </c>
      <c r="H47" s="12">
        <f>IF(A47="","",SUMIFS(Faturalar!$G$8:$G$407,Faturalar!$A$8:$A$407,A47,Faturalar!$I$8:$I$407,"90+"))</f>
        <v/>
      </c>
      <c r="I47" s="13">
        <f>IF(OR(A47="",B47="",B47=0),"",C47/B47)</f>
        <v/>
      </c>
      <c r="J47">
        <f>IF(I47="","",IF(I47&gt;1,"LİMİT AŞILDI",IF(I47&gt;0.8,"Limite yakın","")))</f>
        <v/>
      </c>
    </row>
    <row r="48">
      <c r="A48" s="10" t="n"/>
      <c r="B48" s="11" t="n"/>
      <c r="C48" s="12">
        <f>IF(A48="","",SUMIFS(Faturalar!$G$8:$G$407,Faturalar!$A$8:$A$407,A48,Faturalar!$G$8:$G$407,"&gt;0"))</f>
        <v/>
      </c>
      <c r="D48" s="12">
        <f>IF(A48="","",SUMIFS(Faturalar!$G$8:$G$407,Faturalar!$A$8:$A$407,A48,Faturalar!$I$8:$I$407,"Vadesi gelmedi"))</f>
        <v/>
      </c>
      <c r="E48" s="12">
        <f>IF(A48="","",SUMIFS(Faturalar!$G$8:$G$407,Faturalar!$A$8:$A$407,A48,Faturalar!$I$8:$I$407,"1-30"))</f>
        <v/>
      </c>
      <c r="F48" s="12">
        <f>IF(A48="","",SUMIFS(Faturalar!$G$8:$G$407,Faturalar!$A$8:$A$407,A48,Faturalar!$I$8:$I$407,"31-60"))</f>
        <v/>
      </c>
      <c r="G48" s="12">
        <f>IF(A48="","",SUMIFS(Faturalar!$G$8:$G$407,Faturalar!$A$8:$A$407,A48,Faturalar!$I$8:$I$407,"61-90"))</f>
        <v/>
      </c>
      <c r="H48" s="12">
        <f>IF(A48="","",SUMIFS(Faturalar!$G$8:$G$407,Faturalar!$A$8:$A$407,A48,Faturalar!$I$8:$I$407,"90+"))</f>
        <v/>
      </c>
      <c r="I48" s="13">
        <f>IF(OR(A48="",B48="",B48=0),"",C48/B48)</f>
        <v/>
      </c>
      <c r="J48">
        <f>IF(I48="","",IF(I48&gt;1,"LİMİT AŞILDI",IF(I48&gt;0.8,"Limite yakın","")))</f>
        <v/>
      </c>
    </row>
    <row r="49">
      <c r="A49" s="10" t="n"/>
      <c r="B49" s="11" t="n"/>
      <c r="C49" s="12">
        <f>IF(A49="","",SUMIFS(Faturalar!$G$8:$G$407,Faturalar!$A$8:$A$407,A49,Faturalar!$G$8:$G$407,"&gt;0"))</f>
        <v/>
      </c>
      <c r="D49" s="12">
        <f>IF(A49="","",SUMIFS(Faturalar!$G$8:$G$407,Faturalar!$A$8:$A$407,A49,Faturalar!$I$8:$I$407,"Vadesi gelmedi"))</f>
        <v/>
      </c>
      <c r="E49" s="12">
        <f>IF(A49="","",SUMIFS(Faturalar!$G$8:$G$407,Faturalar!$A$8:$A$407,A49,Faturalar!$I$8:$I$407,"1-30"))</f>
        <v/>
      </c>
      <c r="F49" s="12">
        <f>IF(A49="","",SUMIFS(Faturalar!$G$8:$G$407,Faturalar!$A$8:$A$407,A49,Faturalar!$I$8:$I$407,"31-60"))</f>
        <v/>
      </c>
      <c r="G49" s="12">
        <f>IF(A49="","",SUMIFS(Faturalar!$G$8:$G$407,Faturalar!$A$8:$A$407,A49,Faturalar!$I$8:$I$407,"61-90"))</f>
        <v/>
      </c>
      <c r="H49" s="12">
        <f>IF(A49="","",SUMIFS(Faturalar!$G$8:$G$407,Faturalar!$A$8:$A$407,A49,Faturalar!$I$8:$I$407,"90+"))</f>
        <v/>
      </c>
      <c r="I49" s="13">
        <f>IF(OR(A49="",B49="",B49=0),"",C49/B49)</f>
        <v/>
      </c>
      <c r="J49">
        <f>IF(I49="","",IF(I49&gt;1,"LİMİT AŞILDI",IF(I49&gt;0.8,"Limite yakın","")))</f>
        <v/>
      </c>
    </row>
    <row r="50">
      <c r="A50" s="10" t="n"/>
      <c r="B50" s="11" t="n"/>
      <c r="C50" s="12">
        <f>IF(A50="","",SUMIFS(Faturalar!$G$8:$G$407,Faturalar!$A$8:$A$407,A50,Faturalar!$G$8:$G$407,"&gt;0"))</f>
        <v/>
      </c>
      <c r="D50" s="12">
        <f>IF(A50="","",SUMIFS(Faturalar!$G$8:$G$407,Faturalar!$A$8:$A$407,A50,Faturalar!$I$8:$I$407,"Vadesi gelmedi"))</f>
        <v/>
      </c>
      <c r="E50" s="12">
        <f>IF(A50="","",SUMIFS(Faturalar!$G$8:$G$407,Faturalar!$A$8:$A$407,A50,Faturalar!$I$8:$I$407,"1-30"))</f>
        <v/>
      </c>
      <c r="F50" s="12">
        <f>IF(A50="","",SUMIFS(Faturalar!$G$8:$G$407,Faturalar!$A$8:$A$407,A50,Faturalar!$I$8:$I$407,"31-60"))</f>
        <v/>
      </c>
      <c r="G50" s="12">
        <f>IF(A50="","",SUMIFS(Faturalar!$G$8:$G$407,Faturalar!$A$8:$A$407,A50,Faturalar!$I$8:$I$407,"61-90"))</f>
        <v/>
      </c>
      <c r="H50" s="12">
        <f>IF(A50="","",SUMIFS(Faturalar!$G$8:$G$407,Faturalar!$A$8:$A$407,A50,Faturalar!$I$8:$I$407,"90+"))</f>
        <v/>
      </c>
      <c r="I50" s="13">
        <f>IF(OR(A50="",B50="",B50=0),"",C50/B50)</f>
        <v/>
      </c>
      <c r="J50">
        <f>IF(I50="","",IF(I50&gt;1,"LİMİT AŞILDI",IF(I50&gt;0.8,"Limite yakın","")))</f>
        <v/>
      </c>
    </row>
    <row r="51">
      <c r="A51" s="10" t="n"/>
      <c r="B51" s="11" t="n"/>
      <c r="C51" s="12">
        <f>IF(A51="","",SUMIFS(Faturalar!$G$8:$G$407,Faturalar!$A$8:$A$407,A51,Faturalar!$G$8:$G$407,"&gt;0"))</f>
        <v/>
      </c>
      <c r="D51" s="12">
        <f>IF(A51="","",SUMIFS(Faturalar!$G$8:$G$407,Faturalar!$A$8:$A$407,A51,Faturalar!$I$8:$I$407,"Vadesi gelmedi"))</f>
        <v/>
      </c>
      <c r="E51" s="12">
        <f>IF(A51="","",SUMIFS(Faturalar!$G$8:$G$407,Faturalar!$A$8:$A$407,A51,Faturalar!$I$8:$I$407,"1-30"))</f>
        <v/>
      </c>
      <c r="F51" s="12">
        <f>IF(A51="","",SUMIFS(Faturalar!$G$8:$G$407,Faturalar!$A$8:$A$407,A51,Faturalar!$I$8:$I$407,"31-60"))</f>
        <v/>
      </c>
      <c r="G51" s="12">
        <f>IF(A51="","",SUMIFS(Faturalar!$G$8:$G$407,Faturalar!$A$8:$A$407,A51,Faturalar!$I$8:$I$407,"61-90"))</f>
        <v/>
      </c>
      <c r="H51" s="12">
        <f>IF(A51="","",SUMIFS(Faturalar!$G$8:$G$407,Faturalar!$A$8:$A$407,A51,Faturalar!$I$8:$I$407,"90+"))</f>
        <v/>
      </c>
      <c r="I51" s="13">
        <f>IF(OR(A51="",B51="",B51=0),"",C51/B51)</f>
        <v/>
      </c>
      <c r="J51">
        <f>IF(I51="","",IF(I51&gt;1,"LİMİT AŞILDI",IF(I51&gt;0.8,"Limite yakın","")))</f>
        <v/>
      </c>
    </row>
    <row r="52">
      <c r="A52" s="10" t="n"/>
      <c r="B52" s="11" t="n"/>
      <c r="C52" s="12">
        <f>IF(A52="","",SUMIFS(Faturalar!$G$8:$G$407,Faturalar!$A$8:$A$407,A52,Faturalar!$G$8:$G$407,"&gt;0"))</f>
        <v/>
      </c>
      <c r="D52" s="12">
        <f>IF(A52="","",SUMIFS(Faturalar!$G$8:$G$407,Faturalar!$A$8:$A$407,A52,Faturalar!$I$8:$I$407,"Vadesi gelmedi"))</f>
        <v/>
      </c>
      <c r="E52" s="12">
        <f>IF(A52="","",SUMIFS(Faturalar!$G$8:$G$407,Faturalar!$A$8:$A$407,A52,Faturalar!$I$8:$I$407,"1-30"))</f>
        <v/>
      </c>
      <c r="F52" s="12">
        <f>IF(A52="","",SUMIFS(Faturalar!$G$8:$G$407,Faturalar!$A$8:$A$407,A52,Faturalar!$I$8:$I$407,"31-60"))</f>
        <v/>
      </c>
      <c r="G52" s="12">
        <f>IF(A52="","",SUMIFS(Faturalar!$G$8:$G$407,Faturalar!$A$8:$A$407,A52,Faturalar!$I$8:$I$407,"61-90"))</f>
        <v/>
      </c>
      <c r="H52" s="12">
        <f>IF(A52="","",SUMIFS(Faturalar!$G$8:$G$407,Faturalar!$A$8:$A$407,A52,Faturalar!$I$8:$I$407,"90+"))</f>
        <v/>
      </c>
      <c r="I52" s="13">
        <f>IF(OR(A52="",B52="",B52=0),"",C52/B52)</f>
        <v/>
      </c>
      <c r="J52">
        <f>IF(I52="","",IF(I52&gt;1,"LİMİT AŞILDI",IF(I52&gt;0.8,"Limite yakın","")))</f>
        <v/>
      </c>
    </row>
    <row r="53">
      <c r="A53" s="10" t="n"/>
      <c r="B53" s="11" t="n"/>
      <c r="C53" s="12">
        <f>IF(A53="","",SUMIFS(Faturalar!$G$8:$G$407,Faturalar!$A$8:$A$407,A53,Faturalar!$G$8:$G$407,"&gt;0"))</f>
        <v/>
      </c>
      <c r="D53" s="12">
        <f>IF(A53="","",SUMIFS(Faturalar!$G$8:$G$407,Faturalar!$A$8:$A$407,A53,Faturalar!$I$8:$I$407,"Vadesi gelmedi"))</f>
        <v/>
      </c>
      <c r="E53" s="12">
        <f>IF(A53="","",SUMIFS(Faturalar!$G$8:$G$407,Faturalar!$A$8:$A$407,A53,Faturalar!$I$8:$I$407,"1-30"))</f>
        <v/>
      </c>
      <c r="F53" s="12">
        <f>IF(A53="","",SUMIFS(Faturalar!$G$8:$G$407,Faturalar!$A$8:$A$407,A53,Faturalar!$I$8:$I$407,"31-60"))</f>
        <v/>
      </c>
      <c r="G53" s="12">
        <f>IF(A53="","",SUMIFS(Faturalar!$G$8:$G$407,Faturalar!$A$8:$A$407,A53,Faturalar!$I$8:$I$407,"61-90"))</f>
        <v/>
      </c>
      <c r="H53" s="12">
        <f>IF(A53="","",SUMIFS(Faturalar!$G$8:$G$407,Faturalar!$A$8:$A$407,A53,Faturalar!$I$8:$I$407,"90+"))</f>
        <v/>
      </c>
      <c r="I53" s="13">
        <f>IF(OR(A53="",B53="",B53=0),"",C53/B53)</f>
        <v/>
      </c>
      <c r="J53">
        <f>IF(I53="","",IF(I53&gt;1,"LİMİT AŞILDI",IF(I53&gt;0.8,"Limite yakın","")))</f>
        <v/>
      </c>
    </row>
    <row r="54">
      <c r="A54" s="10" t="n"/>
      <c r="B54" s="11" t="n"/>
      <c r="C54" s="12">
        <f>IF(A54="","",SUMIFS(Faturalar!$G$8:$G$407,Faturalar!$A$8:$A$407,A54,Faturalar!$G$8:$G$407,"&gt;0"))</f>
        <v/>
      </c>
      <c r="D54" s="12">
        <f>IF(A54="","",SUMIFS(Faturalar!$G$8:$G$407,Faturalar!$A$8:$A$407,A54,Faturalar!$I$8:$I$407,"Vadesi gelmedi"))</f>
        <v/>
      </c>
      <c r="E54" s="12">
        <f>IF(A54="","",SUMIFS(Faturalar!$G$8:$G$407,Faturalar!$A$8:$A$407,A54,Faturalar!$I$8:$I$407,"1-30"))</f>
        <v/>
      </c>
      <c r="F54" s="12">
        <f>IF(A54="","",SUMIFS(Faturalar!$G$8:$G$407,Faturalar!$A$8:$A$407,A54,Faturalar!$I$8:$I$407,"31-60"))</f>
        <v/>
      </c>
      <c r="G54" s="12">
        <f>IF(A54="","",SUMIFS(Faturalar!$G$8:$G$407,Faturalar!$A$8:$A$407,A54,Faturalar!$I$8:$I$407,"61-90"))</f>
        <v/>
      </c>
      <c r="H54" s="12">
        <f>IF(A54="","",SUMIFS(Faturalar!$G$8:$G$407,Faturalar!$A$8:$A$407,A54,Faturalar!$I$8:$I$407,"90+"))</f>
        <v/>
      </c>
      <c r="I54" s="13">
        <f>IF(OR(A54="",B54="",B54=0),"",C54/B54)</f>
        <v/>
      </c>
      <c r="J54">
        <f>IF(I54="","",IF(I54&gt;1,"LİMİT AŞILDI",IF(I54&gt;0.8,"Limite yakın","")))</f>
        <v/>
      </c>
    </row>
    <row r="55">
      <c r="A55" s="10" t="n"/>
      <c r="B55" s="11" t="n"/>
      <c r="C55" s="12">
        <f>IF(A55="","",SUMIFS(Faturalar!$G$8:$G$407,Faturalar!$A$8:$A$407,A55,Faturalar!$G$8:$G$407,"&gt;0"))</f>
        <v/>
      </c>
      <c r="D55" s="12">
        <f>IF(A55="","",SUMIFS(Faturalar!$G$8:$G$407,Faturalar!$A$8:$A$407,A55,Faturalar!$I$8:$I$407,"Vadesi gelmedi"))</f>
        <v/>
      </c>
      <c r="E55" s="12">
        <f>IF(A55="","",SUMIFS(Faturalar!$G$8:$G$407,Faturalar!$A$8:$A$407,A55,Faturalar!$I$8:$I$407,"1-30"))</f>
        <v/>
      </c>
      <c r="F55" s="12">
        <f>IF(A55="","",SUMIFS(Faturalar!$G$8:$G$407,Faturalar!$A$8:$A$407,A55,Faturalar!$I$8:$I$407,"31-60"))</f>
        <v/>
      </c>
      <c r="G55" s="12">
        <f>IF(A55="","",SUMIFS(Faturalar!$G$8:$G$407,Faturalar!$A$8:$A$407,A55,Faturalar!$I$8:$I$407,"61-90"))</f>
        <v/>
      </c>
      <c r="H55" s="12">
        <f>IF(A55="","",SUMIFS(Faturalar!$G$8:$G$407,Faturalar!$A$8:$A$407,A55,Faturalar!$I$8:$I$407,"90+"))</f>
        <v/>
      </c>
      <c r="I55" s="13">
        <f>IF(OR(A55="",B55="",B55=0),"",C55/B55)</f>
        <v/>
      </c>
      <c r="J55">
        <f>IF(I55="","",IF(I55&gt;1,"LİMİT AŞILDI",IF(I55&gt;0.8,"Limite yakın","")))</f>
        <v/>
      </c>
    </row>
    <row r="56">
      <c r="A56" s="10" t="n"/>
      <c r="B56" s="11" t="n"/>
      <c r="C56" s="12">
        <f>IF(A56="","",SUMIFS(Faturalar!$G$8:$G$407,Faturalar!$A$8:$A$407,A56,Faturalar!$G$8:$G$407,"&gt;0"))</f>
        <v/>
      </c>
      <c r="D56" s="12">
        <f>IF(A56="","",SUMIFS(Faturalar!$G$8:$G$407,Faturalar!$A$8:$A$407,A56,Faturalar!$I$8:$I$407,"Vadesi gelmedi"))</f>
        <v/>
      </c>
      <c r="E56" s="12">
        <f>IF(A56="","",SUMIFS(Faturalar!$G$8:$G$407,Faturalar!$A$8:$A$407,A56,Faturalar!$I$8:$I$407,"1-30"))</f>
        <v/>
      </c>
      <c r="F56" s="12">
        <f>IF(A56="","",SUMIFS(Faturalar!$G$8:$G$407,Faturalar!$A$8:$A$407,A56,Faturalar!$I$8:$I$407,"31-60"))</f>
        <v/>
      </c>
      <c r="G56" s="12">
        <f>IF(A56="","",SUMIFS(Faturalar!$G$8:$G$407,Faturalar!$A$8:$A$407,A56,Faturalar!$I$8:$I$407,"61-90"))</f>
        <v/>
      </c>
      <c r="H56" s="12">
        <f>IF(A56="","",SUMIFS(Faturalar!$G$8:$G$407,Faturalar!$A$8:$A$407,A56,Faturalar!$I$8:$I$407,"90+"))</f>
        <v/>
      </c>
      <c r="I56" s="13">
        <f>IF(OR(A56="",B56="",B56=0),"",C56/B56)</f>
        <v/>
      </c>
      <c r="J56">
        <f>IF(I56="","",IF(I56&gt;1,"LİMİT AŞILDI",IF(I56&gt;0.8,"Limite yakın","")))</f>
        <v/>
      </c>
    </row>
    <row r="57">
      <c r="A57" s="10" t="n"/>
      <c r="B57" s="11" t="n"/>
      <c r="C57" s="12">
        <f>IF(A57="","",SUMIFS(Faturalar!$G$8:$G$407,Faturalar!$A$8:$A$407,A57,Faturalar!$G$8:$G$407,"&gt;0"))</f>
        <v/>
      </c>
      <c r="D57" s="12">
        <f>IF(A57="","",SUMIFS(Faturalar!$G$8:$G$407,Faturalar!$A$8:$A$407,A57,Faturalar!$I$8:$I$407,"Vadesi gelmedi"))</f>
        <v/>
      </c>
      <c r="E57" s="12">
        <f>IF(A57="","",SUMIFS(Faturalar!$G$8:$G$407,Faturalar!$A$8:$A$407,A57,Faturalar!$I$8:$I$407,"1-30"))</f>
        <v/>
      </c>
      <c r="F57" s="12">
        <f>IF(A57="","",SUMIFS(Faturalar!$G$8:$G$407,Faturalar!$A$8:$A$407,A57,Faturalar!$I$8:$I$407,"31-60"))</f>
        <v/>
      </c>
      <c r="G57" s="12">
        <f>IF(A57="","",SUMIFS(Faturalar!$G$8:$G$407,Faturalar!$A$8:$A$407,A57,Faturalar!$I$8:$I$407,"61-90"))</f>
        <v/>
      </c>
      <c r="H57" s="12">
        <f>IF(A57="","",SUMIFS(Faturalar!$G$8:$G$407,Faturalar!$A$8:$A$407,A57,Faturalar!$I$8:$I$407,"90+"))</f>
        <v/>
      </c>
      <c r="I57" s="13">
        <f>IF(OR(A57="",B57="",B57=0),"",C57/B57)</f>
        <v/>
      </c>
      <c r="J57">
        <f>IF(I57="","",IF(I57&gt;1,"LİMİT AŞILDI",IF(I57&gt;0.8,"Limite yakın","")))</f>
        <v/>
      </c>
    </row>
    <row r="58">
      <c r="A58" s="10" t="n"/>
      <c r="B58" s="11" t="n"/>
      <c r="C58" s="12">
        <f>IF(A58="","",SUMIFS(Faturalar!$G$8:$G$407,Faturalar!$A$8:$A$407,A58,Faturalar!$G$8:$G$407,"&gt;0"))</f>
        <v/>
      </c>
      <c r="D58" s="12">
        <f>IF(A58="","",SUMIFS(Faturalar!$G$8:$G$407,Faturalar!$A$8:$A$407,A58,Faturalar!$I$8:$I$407,"Vadesi gelmedi"))</f>
        <v/>
      </c>
      <c r="E58" s="12">
        <f>IF(A58="","",SUMIFS(Faturalar!$G$8:$G$407,Faturalar!$A$8:$A$407,A58,Faturalar!$I$8:$I$407,"1-30"))</f>
        <v/>
      </c>
      <c r="F58" s="12">
        <f>IF(A58="","",SUMIFS(Faturalar!$G$8:$G$407,Faturalar!$A$8:$A$407,A58,Faturalar!$I$8:$I$407,"31-60"))</f>
        <v/>
      </c>
      <c r="G58" s="12">
        <f>IF(A58="","",SUMIFS(Faturalar!$G$8:$G$407,Faturalar!$A$8:$A$407,A58,Faturalar!$I$8:$I$407,"61-90"))</f>
        <v/>
      </c>
      <c r="H58" s="12">
        <f>IF(A58="","",SUMIFS(Faturalar!$G$8:$G$407,Faturalar!$A$8:$A$407,A58,Faturalar!$I$8:$I$407,"90+"))</f>
        <v/>
      </c>
      <c r="I58" s="13">
        <f>IF(OR(A58="",B58="",B58=0),"",C58/B58)</f>
        <v/>
      </c>
      <c r="J58">
        <f>IF(I58="","",IF(I58&gt;1,"LİMİT AŞILDI",IF(I58&gt;0.8,"Limite yakın","")))</f>
        <v/>
      </c>
    </row>
    <row r="59">
      <c r="A59" s="10" t="n"/>
      <c r="B59" s="11" t="n"/>
      <c r="C59" s="12">
        <f>IF(A59="","",SUMIFS(Faturalar!$G$8:$G$407,Faturalar!$A$8:$A$407,A59,Faturalar!$G$8:$G$407,"&gt;0"))</f>
        <v/>
      </c>
      <c r="D59" s="12">
        <f>IF(A59="","",SUMIFS(Faturalar!$G$8:$G$407,Faturalar!$A$8:$A$407,A59,Faturalar!$I$8:$I$407,"Vadesi gelmedi"))</f>
        <v/>
      </c>
      <c r="E59" s="12">
        <f>IF(A59="","",SUMIFS(Faturalar!$G$8:$G$407,Faturalar!$A$8:$A$407,A59,Faturalar!$I$8:$I$407,"1-30"))</f>
        <v/>
      </c>
      <c r="F59" s="12">
        <f>IF(A59="","",SUMIFS(Faturalar!$G$8:$G$407,Faturalar!$A$8:$A$407,A59,Faturalar!$I$8:$I$407,"31-60"))</f>
        <v/>
      </c>
      <c r="G59" s="12">
        <f>IF(A59="","",SUMIFS(Faturalar!$G$8:$G$407,Faturalar!$A$8:$A$407,A59,Faturalar!$I$8:$I$407,"61-90"))</f>
        <v/>
      </c>
      <c r="H59" s="12">
        <f>IF(A59="","",SUMIFS(Faturalar!$G$8:$G$407,Faturalar!$A$8:$A$407,A59,Faturalar!$I$8:$I$407,"90+"))</f>
        <v/>
      </c>
      <c r="I59" s="13">
        <f>IF(OR(A59="",B59="",B59=0),"",C59/B59)</f>
        <v/>
      </c>
      <c r="J59">
        <f>IF(I59="","",IF(I59&gt;1,"LİMİT AŞILDI",IF(I59&gt;0.8,"Limite yakın","")))</f>
        <v/>
      </c>
    </row>
    <row r="60">
      <c r="A60" s="10" t="n"/>
      <c r="B60" s="11" t="n"/>
      <c r="C60" s="12">
        <f>IF(A60="","",SUMIFS(Faturalar!$G$8:$G$407,Faturalar!$A$8:$A$407,A60,Faturalar!$G$8:$G$407,"&gt;0"))</f>
        <v/>
      </c>
      <c r="D60" s="12">
        <f>IF(A60="","",SUMIFS(Faturalar!$G$8:$G$407,Faturalar!$A$8:$A$407,A60,Faturalar!$I$8:$I$407,"Vadesi gelmedi"))</f>
        <v/>
      </c>
      <c r="E60" s="12">
        <f>IF(A60="","",SUMIFS(Faturalar!$G$8:$G$407,Faturalar!$A$8:$A$407,A60,Faturalar!$I$8:$I$407,"1-30"))</f>
        <v/>
      </c>
      <c r="F60" s="12">
        <f>IF(A60="","",SUMIFS(Faturalar!$G$8:$G$407,Faturalar!$A$8:$A$407,A60,Faturalar!$I$8:$I$407,"31-60"))</f>
        <v/>
      </c>
      <c r="G60" s="12">
        <f>IF(A60="","",SUMIFS(Faturalar!$G$8:$G$407,Faturalar!$A$8:$A$407,A60,Faturalar!$I$8:$I$407,"61-90"))</f>
        <v/>
      </c>
      <c r="H60" s="12">
        <f>IF(A60="","",SUMIFS(Faturalar!$G$8:$G$407,Faturalar!$A$8:$A$407,A60,Faturalar!$I$8:$I$407,"90+"))</f>
        <v/>
      </c>
      <c r="I60" s="13">
        <f>IF(OR(A60="",B60="",B60=0),"",C60/B60)</f>
        <v/>
      </c>
      <c r="J60">
        <f>IF(I60="","",IF(I60&gt;1,"LİMİT AŞILDI",IF(I60&gt;0.8,"Limite yakın","")))</f>
        <v/>
      </c>
    </row>
    <row r="61">
      <c r="A61" s="10" t="n"/>
      <c r="B61" s="11" t="n"/>
      <c r="C61" s="12">
        <f>IF(A61="","",SUMIFS(Faturalar!$G$8:$G$407,Faturalar!$A$8:$A$407,A61,Faturalar!$G$8:$G$407,"&gt;0"))</f>
        <v/>
      </c>
      <c r="D61" s="12">
        <f>IF(A61="","",SUMIFS(Faturalar!$G$8:$G$407,Faturalar!$A$8:$A$407,A61,Faturalar!$I$8:$I$407,"Vadesi gelmedi"))</f>
        <v/>
      </c>
      <c r="E61" s="12">
        <f>IF(A61="","",SUMIFS(Faturalar!$G$8:$G$407,Faturalar!$A$8:$A$407,A61,Faturalar!$I$8:$I$407,"1-30"))</f>
        <v/>
      </c>
      <c r="F61" s="12">
        <f>IF(A61="","",SUMIFS(Faturalar!$G$8:$G$407,Faturalar!$A$8:$A$407,A61,Faturalar!$I$8:$I$407,"31-60"))</f>
        <v/>
      </c>
      <c r="G61" s="12">
        <f>IF(A61="","",SUMIFS(Faturalar!$G$8:$G$407,Faturalar!$A$8:$A$407,A61,Faturalar!$I$8:$I$407,"61-90"))</f>
        <v/>
      </c>
      <c r="H61" s="12">
        <f>IF(A61="","",SUMIFS(Faturalar!$G$8:$G$407,Faturalar!$A$8:$A$407,A61,Faturalar!$I$8:$I$407,"90+"))</f>
        <v/>
      </c>
      <c r="I61" s="13">
        <f>IF(OR(A61="",B61="",B61=0),"",C61/B61)</f>
        <v/>
      </c>
      <c r="J61">
        <f>IF(I61="","",IF(I61&gt;1,"LİMİT AŞILDI",IF(I61&gt;0.8,"Limite yakın","")))</f>
        <v/>
      </c>
    </row>
    <row r="62">
      <c r="A62" s="10" t="n"/>
      <c r="B62" s="11" t="n"/>
      <c r="C62" s="12">
        <f>IF(A62="","",SUMIFS(Faturalar!$G$8:$G$407,Faturalar!$A$8:$A$407,A62,Faturalar!$G$8:$G$407,"&gt;0"))</f>
        <v/>
      </c>
      <c r="D62" s="12">
        <f>IF(A62="","",SUMIFS(Faturalar!$G$8:$G$407,Faturalar!$A$8:$A$407,A62,Faturalar!$I$8:$I$407,"Vadesi gelmedi"))</f>
        <v/>
      </c>
      <c r="E62" s="12">
        <f>IF(A62="","",SUMIFS(Faturalar!$G$8:$G$407,Faturalar!$A$8:$A$407,A62,Faturalar!$I$8:$I$407,"1-30"))</f>
        <v/>
      </c>
      <c r="F62" s="12">
        <f>IF(A62="","",SUMIFS(Faturalar!$G$8:$G$407,Faturalar!$A$8:$A$407,A62,Faturalar!$I$8:$I$407,"31-60"))</f>
        <v/>
      </c>
      <c r="G62" s="12">
        <f>IF(A62="","",SUMIFS(Faturalar!$G$8:$G$407,Faturalar!$A$8:$A$407,A62,Faturalar!$I$8:$I$407,"61-90"))</f>
        <v/>
      </c>
      <c r="H62" s="12">
        <f>IF(A62="","",SUMIFS(Faturalar!$G$8:$G$407,Faturalar!$A$8:$A$407,A62,Faturalar!$I$8:$I$407,"90+"))</f>
        <v/>
      </c>
      <c r="I62" s="13">
        <f>IF(OR(A62="",B62="",B62=0),"",C62/B62)</f>
        <v/>
      </c>
      <c r="J62">
        <f>IF(I62="","",IF(I62&gt;1,"LİMİT AŞILDI",IF(I62&gt;0.8,"Limite yakın","")))</f>
        <v/>
      </c>
    </row>
    <row r="63">
      <c r="A63" s="10" t="n"/>
      <c r="B63" s="11" t="n"/>
      <c r="C63" s="12">
        <f>IF(A63="","",SUMIFS(Faturalar!$G$8:$G$407,Faturalar!$A$8:$A$407,A63,Faturalar!$G$8:$G$407,"&gt;0"))</f>
        <v/>
      </c>
      <c r="D63" s="12">
        <f>IF(A63="","",SUMIFS(Faturalar!$G$8:$G$407,Faturalar!$A$8:$A$407,A63,Faturalar!$I$8:$I$407,"Vadesi gelmedi"))</f>
        <v/>
      </c>
      <c r="E63" s="12">
        <f>IF(A63="","",SUMIFS(Faturalar!$G$8:$G$407,Faturalar!$A$8:$A$407,A63,Faturalar!$I$8:$I$407,"1-30"))</f>
        <v/>
      </c>
      <c r="F63" s="12">
        <f>IF(A63="","",SUMIFS(Faturalar!$G$8:$G$407,Faturalar!$A$8:$A$407,A63,Faturalar!$I$8:$I$407,"31-60"))</f>
        <v/>
      </c>
      <c r="G63" s="12">
        <f>IF(A63="","",SUMIFS(Faturalar!$G$8:$G$407,Faturalar!$A$8:$A$407,A63,Faturalar!$I$8:$I$407,"61-90"))</f>
        <v/>
      </c>
      <c r="H63" s="12">
        <f>IF(A63="","",SUMIFS(Faturalar!$G$8:$G$407,Faturalar!$A$8:$A$407,A63,Faturalar!$I$8:$I$407,"90+"))</f>
        <v/>
      </c>
      <c r="I63" s="13">
        <f>IF(OR(A63="",B63="",B63=0),"",C63/B63)</f>
        <v/>
      </c>
      <c r="J63">
        <f>IF(I63="","",IF(I63&gt;1,"LİMİT AŞILDI",IF(I63&gt;0.8,"Limite yakın","")))</f>
        <v/>
      </c>
    </row>
    <row r="64">
      <c r="A64" s="10" t="n"/>
      <c r="B64" s="11" t="n"/>
      <c r="C64" s="12">
        <f>IF(A64="","",SUMIFS(Faturalar!$G$8:$G$407,Faturalar!$A$8:$A$407,A64,Faturalar!$G$8:$G$407,"&gt;0"))</f>
        <v/>
      </c>
      <c r="D64" s="12">
        <f>IF(A64="","",SUMIFS(Faturalar!$G$8:$G$407,Faturalar!$A$8:$A$407,A64,Faturalar!$I$8:$I$407,"Vadesi gelmedi"))</f>
        <v/>
      </c>
      <c r="E64" s="12">
        <f>IF(A64="","",SUMIFS(Faturalar!$G$8:$G$407,Faturalar!$A$8:$A$407,A64,Faturalar!$I$8:$I$407,"1-30"))</f>
        <v/>
      </c>
      <c r="F64" s="12">
        <f>IF(A64="","",SUMIFS(Faturalar!$G$8:$G$407,Faturalar!$A$8:$A$407,A64,Faturalar!$I$8:$I$407,"31-60"))</f>
        <v/>
      </c>
      <c r="G64" s="12">
        <f>IF(A64="","",SUMIFS(Faturalar!$G$8:$G$407,Faturalar!$A$8:$A$407,A64,Faturalar!$I$8:$I$407,"61-90"))</f>
        <v/>
      </c>
      <c r="H64" s="12">
        <f>IF(A64="","",SUMIFS(Faturalar!$G$8:$G$407,Faturalar!$A$8:$A$407,A64,Faturalar!$I$8:$I$407,"90+"))</f>
        <v/>
      </c>
      <c r="I64" s="13">
        <f>IF(OR(A64="",B64="",B64=0),"",C64/B64)</f>
        <v/>
      </c>
      <c r="J64">
        <f>IF(I64="","",IF(I64&gt;1,"LİMİT AŞILDI",IF(I64&gt;0.8,"Limite yakın","")))</f>
        <v/>
      </c>
    </row>
    <row r="65">
      <c r="A65" s="10" t="n"/>
      <c r="B65" s="11" t="n"/>
      <c r="C65" s="12">
        <f>IF(A65="","",SUMIFS(Faturalar!$G$8:$G$407,Faturalar!$A$8:$A$407,A65,Faturalar!$G$8:$G$407,"&gt;0"))</f>
        <v/>
      </c>
      <c r="D65" s="12">
        <f>IF(A65="","",SUMIFS(Faturalar!$G$8:$G$407,Faturalar!$A$8:$A$407,A65,Faturalar!$I$8:$I$407,"Vadesi gelmedi"))</f>
        <v/>
      </c>
      <c r="E65" s="12">
        <f>IF(A65="","",SUMIFS(Faturalar!$G$8:$G$407,Faturalar!$A$8:$A$407,A65,Faturalar!$I$8:$I$407,"1-30"))</f>
        <v/>
      </c>
      <c r="F65" s="12">
        <f>IF(A65="","",SUMIFS(Faturalar!$G$8:$G$407,Faturalar!$A$8:$A$407,A65,Faturalar!$I$8:$I$407,"31-60"))</f>
        <v/>
      </c>
      <c r="G65" s="12">
        <f>IF(A65="","",SUMIFS(Faturalar!$G$8:$G$407,Faturalar!$A$8:$A$407,A65,Faturalar!$I$8:$I$407,"61-90"))</f>
        <v/>
      </c>
      <c r="H65" s="12">
        <f>IF(A65="","",SUMIFS(Faturalar!$G$8:$G$407,Faturalar!$A$8:$A$407,A65,Faturalar!$I$8:$I$407,"90+"))</f>
        <v/>
      </c>
      <c r="I65" s="13">
        <f>IF(OR(A65="",B65="",B65=0),"",C65/B65)</f>
        <v/>
      </c>
      <c r="J65">
        <f>IF(I65="","",IF(I65&gt;1,"LİMİT AŞILDI",IF(I65&gt;0.8,"Limite yakın","")))</f>
        <v/>
      </c>
    </row>
    <row r="66">
      <c r="A66" s="10" t="n"/>
      <c r="B66" s="11" t="n"/>
      <c r="C66" s="12">
        <f>IF(A66="","",SUMIFS(Faturalar!$G$8:$G$407,Faturalar!$A$8:$A$407,A66,Faturalar!$G$8:$G$407,"&gt;0"))</f>
        <v/>
      </c>
      <c r="D66" s="12">
        <f>IF(A66="","",SUMIFS(Faturalar!$G$8:$G$407,Faturalar!$A$8:$A$407,A66,Faturalar!$I$8:$I$407,"Vadesi gelmedi"))</f>
        <v/>
      </c>
      <c r="E66" s="12">
        <f>IF(A66="","",SUMIFS(Faturalar!$G$8:$G$407,Faturalar!$A$8:$A$407,A66,Faturalar!$I$8:$I$407,"1-30"))</f>
        <v/>
      </c>
      <c r="F66" s="12">
        <f>IF(A66="","",SUMIFS(Faturalar!$G$8:$G$407,Faturalar!$A$8:$A$407,A66,Faturalar!$I$8:$I$407,"31-60"))</f>
        <v/>
      </c>
      <c r="G66" s="12">
        <f>IF(A66="","",SUMIFS(Faturalar!$G$8:$G$407,Faturalar!$A$8:$A$407,A66,Faturalar!$I$8:$I$407,"61-90"))</f>
        <v/>
      </c>
      <c r="H66" s="12">
        <f>IF(A66="","",SUMIFS(Faturalar!$G$8:$G$407,Faturalar!$A$8:$A$407,A66,Faturalar!$I$8:$I$407,"90+"))</f>
        <v/>
      </c>
      <c r="I66" s="13">
        <f>IF(OR(A66="",B66="",B66=0),"",C66/B66)</f>
        <v/>
      </c>
      <c r="J66">
        <f>IF(I66="","",IF(I66&gt;1,"LİMİT AŞILDI",IF(I66&gt;0.8,"Limite yakın","")))</f>
        <v/>
      </c>
    </row>
    <row r="67">
      <c r="A67" s="10" t="n"/>
      <c r="B67" s="11" t="n"/>
      <c r="C67" s="12">
        <f>IF(A67="","",SUMIFS(Faturalar!$G$8:$G$407,Faturalar!$A$8:$A$407,A67,Faturalar!$G$8:$G$407,"&gt;0"))</f>
        <v/>
      </c>
      <c r="D67" s="12">
        <f>IF(A67="","",SUMIFS(Faturalar!$G$8:$G$407,Faturalar!$A$8:$A$407,A67,Faturalar!$I$8:$I$407,"Vadesi gelmedi"))</f>
        <v/>
      </c>
      <c r="E67" s="12">
        <f>IF(A67="","",SUMIFS(Faturalar!$G$8:$G$407,Faturalar!$A$8:$A$407,A67,Faturalar!$I$8:$I$407,"1-30"))</f>
        <v/>
      </c>
      <c r="F67" s="12">
        <f>IF(A67="","",SUMIFS(Faturalar!$G$8:$G$407,Faturalar!$A$8:$A$407,A67,Faturalar!$I$8:$I$407,"31-60"))</f>
        <v/>
      </c>
      <c r="G67" s="12">
        <f>IF(A67="","",SUMIFS(Faturalar!$G$8:$G$407,Faturalar!$A$8:$A$407,A67,Faturalar!$I$8:$I$407,"61-90"))</f>
        <v/>
      </c>
      <c r="H67" s="12">
        <f>IF(A67="","",SUMIFS(Faturalar!$G$8:$G$407,Faturalar!$A$8:$A$407,A67,Faturalar!$I$8:$I$407,"90+"))</f>
        <v/>
      </c>
      <c r="I67" s="13">
        <f>IF(OR(A67="",B67="",B67=0),"",C67/B67)</f>
        <v/>
      </c>
      <c r="J67">
        <f>IF(I67="","",IF(I67&gt;1,"LİMİT AŞILDI",IF(I67&gt;0.8,"Limite yakın","")))</f>
        <v/>
      </c>
    </row>
    <row r="68">
      <c r="A68" s="10" t="n"/>
      <c r="B68" s="11" t="n"/>
      <c r="C68" s="12">
        <f>IF(A68="","",SUMIFS(Faturalar!$G$8:$G$407,Faturalar!$A$8:$A$407,A68,Faturalar!$G$8:$G$407,"&gt;0"))</f>
        <v/>
      </c>
      <c r="D68" s="12">
        <f>IF(A68="","",SUMIFS(Faturalar!$G$8:$G$407,Faturalar!$A$8:$A$407,A68,Faturalar!$I$8:$I$407,"Vadesi gelmedi"))</f>
        <v/>
      </c>
      <c r="E68" s="12">
        <f>IF(A68="","",SUMIFS(Faturalar!$G$8:$G$407,Faturalar!$A$8:$A$407,A68,Faturalar!$I$8:$I$407,"1-30"))</f>
        <v/>
      </c>
      <c r="F68" s="12">
        <f>IF(A68="","",SUMIFS(Faturalar!$G$8:$G$407,Faturalar!$A$8:$A$407,A68,Faturalar!$I$8:$I$407,"31-60"))</f>
        <v/>
      </c>
      <c r="G68" s="12">
        <f>IF(A68="","",SUMIFS(Faturalar!$G$8:$G$407,Faturalar!$A$8:$A$407,A68,Faturalar!$I$8:$I$407,"61-90"))</f>
        <v/>
      </c>
      <c r="H68" s="12">
        <f>IF(A68="","",SUMIFS(Faturalar!$G$8:$G$407,Faturalar!$A$8:$A$407,A68,Faturalar!$I$8:$I$407,"90+"))</f>
        <v/>
      </c>
      <c r="I68" s="13">
        <f>IF(OR(A68="",B68="",B68=0),"",C68/B68)</f>
        <v/>
      </c>
      <c r="J68">
        <f>IF(I68="","",IF(I68&gt;1,"LİMİT AŞILDI",IF(I68&gt;0.8,"Limite yakın","")))</f>
        <v/>
      </c>
    </row>
    <row r="69">
      <c r="A69" s="10" t="n"/>
      <c r="B69" s="11" t="n"/>
      <c r="C69" s="12">
        <f>IF(A69="","",SUMIFS(Faturalar!$G$8:$G$407,Faturalar!$A$8:$A$407,A69,Faturalar!$G$8:$G$407,"&gt;0"))</f>
        <v/>
      </c>
      <c r="D69" s="12">
        <f>IF(A69="","",SUMIFS(Faturalar!$G$8:$G$407,Faturalar!$A$8:$A$407,A69,Faturalar!$I$8:$I$407,"Vadesi gelmedi"))</f>
        <v/>
      </c>
      <c r="E69" s="12">
        <f>IF(A69="","",SUMIFS(Faturalar!$G$8:$G$407,Faturalar!$A$8:$A$407,A69,Faturalar!$I$8:$I$407,"1-30"))</f>
        <v/>
      </c>
      <c r="F69" s="12">
        <f>IF(A69="","",SUMIFS(Faturalar!$G$8:$G$407,Faturalar!$A$8:$A$407,A69,Faturalar!$I$8:$I$407,"31-60"))</f>
        <v/>
      </c>
      <c r="G69" s="12">
        <f>IF(A69="","",SUMIFS(Faturalar!$G$8:$G$407,Faturalar!$A$8:$A$407,A69,Faturalar!$I$8:$I$407,"61-90"))</f>
        <v/>
      </c>
      <c r="H69" s="12">
        <f>IF(A69="","",SUMIFS(Faturalar!$G$8:$G$407,Faturalar!$A$8:$A$407,A69,Faturalar!$I$8:$I$407,"90+"))</f>
        <v/>
      </c>
      <c r="I69" s="13">
        <f>IF(OR(A69="",B69="",B69=0),"",C69/B69)</f>
        <v/>
      </c>
      <c r="J69">
        <f>IF(I69="","",IF(I69&gt;1,"LİMİT AŞILDI",IF(I69&gt;0.8,"Limite yakın","")))</f>
        <v/>
      </c>
    </row>
    <row r="70">
      <c r="A70" s="10" t="n"/>
      <c r="B70" s="11" t="n"/>
      <c r="C70" s="12">
        <f>IF(A70="","",SUMIFS(Faturalar!$G$8:$G$407,Faturalar!$A$8:$A$407,A70,Faturalar!$G$8:$G$407,"&gt;0"))</f>
        <v/>
      </c>
      <c r="D70" s="12">
        <f>IF(A70="","",SUMIFS(Faturalar!$G$8:$G$407,Faturalar!$A$8:$A$407,A70,Faturalar!$I$8:$I$407,"Vadesi gelmedi"))</f>
        <v/>
      </c>
      <c r="E70" s="12">
        <f>IF(A70="","",SUMIFS(Faturalar!$G$8:$G$407,Faturalar!$A$8:$A$407,A70,Faturalar!$I$8:$I$407,"1-30"))</f>
        <v/>
      </c>
      <c r="F70" s="12">
        <f>IF(A70="","",SUMIFS(Faturalar!$G$8:$G$407,Faturalar!$A$8:$A$407,A70,Faturalar!$I$8:$I$407,"31-60"))</f>
        <v/>
      </c>
      <c r="G70" s="12">
        <f>IF(A70="","",SUMIFS(Faturalar!$G$8:$G$407,Faturalar!$A$8:$A$407,A70,Faturalar!$I$8:$I$407,"61-90"))</f>
        <v/>
      </c>
      <c r="H70" s="12">
        <f>IF(A70="","",SUMIFS(Faturalar!$G$8:$G$407,Faturalar!$A$8:$A$407,A70,Faturalar!$I$8:$I$407,"90+"))</f>
        <v/>
      </c>
      <c r="I70" s="13">
        <f>IF(OR(A70="",B70="",B70=0),"",C70/B70)</f>
        <v/>
      </c>
      <c r="J70">
        <f>IF(I70="","",IF(I70&gt;1,"LİMİT AŞILDI",IF(I70&gt;0.8,"Limite yakın","")))</f>
        <v/>
      </c>
    </row>
    <row r="71">
      <c r="A71" s="10" t="n"/>
      <c r="B71" s="11" t="n"/>
      <c r="C71" s="12">
        <f>IF(A71="","",SUMIFS(Faturalar!$G$8:$G$407,Faturalar!$A$8:$A$407,A71,Faturalar!$G$8:$G$407,"&gt;0"))</f>
        <v/>
      </c>
      <c r="D71" s="12">
        <f>IF(A71="","",SUMIFS(Faturalar!$G$8:$G$407,Faturalar!$A$8:$A$407,A71,Faturalar!$I$8:$I$407,"Vadesi gelmedi"))</f>
        <v/>
      </c>
      <c r="E71" s="12">
        <f>IF(A71="","",SUMIFS(Faturalar!$G$8:$G$407,Faturalar!$A$8:$A$407,A71,Faturalar!$I$8:$I$407,"1-30"))</f>
        <v/>
      </c>
      <c r="F71" s="12">
        <f>IF(A71="","",SUMIFS(Faturalar!$G$8:$G$407,Faturalar!$A$8:$A$407,A71,Faturalar!$I$8:$I$407,"31-60"))</f>
        <v/>
      </c>
      <c r="G71" s="12">
        <f>IF(A71="","",SUMIFS(Faturalar!$G$8:$G$407,Faturalar!$A$8:$A$407,A71,Faturalar!$I$8:$I$407,"61-90"))</f>
        <v/>
      </c>
      <c r="H71" s="12">
        <f>IF(A71="","",SUMIFS(Faturalar!$G$8:$G$407,Faturalar!$A$8:$A$407,A71,Faturalar!$I$8:$I$407,"90+"))</f>
        <v/>
      </c>
      <c r="I71" s="13">
        <f>IF(OR(A71="",B71="",B71=0),"",C71/B71)</f>
        <v/>
      </c>
      <c r="J71">
        <f>IF(I71="","",IF(I71&gt;1,"LİMİT AŞILDI",IF(I71&gt;0.8,"Limite yakın","")))</f>
        <v/>
      </c>
    </row>
    <row r="72">
      <c r="A72" s="10" t="n"/>
      <c r="B72" s="11" t="n"/>
      <c r="C72" s="12">
        <f>IF(A72="","",SUMIFS(Faturalar!$G$8:$G$407,Faturalar!$A$8:$A$407,A72,Faturalar!$G$8:$G$407,"&gt;0"))</f>
        <v/>
      </c>
      <c r="D72" s="12">
        <f>IF(A72="","",SUMIFS(Faturalar!$G$8:$G$407,Faturalar!$A$8:$A$407,A72,Faturalar!$I$8:$I$407,"Vadesi gelmedi"))</f>
        <v/>
      </c>
      <c r="E72" s="12">
        <f>IF(A72="","",SUMIFS(Faturalar!$G$8:$G$407,Faturalar!$A$8:$A$407,A72,Faturalar!$I$8:$I$407,"1-30"))</f>
        <v/>
      </c>
      <c r="F72" s="12">
        <f>IF(A72="","",SUMIFS(Faturalar!$G$8:$G$407,Faturalar!$A$8:$A$407,A72,Faturalar!$I$8:$I$407,"31-60"))</f>
        <v/>
      </c>
      <c r="G72" s="12">
        <f>IF(A72="","",SUMIFS(Faturalar!$G$8:$G$407,Faturalar!$A$8:$A$407,A72,Faturalar!$I$8:$I$407,"61-90"))</f>
        <v/>
      </c>
      <c r="H72" s="12">
        <f>IF(A72="","",SUMIFS(Faturalar!$G$8:$G$407,Faturalar!$A$8:$A$407,A72,Faturalar!$I$8:$I$407,"90+"))</f>
        <v/>
      </c>
      <c r="I72" s="13">
        <f>IF(OR(A72="",B72="",B72=0),"",C72/B72)</f>
        <v/>
      </c>
      <c r="J72">
        <f>IF(I72="","",IF(I72&gt;1,"LİMİT AŞILDI",IF(I72&gt;0.8,"Limite yakın","")))</f>
        <v/>
      </c>
    </row>
    <row r="73">
      <c r="A73" s="10" t="n"/>
      <c r="B73" s="11" t="n"/>
      <c r="C73" s="12">
        <f>IF(A73="","",SUMIFS(Faturalar!$G$8:$G$407,Faturalar!$A$8:$A$407,A73,Faturalar!$G$8:$G$407,"&gt;0"))</f>
        <v/>
      </c>
      <c r="D73" s="12">
        <f>IF(A73="","",SUMIFS(Faturalar!$G$8:$G$407,Faturalar!$A$8:$A$407,A73,Faturalar!$I$8:$I$407,"Vadesi gelmedi"))</f>
        <v/>
      </c>
      <c r="E73" s="12">
        <f>IF(A73="","",SUMIFS(Faturalar!$G$8:$G$407,Faturalar!$A$8:$A$407,A73,Faturalar!$I$8:$I$407,"1-30"))</f>
        <v/>
      </c>
      <c r="F73" s="12">
        <f>IF(A73="","",SUMIFS(Faturalar!$G$8:$G$407,Faturalar!$A$8:$A$407,A73,Faturalar!$I$8:$I$407,"31-60"))</f>
        <v/>
      </c>
      <c r="G73" s="12">
        <f>IF(A73="","",SUMIFS(Faturalar!$G$8:$G$407,Faturalar!$A$8:$A$407,A73,Faturalar!$I$8:$I$407,"61-90"))</f>
        <v/>
      </c>
      <c r="H73" s="12">
        <f>IF(A73="","",SUMIFS(Faturalar!$G$8:$G$407,Faturalar!$A$8:$A$407,A73,Faturalar!$I$8:$I$407,"90+"))</f>
        <v/>
      </c>
      <c r="I73" s="13">
        <f>IF(OR(A73="",B73="",B73=0),"",C73/B73)</f>
        <v/>
      </c>
      <c r="J73">
        <f>IF(I73="","",IF(I73&gt;1,"LİMİT AŞILDI",IF(I73&gt;0.8,"Limite yakın","")))</f>
        <v/>
      </c>
    </row>
    <row r="74">
      <c r="A74" s="10" t="n"/>
      <c r="B74" s="11" t="n"/>
      <c r="C74" s="12">
        <f>IF(A74="","",SUMIFS(Faturalar!$G$8:$G$407,Faturalar!$A$8:$A$407,A74,Faturalar!$G$8:$G$407,"&gt;0"))</f>
        <v/>
      </c>
      <c r="D74" s="12">
        <f>IF(A74="","",SUMIFS(Faturalar!$G$8:$G$407,Faturalar!$A$8:$A$407,A74,Faturalar!$I$8:$I$407,"Vadesi gelmedi"))</f>
        <v/>
      </c>
      <c r="E74" s="12">
        <f>IF(A74="","",SUMIFS(Faturalar!$G$8:$G$407,Faturalar!$A$8:$A$407,A74,Faturalar!$I$8:$I$407,"1-30"))</f>
        <v/>
      </c>
      <c r="F74" s="12">
        <f>IF(A74="","",SUMIFS(Faturalar!$G$8:$G$407,Faturalar!$A$8:$A$407,A74,Faturalar!$I$8:$I$407,"31-60"))</f>
        <v/>
      </c>
      <c r="G74" s="12">
        <f>IF(A74="","",SUMIFS(Faturalar!$G$8:$G$407,Faturalar!$A$8:$A$407,A74,Faturalar!$I$8:$I$407,"61-90"))</f>
        <v/>
      </c>
      <c r="H74" s="12">
        <f>IF(A74="","",SUMIFS(Faturalar!$G$8:$G$407,Faturalar!$A$8:$A$407,A74,Faturalar!$I$8:$I$407,"90+"))</f>
        <v/>
      </c>
      <c r="I74" s="13">
        <f>IF(OR(A74="",B74="",B74=0),"",C74/B74)</f>
        <v/>
      </c>
      <c r="J74">
        <f>IF(I74="","",IF(I74&gt;1,"LİMİT AŞILDI",IF(I74&gt;0.8,"Limite yakın","")))</f>
        <v/>
      </c>
    </row>
    <row r="75">
      <c r="A75" s="10" t="n"/>
      <c r="B75" s="11" t="n"/>
      <c r="C75" s="12">
        <f>IF(A75="","",SUMIFS(Faturalar!$G$8:$G$407,Faturalar!$A$8:$A$407,A75,Faturalar!$G$8:$G$407,"&gt;0"))</f>
        <v/>
      </c>
      <c r="D75" s="12">
        <f>IF(A75="","",SUMIFS(Faturalar!$G$8:$G$407,Faturalar!$A$8:$A$407,A75,Faturalar!$I$8:$I$407,"Vadesi gelmedi"))</f>
        <v/>
      </c>
      <c r="E75" s="12">
        <f>IF(A75="","",SUMIFS(Faturalar!$G$8:$G$407,Faturalar!$A$8:$A$407,A75,Faturalar!$I$8:$I$407,"1-30"))</f>
        <v/>
      </c>
      <c r="F75" s="12">
        <f>IF(A75="","",SUMIFS(Faturalar!$G$8:$G$407,Faturalar!$A$8:$A$407,A75,Faturalar!$I$8:$I$407,"31-60"))</f>
        <v/>
      </c>
      <c r="G75" s="12">
        <f>IF(A75="","",SUMIFS(Faturalar!$G$8:$G$407,Faturalar!$A$8:$A$407,A75,Faturalar!$I$8:$I$407,"61-90"))</f>
        <v/>
      </c>
      <c r="H75" s="12">
        <f>IF(A75="","",SUMIFS(Faturalar!$G$8:$G$407,Faturalar!$A$8:$A$407,A75,Faturalar!$I$8:$I$407,"90+"))</f>
        <v/>
      </c>
      <c r="I75" s="13">
        <f>IF(OR(A75="",B75="",B75=0),"",C75/B75)</f>
        <v/>
      </c>
      <c r="J75">
        <f>IF(I75="","",IF(I75&gt;1,"LİMİT AŞILDI",IF(I75&gt;0.8,"Limite yakın","")))</f>
        <v/>
      </c>
    </row>
    <row r="76">
      <c r="A76" s="10" t="n"/>
      <c r="B76" s="11" t="n"/>
      <c r="C76" s="12">
        <f>IF(A76="","",SUMIFS(Faturalar!$G$8:$G$407,Faturalar!$A$8:$A$407,A76,Faturalar!$G$8:$G$407,"&gt;0"))</f>
        <v/>
      </c>
      <c r="D76" s="12">
        <f>IF(A76="","",SUMIFS(Faturalar!$G$8:$G$407,Faturalar!$A$8:$A$407,A76,Faturalar!$I$8:$I$407,"Vadesi gelmedi"))</f>
        <v/>
      </c>
      <c r="E76" s="12">
        <f>IF(A76="","",SUMIFS(Faturalar!$G$8:$G$407,Faturalar!$A$8:$A$407,A76,Faturalar!$I$8:$I$407,"1-30"))</f>
        <v/>
      </c>
      <c r="F76" s="12">
        <f>IF(A76="","",SUMIFS(Faturalar!$G$8:$G$407,Faturalar!$A$8:$A$407,A76,Faturalar!$I$8:$I$407,"31-60"))</f>
        <v/>
      </c>
      <c r="G76" s="12">
        <f>IF(A76="","",SUMIFS(Faturalar!$G$8:$G$407,Faturalar!$A$8:$A$407,A76,Faturalar!$I$8:$I$407,"61-90"))</f>
        <v/>
      </c>
      <c r="H76" s="12">
        <f>IF(A76="","",SUMIFS(Faturalar!$G$8:$G$407,Faturalar!$A$8:$A$407,A76,Faturalar!$I$8:$I$407,"90+"))</f>
        <v/>
      </c>
      <c r="I76" s="13">
        <f>IF(OR(A76="",B76="",B76=0),"",C76/B76)</f>
        <v/>
      </c>
      <c r="J76">
        <f>IF(I76="","",IF(I76&gt;1,"LİMİT AŞILDI",IF(I76&gt;0.8,"Limite yakın","")))</f>
        <v/>
      </c>
    </row>
    <row r="77">
      <c r="A77" s="10" t="n"/>
      <c r="B77" s="11" t="n"/>
      <c r="C77" s="12">
        <f>IF(A77="","",SUMIFS(Faturalar!$G$8:$G$407,Faturalar!$A$8:$A$407,A77,Faturalar!$G$8:$G$407,"&gt;0"))</f>
        <v/>
      </c>
      <c r="D77" s="12">
        <f>IF(A77="","",SUMIFS(Faturalar!$G$8:$G$407,Faturalar!$A$8:$A$407,A77,Faturalar!$I$8:$I$407,"Vadesi gelmedi"))</f>
        <v/>
      </c>
      <c r="E77" s="12">
        <f>IF(A77="","",SUMIFS(Faturalar!$G$8:$G$407,Faturalar!$A$8:$A$407,A77,Faturalar!$I$8:$I$407,"1-30"))</f>
        <v/>
      </c>
      <c r="F77" s="12">
        <f>IF(A77="","",SUMIFS(Faturalar!$G$8:$G$407,Faturalar!$A$8:$A$407,A77,Faturalar!$I$8:$I$407,"31-60"))</f>
        <v/>
      </c>
      <c r="G77" s="12">
        <f>IF(A77="","",SUMIFS(Faturalar!$G$8:$G$407,Faturalar!$A$8:$A$407,A77,Faturalar!$I$8:$I$407,"61-90"))</f>
        <v/>
      </c>
      <c r="H77" s="12">
        <f>IF(A77="","",SUMIFS(Faturalar!$G$8:$G$407,Faturalar!$A$8:$A$407,A77,Faturalar!$I$8:$I$407,"90+"))</f>
        <v/>
      </c>
      <c r="I77" s="13">
        <f>IF(OR(A77="",B77="",B77=0),"",C77/B77)</f>
        <v/>
      </c>
      <c r="J77">
        <f>IF(I77="","",IF(I77&gt;1,"LİMİT AŞILDI",IF(I77&gt;0.8,"Limite yakın","")))</f>
        <v/>
      </c>
    </row>
    <row r="78">
      <c r="A78" s="10" t="n"/>
      <c r="B78" s="11" t="n"/>
      <c r="C78" s="12">
        <f>IF(A78="","",SUMIFS(Faturalar!$G$8:$G$407,Faturalar!$A$8:$A$407,A78,Faturalar!$G$8:$G$407,"&gt;0"))</f>
        <v/>
      </c>
      <c r="D78" s="12">
        <f>IF(A78="","",SUMIFS(Faturalar!$G$8:$G$407,Faturalar!$A$8:$A$407,A78,Faturalar!$I$8:$I$407,"Vadesi gelmedi"))</f>
        <v/>
      </c>
      <c r="E78" s="12">
        <f>IF(A78="","",SUMIFS(Faturalar!$G$8:$G$407,Faturalar!$A$8:$A$407,A78,Faturalar!$I$8:$I$407,"1-30"))</f>
        <v/>
      </c>
      <c r="F78" s="12">
        <f>IF(A78="","",SUMIFS(Faturalar!$G$8:$G$407,Faturalar!$A$8:$A$407,A78,Faturalar!$I$8:$I$407,"31-60"))</f>
        <v/>
      </c>
      <c r="G78" s="12">
        <f>IF(A78="","",SUMIFS(Faturalar!$G$8:$G$407,Faturalar!$A$8:$A$407,A78,Faturalar!$I$8:$I$407,"61-90"))</f>
        <v/>
      </c>
      <c r="H78" s="12">
        <f>IF(A78="","",SUMIFS(Faturalar!$G$8:$G$407,Faturalar!$A$8:$A$407,A78,Faturalar!$I$8:$I$407,"90+"))</f>
        <v/>
      </c>
      <c r="I78" s="13">
        <f>IF(OR(A78="",B78="",B78=0),"",C78/B78)</f>
        <v/>
      </c>
      <c r="J78">
        <f>IF(I78="","",IF(I78&gt;1,"LİMİT AŞILDI",IF(I78&gt;0.8,"Limite yakın","")))</f>
        <v/>
      </c>
    </row>
    <row r="79">
      <c r="A79" s="10" t="n"/>
      <c r="B79" s="11" t="n"/>
      <c r="C79" s="12">
        <f>IF(A79="","",SUMIFS(Faturalar!$G$8:$G$407,Faturalar!$A$8:$A$407,A79,Faturalar!$G$8:$G$407,"&gt;0"))</f>
        <v/>
      </c>
      <c r="D79" s="12">
        <f>IF(A79="","",SUMIFS(Faturalar!$G$8:$G$407,Faturalar!$A$8:$A$407,A79,Faturalar!$I$8:$I$407,"Vadesi gelmedi"))</f>
        <v/>
      </c>
      <c r="E79" s="12">
        <f>IF(A79="","",SUMIFS(Faturalar!$G$8:$G$407,Faturalar!$A$8:$A$407,A79,Faturalar!$I$8:$I$407,"1-30"))</f>
        <v/>
      </c>
      <c r="F79" s="12">
        <f>IF(A79="","",SUMIFS(Faturalar!$G$8:$G$407,Faturalar!$A$8:$A$407,A79,Faturalar!$I$8:$I$407,"31-60"))</f>
        <v/>
      </c>
      <c r="G79" s="12">
        <f>IF(A79="","",SUMIFS(Faturalar!$G$8:$G$407,Faturalar!$A$8:$A$407,A79,Faturalar!$I$8:$I$407,"61-90"))</f>
        <v/>
      </c>
      <c r="H79" s="12">
        <f>IF(A79="","",SUMIFS(Faturalar!$G$8:$G$407,Faturalar!$A$8:$A$407,A79,Faturalar!$I$8:$I$407,"90+"))</f>
        <v/>
      </c>
      <c r="I79" s="13">
        <f>IF(OR(A79="",B79="",B79=0),"",C79/B79)</f>
        <v/>
      </c>
      <c r="J79">
        <f>IF(I79="","",IF(I79&gt;1,"LİMİT AŞILDI",IF(I79&gt;0.8,"Limite yakın","")))</f>
        <v/>
      </c>
    </row>
    <row r="80">
      <c r="A80" s="10" t="n"/>
      <c r="B80" s="11" t="n"/>
      <c r="C80" s="12">
        <f>IF(A80="","",SUMIFS(Faturalar!$G$8:$G$407,Faturalar!$A$8:$A$407,A80,Faturalar!$G$8:$G$407,"&gt;0"))</f>
        <v/>
      </c>
      <c r="D80" s="12">
        <f>IF(A80="","",SUMIFS(Faturalar!$G$8:$G$407,Faturalar!$A$8:$A$407,A80,Faturalar!$I$8:$I$407,"Vadesi gelmedi"))</f>
        <v/>
      </c>
      <c r="E80" s="12">
        <f>IF(A80="","",SUMIFS(Faturalar!$G$8:$G$407,Faturalar!$A$8:$A$407,A80,Faturalar!$I$8:$I$407,"1-30"))</f>
        <v/>
      </c>
      <c r="F80" s="12">
        <f>IF(A80="","",SUMIFS(Faturalar!$G$8:$G$407,Faturalar!$A$8:$A$407,A80,Faturalar!$I$8:$I$407,"31-60"))</f>
        <v/>
      </c>
      <c r="G80" s="12">
        <f>IF(A80="","",SUMIFS(Faturalar!$G$8:$G$407,Faturalar!$A$8:$A$407,A80,Faturalar!$I$8:$I$407,"61-90"))</f>
        <v/>
      </c>
      <c r="H80" s="12">
        <f>IF(A80="","",SUMIFS(Faturalar!$G$8:$G$407,Faturalar!$A$8:$A$407,A80,Faturalar!$I$8:$I$407,"90+"))</f>
        <v/>
      </c>
      <c r="I80" s="13">
        <f>IF(OR(A80="",B80="",B80=0),"",C80/B80)</f>
        <v/>
      </c>
      <c r="J80">
        <f>IF(I80="","",IF(I80&gt;1,"LİMİT AŞILDI",IF(I80&gt;0.8,"Limite yakın","")))</f>
        <v/>
      </c>
    </row>
    <row r="81">
      <c r="A81" s="10" t="n"/>
      <c r="B81" s="11" t="n"/>
      <c r="C81" s="12">
        <f>IF(A81="","",SUMIFS(Faturalar!$G$8:$G$407,Faturalar!$A$8:$A$407,A81,Faturalar!$G$8:$G$407,"&gt;0"))</f>
        <v/>
      </c>
      <c r="D81" s="12">
        <f>IF(A81="","",SUMIFS(Faturalar!$G$8:$G$407,Faturalar!$A$8:$A$407,A81,Faturalar!$I$8:$I$407,"Vadesi gelmedi"))</f>
        <v/>
      </c>
      <c r="E81" s="12">
        <f>IF(A81="","",SUMIFS(Faturalar!$G$8:$G$407,Faturalar!$A$8:$A$407,A81,Faturalar!$I$8:$I$407,"1-30"))</f>
        <v/>
      </c>
      <c r="F81" s="12">
        <f>IF(A81="","",SUMIFS(Faturalar!$G$8:$G$407,Faturalar!$A$8:$A$407,A81,Faturalar!$I$8:$I$407,"31-60"))</f>
        <v/>
      </c>
      <c r="G81" s="12">
        <f>IF(A81="","",SUMIFS(Faturalar!$G$8:$G$407,Faturalar!$A$8:$A$407,A81,Faturalar!$I$8:$I$407,"61-90"))</f>
        <v/>
      </c>
      <c r="H81" s="12">
        <f>IF(A81="","",SUMIFS(Faturalar!$G$8:$G$407,Faturalar!$A$8:$A$407,A81,Faturalar!$I$8:$I$407,"90+"))</f>
        <v/>
      </c>
      <c r="I81" s="13">
        <f>IF(OR(A81="",B81="",B81=0),"",C81/B81)</f>
        <v/>
      </c>
      <c r="J81">
        <f>IF(I81="","",IF(I81&gt;1,"LİMİT AŞILDI",IF(I81&gt;0.8,"Limite yakın","")))</f>
        <v/>
      </c>
    </row>
    <row r="82">
      <c r="A82" s="10" t="n"/>
      <c r="B82" s="11" t="n"/>
      <c r="C82" s="12">
        <f>IF(A82="","",SUMIFS(Faturalar!$G$8:$G$407,Faturalar!$A$8:$A$407,A82,Faturalar!$G$8:$G$407,"&gt;0"))</f>
        <v/>
      </c>
      <c r="D82" s="12">
        <f>IF(A82="","",SUMIFS(Faturalar!$G$8:$G$407,Faturalar!$A$8:$A$407,A82,Faturalar!$I$8:$I$407,"Vadesi gelmedi"))</f>
        <v/>
      </c>
      <c r="E82" s="12">
        <f>IF(A82="","",SUMIFS(Faturalar!$G$8:$G$407,Faturalar!$A$8:$A$407,A82,Faturalar!$I$8:$I$407,"1-30"))</f>
        <v/>
      </c>
      <c r="F82" s="12">
        <f>IF(A82="","",SUMIFS(Faturalar!$G$8:$G$407,Faturalar!$A$8:$A$407,A82,Faturalar!$I$8:$I$407,"31-60"))</f>
        <v/>
      </c>
      <c r="G82" s="12">
        <f>IF(A82="","",SUMIFS(Faturalar!$G$8:$G$407,Faturalar!$A$8:$A$407,A82,Faturalar!$I$8:$I$407,"61-90"))</f>
        <v/>
      </c>
      <c r="H82" s="12">
        <f>IF(A82="","",SUMIFS(Faturalar!$G$8:$G$407,Faturalar!$A$8:$A$407,A82,Faturalar!$I$8:$I$407,"90+"))</f>
        <v/>
      </c>
      <c r="I82" s="13">
        <f>IF(OR(A82="",B82="",B82=0),"",C82/B82)</f>
        <v/>
      </c>
      <c r="J82">
        <f>IF(I82="","",IF(I82&gt;1,"LİMİT AŞILDI",IF(I82&gt;0.8,"Limite yakın","")))</f>
        <v/>
      </c>
    </row>
    <row r="83">
      <c r="A83" s="10" t="n"/>
      <c r="B83" s="11" t="n"/>
      <c r="C83" s="12">
        <f>IF(A83="","",SUMIFS(Faturalar!$G$8:$G$407,Faturalar!$A$8:$A$407,A83,Faturalar!$G$8:$G$407,"&gt;0"))</f>
        <v/>
      </c>
      <c r="D83" s="12">
        <f>IF(A83="","",SUMIFS(Faturalar!$G$8:$G$407,Faturalar!$A$8:$A$407,A83,Faturalar!$I$8:$I$407,"Vadesi gelmedi"))</f>
        <v/>
      </c>
      <c r="E83" s="12">
        <f>IF(A83="","",SUMIFS(Faturalar!$G$8:$G$407,Faturalar!$A$8:$A$407,A83,Faturalar!$I$8:$I$407,"1-30"))</f>
        <v/>
      </c>
      <c r="F83" s="12">
        <f>IF(A83="","",SUMIFS(Faturalar!$G$8:$G$407,Faturalar!$A$8:$A$407,A83,Faturalar!$I$8:$I$407,"31-60"))</f>
        <v/>
      </c>
      <c r="G83" s="12">
        <f>IF(A83="","",SUMIFS(Faturalar!$G$8:$G$407,Faturalar!$A$8:$A$407,A83,Faturalar!$I$8:$I$407,"61-90"))</f>
        <v/>
      </c>
      <c r="H83" s="12">
        <f>IF(A83="","",SUMIFS(Faturalar!$G$8:$G$407,Faturalar!$A$8:$A$407,A83,Faturalar!$I$8:$I$407,"90+"))</f>
        <v/>
      </c>
      <c r="I83" s="13">
        <f>IF(OR(A83="",B83="",B83=0),"",C83/B83)</f>
        <v/>
      </c>
      <c r="J83">
        <f>IF(I83="","",IF(I83&gt;1,"LİMİT AŞILDI",IF(I83&gt;0.8,"Limite yakın","")))</f>
        <v/>
      </c>
    </row>
    <row r="84">
      <c r="A84" s="10" t="n"/>
      <c r="B84" s="11" t="n"/>
      <c r="C84" s="12">
        <f>IF(A84="","",SUMIFS(Faturalar!$G$8:$G$407,Faturalar!$A$8:$A$407,A84,Faturalar!$G$8:$G$407,"&gt;0"))</f>
        <v/>
      </c>
      <c r="D84" s="12">
        <f>IF(A84="","",SUMIFS(Faturalar!$G$8:$G$407,Faturalar!$A$8:$A$407,A84,Faturalar!$I$8:$I$407,"Vadesi gelmedi"))</f>
        <v/>
      </c>
      <c r="E84" s="12">
        <f>IF(A84="","",SUMIFS(Faturalar!$G$8:$G$407,Faturalar!$A$8:$A$407,A84,Faturalar!$I$8:$I$407,"1-30"))</f>
        <v/>
      </c>
      <c r="F84" s="12">
        <f>IF(A84="","",SUMIFS(Faturalar!$G$8:$G$407,Faturalar!$A$8:$A$407,A84,Faturalar!$I$8:$I$407,"31-60"))</f>
        <v/>
      </c>
      <c r="G84" s="12">
        <f>IF(A84="","",SUMIFS(Faturalar!$G$8:$G$407,Faturalar!$A$8:$A$407,A84,Faturalar!$I$8:$I$407,"61-90"))</f>
        <v/>
      </c>
      <c r="H84" s="12">
        <f>IF(A84="","",SUMIFS(Faturalar!$G$8:$G$407,Faturalar!$A$8:$A$407,A84,Faturalar!$I$8:$I$407,"90+"))</f>
        <v/>
      </c>
      <c r="I84" s="13">
        <f>IF(OR(A84="",B84="",B84=0),"",C84/B84)</f>
        <v/>
      </c>
      <c r="J84">
        <f>IF(I84="","",IF(I84&gt;1,"LİMİT AŞILDI",IF(I84&gt;0.8,"Limite yakın","")))</f>
        <v/>
      </c>
    </row>
    <row r="85">
      <c r="A85" s="10" t="n"/>
      <c r="B85" s="11" t="n"/>
      <c r="C85" s="12">
        <f>IF(A85="","",SUMIFS(Faturalar!$G$8:$G$407,Faturalar!$A$8:$A$407,A85,Faturalar!$G$8:$G$407,"&gt;0"))</f>
        <v/>
      </c>
      <c r="D85" s="12">
        <f>IF(A85="","",SUMIFS(Faturalar!$G$8:$G$407,Faturalar!$A$8:$A$407,A85,Faturalar!$I$8:$I$407,"Vadesi gelmedi"))</f>
        <v/>
      </c>
      <c r="E85" s="12">
        <f>IF(A85="","",SUMIFS(Faturalar!$G$8:$G$407,Faturalar!$A$8:$A$407,A85,Faturalar!$I$8:$I$407,"1-30"))</f>
        <v/>
      </c>
      <c r="F85" s="12">
        <f>IF(A85="","",SUMIFS(Faturalar!$G$8:$G$407,Faturalar!$A$8:$A$407,A85,Faturalar!$I$8:$I$407,"31-60"))</f>
        <v/>
      </c>
      <c r="G85" s="12">
        <f>IF(A85="","",SUMIFS(Faturalar!$G$8:$G$407,Faturalar!$A$8:$A$407,A85,Faturalar!$I$8:$I$407,"61-90"))</f>
        <v/>
      </c>
      <c r="H85" s="12">
        <f>IF(A85="","",SUMIFS(Faturalar!$G$8:$G$407,Faturalar!$A$8:$A$407,A85,Faturalar!$I$8:$I$407,"90+"))</f>
        <v/>
      </c>
      <c r="I85" s="13">
        <f>IF(OR(A85="",B85="",B85=0),"",C85/B85)</f>
        <v/>
      </c>
      <c r="J85">
        <f>IF(I85="","",IF(I85&gt;1,"LİMİT AŞILDI",IF(I85&gt;0.8,"Limite yakın","")))</f>
        <v/>
      </c>
    </row>
    <row r="86">
      <c r="A86" s="10" t="n"/>
      <c r="B86" s="11" t="n"/>
      <c r="C86" s="12">
        <f>IF(A86="","",SUMIFS(Faturalar!$G$8:$G$407,Faturalar!$A$8:$A$407,A86,Faturalar!$G$8:$G$407,"&gt;0"))</f>
        <v/>
      </c>
      <c r="D86" s="12">
        <f>IF(A86="","",SUMIFS(Faturalar!$G$8:$G$407,Faturalar!$A$8:$A$407,A86,Faturalar!$I$8:$I$407,"Vadesi gelmedi"))</f>
        <v/>
      </c>
      <c r="E86" s="12">
        <f>IF(A86="","",SUMIFS(Faturalar!$G$8:$G$407,Faturalar!$A$8:$A$407,A86,Faturalar!$I$8:$I$407,"1-30"))</f>
        <v/>
      </c>
      <c r="F86" s="12">
        <f>IF(A86="","",SUMIFS(Faturalar!$G$8:$G$407,Faturalar!$A$8:$A$407,A86,Faturalar!$I$8:$I$407,"31-60"))</f>
        <v/>
      </c>
      <c r="G86" s="12">
        <f>IF(A86="","",SUMIFS(Faturalar!$G$8:$G$407,Faturalar!$A$8:$A$407,A86,Faturalar!$I$8:$I$407,"61-90"))</f>
        <v/>
      </c>
      <c r="H86" s="12">
        <f>IF(A86="","",SUMIFS(Faturalar!$G$8:$G$407,Faturalar!$A$8:$A$407,A86,Faturalar!$I$8:$I$407,"90+"))</f>
        <v/>
      </c>
      <c r="I86" s="13">
        <f>IF(OR(A86="",B86="",B86=0),"",C86/B86)</f>
        <v/>
      </c>
      <c r="J86">
        <f>IF(I86="","",IF(I86&gt;1,"LİMİT AŞILDI",IF(I86&gt;0.8,"Limite yakın","")))</f>
        <v/>
      </c>
    </row>
    <row r="87">
      <c r="A87" s="10" t="n"/>
      <c r="B87" s="11" t="n"/>
      <c r="C87" s="12">
        <f>IF(A87="","",SUMIFS(Faturalar!$G$8:$G$407,Faturalar!$A$8:$A$407,A87,Faturalar!$G$8:$G$407,"&gt;0"))</f>
        <v/>
      </c>
      <c r="D87" s="12">
        <f>IF(A87="","",SUMIFS(Faturalar!$G$8:$G$407,Faturalar!$A$8:$A$407,A87,Faturalar!$I$8:$I$407,"Vadesi gelmedi"))</f>
        <v/>
      </c>
      <c r="E87" s="12">
        <f>IF(A87="","",SUMIFS(Faturalar!$G$8:$G$407,Faturalar!$A$8:$A$407,A87,Faturalar!$I$8:$I$407,"1-30"))</f>
        <v/>
      </c>
      <c r="F87" s="12">
        <f>IF(A87="","",SUMIFS(Faturalar!$G$8:$G$407,Faturalar!$A$8:$A$407,A87,Faturalar!$I$8:$I$407,"31-60"))</f>
        <v/>
      </c>
      <c r="G87" s="12">
        <f>IF(A87="","",SUMIFS(Faturalar!$G$8:$G$407,Faturalar!$A$8:$A$407,A87,Faturalar!$I$8:$I$407,"61-90"))</f>
        <v/>
      </c>
      <c r="H87" s="12">
        <f>IF(A87="","",SUMIFS(Faturalar!$G$8:$G$407,Faturalar!$A$8:$A$407,A87,Faturalar!$I$8:$I$407,"90+"))</f>
        <v/>
      </c>
      <c r="I87" s="13">
        <f>IF(OR(A87="",B87="",B87=0),"",C87/B87)</f>
        <v/>
      </c>
      <c r="J87">
        <f>IF(I87="","",IF(I87&gt;1,"LİMİT AŞILDI",IF(I87&gt;0.8,"Limite yakın","")))</f>
        <v/>
      </c>
    </row>
    <row r="88">
      <c r="A88" s="10" t="n"/>
      <c r="B88" s="11" t="n"/>
      <c r="C88" s="12">
        <f>IF(A88="","",SUMIFS(Faturalar!$G$8:$G$407,Faturalar!$A$8:$A$407,A88,Faturalar!$G$8:$G$407,"&gt;0"))</f>
        <v/>
      </c>
      <c r="D88" s="12">
        <f>IF(A88="","",SUMIFS(Faturalar!$G$8:$G$407,Faturalar!$A$8:$A$407,A88,Faturalar!$I$8:$I$407,"Vadesi gelmedi"))</f>
        <v/>
      </c>
      <c r="E88" s="12">
        <f>IF(A88="","",SUMIFS(Faturalar!$G$8:$G$407,Faturalar!$A$8:$A$407,A88,Faturalar!$I$8:$I$407,"1-30"))</f>
        <v/>
      </c>
      <c r="F88" s="12">
        <f>IF(A88="","",SUMIFS(Faturalar!$G$8:$G$407,Faturalar!$A$8:$A$407,A88,Faturalar!$I$8:$I$407,"31-60"))</f>
        <v/>
      </c>
      <c r="G88" s="12">
        <f>IF(A88="","",SUMIFS(Faturalar!$G$8:$G$407,Faturalar!$A$8:$A$407,A88,Faturalar!$I$8:$I$407,"61-90"))</f>
        <v/>
      </c>
      <c r="H88" s="12">
        <f>IF(A88="","",SUMIFS(Faturalar!$G$8:$G$407,Faturalar!$A$8:$A$407,A88,Faturalar!$I$8:$I$407,"90+"))</f>
        <v/>
      </c>
      <c r="I88" s="13">
        <f>IF(OR(A88="",B88="",B88=0),"",C88/B88)</f>
        <v/>
      </c>
      <c r="J88">
        <f>IF(I88="","",IF(I88&gt;1,"LİMİT AŞILDI",IF(I88&gt;0.8,"Limite yakın","")))</f>
        <v/>
      </c>
    </row>
    <row r="89">
      <c r="A89" s="10" t="n"/>
      <c r="B89" s="11" t="n"/>
      <c r="C89" s="12">
        <f>IF(A89="","",SUMIFS(Faturalar!$G$8:$G$407,Faturalar!$A$8:$A$407,A89,Faturalar!$G$8:$G$407,"&gt;0"))</f>
        <v/>
      </c>
      <c r="D89" s="12">
        <f>IF(A89="","",SUMIFS(Faturalar!$G$8:$G$407,Faturalar!$A$8:$A$407,A89,Faturalar!$I$8:$I$407,"Vadesi gelmedi"))</f>
        <v/>
      </c>
      <c r="E89" s="12">
        <f>IF(A89="","",SUMIFS(Faturalar!$G$8:$G$407,Faturalar!$A$8:$A$407,A89,Faturalar!$I$8:$I$407,"1-30"))</f>
        <v/>
      </c>
      <c r="F89" s="12">
        <f>IF(A89="","",SUMIFS(Faturalar!$G$8:$G$407,Faturalar!$A$8:$A$407,A89,Faturalar!$I$8:$I$407,"31-60"))</f>
        <v/>
      </c>
      <c r="G89" s="12">
        <f>IF(A89="","",SUMIFS(Faturalar!$G$8:$G$407,Faturalar!$A$8:$A$407,A89,Faturalar!$I$8:$I$407,"61-90"))</f>
        <v/>
      </c>
      <c r="H89" s="12">
        <f>IF(A89="","",SUMIFS(Faturalar!$G$8:$G$407,Faturalar!$A$8:$A$407,A89,Faturalar!$I$8:$I$407,"90+"))</f>
        <v/>
      </c>
      <c r="I89" s="13">
        <f>IF(OR(A89="",B89="",B89=0),"",C89/B89)</f>
        <v/>
      </c>
      <c r="J89">
        <f>IF(I89="","",IF(I89&gt;1,"LİMİT AŞILDI",IF(I89&gt;0.8,"Limite yakın","")))</f>
        <v/>
      </c>
    </row>
    <row r="90">
      <c r="A90" s="10" t="n"/>
      <c r="B90" s="11" t="n"/>
      <c r="C90" s="12">
        <f>IF(A90="","",SUMIFS(Faturalar!$G$8:$G$407,Faturalar!$A$8:$A$407,A90,Faturalar!$G$8:$G$407,"&gt;0"))</f>
        <v/>
      </c>
      <c r="D90" s="12">
        <f>IF(A90="","",SUMIFS(Faturalar!$G$8:$G$407,Faturalar!$A$8:$A$407,A90,Faturalar!$I$8:$I$407,"Vadesi gelmedi"))</f>
        <v/>
      </c>
      <c r="E90" s="12">
        <f>IF(A90="","",SUMIFS(Faturalar!$G$8:$G$407,Faturalar!$A$8:$A$407,A90,Faturalar!$I$8:$I$407,"1-30"))</f>
        <v/>
      </c>
      <c r="F90" s="12">
        <f>IF(A90="","",SUMIFS(Faturalar!$G$8:$G$407,Faturalar!$A$8:$A$407,A90,Faturalar!$I$8:$I$407,"31-60"))</f>
        <v/>
      </c>
      <c r="G90" s="12">
        <f>IF(A90="","",SUMIFS(Faturalar!$G$8:$G$407,Faturalar!$A$8:$A$407,A90,Faturalar!$I$8:$I$407,"61-90"))</f>
        <v/>
      </c>
      <c r="H90" s="12">
        <f>IF(A90="","",SUMIFS(Faturalar!$G$8:$G$407,Faturalar!$A$8:$A$407,A90,Faturalar!$I$8:$I$407,"90+"))</f>
        <v/>
      </c>
      <c r="I90" s="13">
        <f>IF(OR(A90="",B90="",B90=0),"",C90/B90)</f>
        <v/>
      </c>
      <c r="J90">
        <f>IF(I90="","",IF(I90&gt;1,"LİMİT AŞILDI",IF(I90&gt;0.8,"Limite yakın","")))</f>
        <v/>
      </c>
    </row>
    <row r="91">
      <c r="A91" s="10" t="n"/>
      <c r="B91" s="11" t="n"/>
      <c r="C91" s="12">
        <f>IF(A91="","",SUMIFS(Faturalar!$G$8:$G$407,Faturalar!$A$8:$A$407,A91,Faturalar!$G$8:$G$407,"&gt;0"))</f>
        <v/>
      </c>
      <c r="D91" s="12">
        <f>IF(A91="","",SUMIFS(Faturalar!$G$8:$G$407,Faturalar!$A$8:$A$407,A91,Faturalar!$I$8:$I$407,"Vadesi gelmedi"))</f>
        <v/>
      </c>
      <c r="E91" s="12">
        <f>IF(A91="","",SUMIFS(Faturalar!$G$8:$G$407,Faturalar!$A$8:$A$407,A91,Faturalar!$I$8:$I$407,"1-30"))</f>
        <v/>
      </c>
      <c r="F91" s="12">
        <f>IF(A91="","",SUMIFS(Faturalar!$G$8:$G$407,Faturalar!$A$8:$A$407,A91,Faturalar!$I$8:$I$407,"31-60"))</f>
        <v/>
      </c>
      <c r="G91" s="12">
        <f>IF(A91="","",SUMIFS(Faturalar!$G$8:$G$407,Faturalar!$A$8:$A$407,A91,Faturalar!$I$8:$I$407,"61-90"))</f>
        <v/>
      </c>
      <c r="H91" s="12">
        <f>IF(A91="","",SUMIFS(Faturalar!$G$8:$G$407,Faturalar!$A$8:$A$407,A91,Faturalar!$I$8:$I$407,"90+"))</f>
        <v/>
      </c>
      <c r="I91" s="13">
        <f>IF(OR(A91="",B91="",B91=0),"",C91/B91)</f>
        <v/>
      </c>
      <c r="J91">
        <f>IF(I91="","",IF(I91&gt;1,"LİMİT AŞILDI",IF(I91&gt;0.8,"Limite yakın","")))</f>
        <v/>
      </c>
    </row>
    <row r="92">
      <c r="A92" s="10" t="n"/>
      <c r="B92" s="11" t="n"/>
      <c r="C92" s="12">
        <f>IF(A92="","",SUMIFS(Faturalar!$G$8:$G$407,Faturalar!$A$8:$A$407,A92,Faturalar!$G$8:$G$407,"&gt;0"))</f>
        <v/>
      </c>
      <c r="D92" s="12">
        <f>IF(A92="","",SUMIFS(Faturalar!$G$8:$G$407,Faturalar!$A$8:$A$407,A92,Faturalar!$I$8:$I$407,"Vadesi gelmedi"))</f>
        <v/>
      </c>
      <c r="E92" s="12">
        <f>IF(A92="","",SUMIFS(Faturalar!$G$8:$G$407,Faturalar!$A$8:$A$407,A92,Faturalar!$I$8:$I$407,"1-30"))</f>
        <v/>
      </c>
      <c r="F92" s="12">
        <f>IF(A92="","",SUMIFS(Faturalar!$G$8:$G$407,Faturalar!$A$8:$A$407,A92,Faturalar!$I$8:$I$407,"31-60"))</f>
        <v/>
      </c>
      <c r="G92" s="12">
        <f>IF(A92="","",SUMIFS(Faturalar!$G$8:$G$407,Faturalar!$A$8:$A$407,A92,Faturalar!$I$8:$I$407,"61-90"))</f>
        <v/>
      </c>
      <c r="H92" s="12">
        <f>IF(A92="","",SUMIFS(Faturalar!$G$8:$G$407,Faturalar!$A$8:$A$407,A92,Faturalar!$I$8:$I$407,"90+"))</f>
        <v/>
      </c>
      <c r="I92" s="13">
        <f>IF(OR(A92="",B92="",B92=0),"",C92/B92)</f>
        <v/>
      </c>
      <c r="J92">
        <f>IF(I92="","",IF(I92&gt;1,"LİMİT AŞILDI",IF(I92&gt;0.8,"Limite yakın","")))</f>
        <v/>
      </c>
    </row>
    <row r="93">
      <c r="A93" s="10" t="n"/>
      <c r="B93" s="11" t="n"/>
      <c r="C93" s="12">
        <f>IF(A93="","",SUMIFS(Faturalar!$G$8:$G$407,Faturalar!$A$8:$A$407,A93,Faturalar!$G$8:$G$407,"&gt;0"))</f>
        <v/>
      </c>
      <c r="D93" s="12">
        <f>IF(A93="","",SUMIFS(Faturalar!$G$8:$G$407,Faturalar!$A$8:$A$407,A93,Faturalar!$I$8:$I$407,"Vadesi gelmedi"))</f>
        <v/>
      </c>
      <c r="E93" s="12">
        <f>IF(A93="","",SUMIFS(Faturalar!$G$8:$G$407,Faturalar!$A$8:$A$407,A93,Faturalar!$I$8:$I$407,"1-30"))</f>
        <v/>
      </c>
      <c r="F93" s="12">
        <f>IF(A93="","",SUMIFS(Faturalar!$G$8:$G$407,Faturalar!$A$8:$A$407,A93,Faturalar!$I$8:$I$407,"31-60"))</f>
        <v/>
      </c>
      <c r="G93" s="12">
        <f>IF(A93="","",SUMIFS(Faturalar!$G$8:$G$407,Faturalar!$A$8:$A$407,A93,Faturalar!$I$8:$I$407,"61-90"))</f>
        <v/>
      </c>
      <c r="H93" s="12">
        <f>IF(A93="","",SUMIFS(Faturalar!$G$8:$G$407,Faturalar!$A$8:$A$407,A93,Faturalar!$I$8:$I$407,"90+"))</f>
        <v/>
      </c>
      <c r="I93" s="13">
        <f>IF(OR(A93="",B93="",B93=0),"",C93/B93)</f>
        <v/>
      </c>
      <c r="J93">
        <f>IF(I93="","",IF(I93&gt;1,"LİMİT AŞILDI",IF(I93&gt;0.8,"Limite yakın","")))</f>
        <v/>
      </c>
    </row>
    <row r="94">
      <c r="A94" s="10" t="n"/>
      <c r="B94" s="11" t="n"/>
      <c r="C94" s="12">
        <f>IF(A94="","",SUMIFS(Faturalar!$G$8:$G$407,Faturalar!$A$8:$A$407,A94,Faturalar!$G$8:$G$407,"&gt;0"))</f>
        <v/>
      </c>
      <c r="D94" s="12">
        <f>IF(A94="","",SUMIFS(Faturalar!$G$8:$G$407,Faturalar!$A$8:$A$407,A94,Faturalar!$I$8:$I$407,"Vadesi gelmedi"))</f>
        <v/>
      </c>
      <c r="E94" s="12">
        <f>IF(A94="","",SUMIFS(Faturalar!$G$8:$G$407,Faturalar!$A$8:$A$407,A94,Faturalar!$I$8:$I$407,"1-30"))</f>
        <v/>
      </c>
      <c r="F94" s="12">
        <f>IF(A94="","",SUMIFS(Faturalar!$G$8:$G$407,Faturalar!$A$8:$A$407,A94,Faturalar!$I$8:$I$407,"31-60"))</f>
        <v/>
      </c>
      <c r="G94" s="12">
        <f>IF(A94="","",SUMIFS(Faturalar!$G$8:$G$407,Faturalar!$A$8:$A$407,A94,Faturalar!$I$8:$I$407,"61-90"))</f>
        <v/>
      </c>
      <c r="H94" s="12">
        <f>IF(A94="","",SUMIFS(Faturalar!$G$8:$G$407,Faturalar!$A$8:$A$407,A94,Faturalar!$I$8:$I$407,"90+"))</f>
        <v/>
      </c>
      <c r="I94" s="13">
        <f>IF(OR(A94="",B94="",B94=0),"",C94/B94)</f>
        <v/>
      </c>
      <c r="J94">
        <f>IF(I94="","",IF(I94&gt;1,"LİMİT AŞILDI",IF(I94&gt;0.8,"Limite yakın","")))</f>
        <v/>
      </c>
    </row>
    <row r="95">
      <c r="A95" s="10" t="n"/>
      <c r="B95" s="11" t="n"/>
      <c r="C95" s="12">
        <f>IF(A95="","",SUMIFS(Faturalar!$G$8:$G$407,Faturalar!$A$8:$A$407,A95,Faturalar!$G$8:$G$407,"&gt;0"))</f>
        <v/>
      </c>
      <c r="D95" s="12">
        <f>IF(A95="","",SUMIFS(Faturalar!$G$8:$G$407,Faturalar!$A$8:$A$407,A95,Faturalar!$I$8:$I$407,"Vadesi gelmedi"))</f>
        <v/>
      </c>
      <c r="E95" s="12">
        <f>IF(A95="","",SUMIFS(Faturalar!$G$8:$G$407,Faturalar!$A$8:$A$407,A95,Faturalar!$I$8:$I$407,"1-30"))</f>
        <v/>
      </c>
      <c r="F95" s="12">
        <f>IF(A95="","",SUMIFS(Faturalar!$G$8:$G$407,Faturalar!$A$8:$A$407,A95,Faturalar!$I$8:$I$407,"31-60"))</f>
        <v/>
      </c>
      <c r="G95" s="12">
        <f>IF(A95="","",SUMIFS(Faturalar!$G$8:$G$407,Faturalar!$A$8:$A$407,A95,Faturalar!$I$8:$I$407,"61-90"))</f>
        <v/>
      </c>
      <c r="H95" s="12">
        <f>IF(A95="","",SUMIFS(Faturalar!$G$8:$G$407,Faturalar!$A$8:$A$407,A95,Faturalar!$I$8:$I$407,"90+"))</f>
        <v/>
      </c>
      <c r="I95" s="13">
        <f>IF(OR(A95="",B95="",B95=0),"",C95/B95)</f>
        <v/>
      </c>
      <c r="J95">
        <f>IF(I95="","",IF(I95&gt;1,"LİMİT AŞILDI",IF(I95&gt;0.8,"Limite yakın","")))</f>
        <v/>
      </c>
    </row>
    <row r="96">
      <c r="A96" s="10" t="n"/>
      <c r="B96" s="11" t="n"/>
      <c r="C96" s="12">
        <f>IF(A96="","",SUMIFS(Faturalar!$G$8:$G$407,Faturalar!$A$8:$A$407,A96,Faturalar!$G$8:$G$407,"&gt;0"))</f>
        <v/>
      </c>
      <c r="D96" s="12">
        <f>IF(A96="","",SUMIFS(Faturalar!$G$8:$G$407,Faturalar!$A$8:$A$407,A96,Faturalar!$I$8:$I$407,"Vadesi gelmedi"))</f>
        <v/>
      </c>
      <c r="E96" s="12">
        <f>IF(A96="","",SUMIFS(Faturalar!$G$8:$G$407,Faturalar!$A$8:$A$407,A96,Faturalar!$I$8:$I$407,"1-30"))</f>
        <v/>
      </c>
      <c r="F96" s="12">
        <f>IF(A96="","",SUMIFS(Faturalar!$G$8:$G$407,Faturalar!$A$8:$A$407,A96,Faturalar!$I$8:$I$407,"31-60"))</f>
        <v/>
      </c>
      <c r="G96" s="12">
        <f>IF(A96="","",SUMIFS(Faturalar!$G$8:$G$407,Faturalar!$A$8:$A$407,A96,Faturalar!$I$8:$I$407,"61-90"))</f>
        <v/>
      </c>
      <c r="H96" s="12">
        <f>IF(A96="","",SUMIFS(Faturalar!$G$8:$G$407,Faturalar!$A$8:$A$407,A96,Faturalar!$I$8:$I$407,"90+"))</f>
        <v/>
      </c>
      <c r="I96" s="13">
        <f>IF(OR(A96="",B96="",B96=0),"",C96/B96)</f>
        <v/>
      </c>
      <c r="J96">
        <f>IF(I96="","",IF(I96&gt;1,"LİMİT AŞILDI",IF(I96&gt;0.8,"Limite yakın","")))</f>
        <v/>
      </c>
    </row>
    <row r="97">
      <c r="A97" s="10" t="n"/>
      <c r="B97" s="11" t="n"/>
      <c r="C97" s="12">
        <f>IF(A97="","",SUMIFS(Faturalar!$G$8:$G$407,Faturalar!$A$8:$A$407,A97,Faturalar!$G$8:$G$407,"&gt;0"))</f>
        <v/>
      </c>
      <c r="D97" s="12">
        <f>IF(A97="","",SUMIFS(Faturalar!$G$8:$G$407,Faturalar!$A$8:$A$407,A97,Faturalar!$I$8:$I$407,"Vadesi gelmedi"))</f>
        <v/>
      </c>
      <c r="E97" s="12">
        <f>IF(A97="","",SUMIFS(Faturalar!$G$8:$G$407,Faturalar!$A$8:$A$407,A97,Faturalar!$I$8:$I$407,"1-30"))</f>
        <v/>
      </c>
      <c r="F97" s="12">
        <f>IF(A97="","",SUMIFS(Faturalar!$G$8:$G$407,Faturalar!$A$8:$A$407,A97,Faturalar!$I$8:$I$407,"31-60"))</f>
        <v/>
      </c>
      <c r="G97" s="12">
        <f>IF(A97="","",SUMIFS(Faturalar!$G$8:$G$407,Faturalar!$A$8:$A$407,A97,Faturalar!$I$8:$I$407,"61-90"))</f>
        <v/>
      </c>
      <c r="H97" s="12">
        <f>IF(A97="","",SUMIFS(Faturalar!$G$8:$G$407,Faturalar!$A$8:$A$407,A97,Faturalar!$I$8:$I$407,"90+"))</f>
        <v/>
      </c>
      <c r="I97" s="13">
        <f>IF(OR(A97="",B97="",B97=0),"",C97/B97)</f>
        <v/>
      </c>
      <c r="J97">
        <f>IF(I97="","",IF(I97&gt;1,"LİMİT AŞILDI",IF(I97&gt;0.8,"Limite yakın","")))</f>
        <v/>
      </c>
    </row>
    <row r="98">
      <c r="A98" s="10" t="n"/>
      <c r="B98" s="11" t="n"/>
      <c r="C98" s="12">
        <f>IF(A98="","",SUMIFS(Faturalar!$G$8:$G$407,Faturalar!$A$8:$A$407,A98,Faturalar!$G$8:$G$407,"&gt;0"))</f>
        <v/>
      </c>
      <c r="D98" s="12">
        <f>IF(A98="","",SUMIFS(Faturalar!$G$8:$G$407,Faturalar!$A$8:$A$407,A98,Faturalar!$I$8:$I$407,"Vadesi gelmedi"))</f>
        <v/>
      </c>
      <c r="E98" s="12">
        <f>IF(A98="","",SUMIFS(Faturalar!$G$8:$G$407,Faturalar!$A$8:$A$407,A98,Faturalar!$I$8:$I$407,"1-30"))</f>
        <v/>
      </c>
      <c r="F98" s="12">
        <f>IF(A98="","",SUMIFS(Faturalar!$G$8:$G$407,Faturalar!$A$8:$A$407,A98,Faturalar!$I$8:$I$407,"31-60"))</f>
        <v/>
      </c>
      <c r="G98" s="12">
        <f>IF(A98="","",SUMIFS(Faturalar!$G$8:$G$407,Faturalar!$A$8:$A$407,A98,Faturalar!$I$8:$I$407,"61-90"))</f>
        <v/>
      </c>
      <c r="H98" s="12">
        <f>IF(A98="","",SUMIFS(Faturalar!$G$8:$G$407,Faturalar!$A$8:$A$407,A98,Faturalar!$I$8:$I$407,"90+"))</f>
        <v/>
      </c>
      <c r="I98" s="13">
        <f>IF(OR(A98="",B98="",B98=0),"",C98/B98)</f>
        <v/>
      </c>
      <c r="J98">
        <f>IF(I98="","",IF(I98&gt;1,"LİMİT AŞILDI",IF(I98&gt;0.8,"Limite yakın","")))</f>
        <v/>
      </c>
    </row>
    <row r="99">
      <c r="A99" s="10" t="n"/>
      <c r="B99" s="11" t="n"/>
      <c r="C99" s="12">
        <f>IF(A99="","",SUMIFS(Faturalar!$G$8:$G$407,Faturalar!$A$8:$A$407,A99,Faturalar!$G$8:$G$407,"&gt;0"))</f>
        <v/>
      </c>
      <c r="D99" s="12">
        <f>IF(A99="","",SUMIFS(Faturalar!$G$8:$G$407,Faturalar!$A$8:$A$407,A99,Faturalar!$I$8:$I$407,"Vadesi gelmedi"))</f>
        <v/>
      </c>
      <c r="E99" s="12">
        <f>IF(A99="","",SUMIFS(Faturalar!$G$8:$G$407,Faturalar!$A$8:$A$407,A99,Faturalar!$I$8:$I$407,"1-30"))</f>
        <v/>
      </c>
      <c r="F99" s="12">
        <f>IF(A99="","",SUMIFS(Faturalar!$G$8:$G$407,Faturalar!$A$8:$A$407,A99,Faturalar!$I$8:$I$407,"31-60"))</f>
        <v/>
      </c>
      <c r="G99" s="12">
        <f>IF(A99="","",SUMIFS(Faturalar!$G$8:$G$407,Faturalar!$A$8:$A$407,A99,Faturalar!$I$8:$I$407,"61-90"))</f>
        <v/>
      </c>
      <c r="H99" s="12">
        <f>IF(A99="","",SUMIFS(Faturalar!$G$8:$G$407,Faturalar!$A$8:$A$407,A99,Faturalar!$I$8:$I$407,"90+"))</f>
        <v/>
      </c>
      <c r="I99" s="13">
        <f>IF(OR(A99="",B99="",B99=0),"",C99/B99)</f>
        <v/>
      </c>
      <c r="J99">
        <f>IF(I99="","",IF(I99&gt;1,"LİMİT AŞILDI",IF(I99&gt;0.8,"Limite yakın","")))</f>
        <v/>
      </c>
    </row>
    <row r="100">
      <c r="A100" s="10" t="n"/>
      <c r="B100" s="11" t="n"/>
      <c r="C100" s="12">
        <f>IF(A100="","",SUMIFS(Faturalar!$G$8:$G$407,Faturalar!$A$8:$A$407,A100,Faturalar!$G$8:$G$407,"&gt;0"))</f>
        <v/>
      </c>
      <c r="D100" s="12">
        <f>IF(A100="","",SUMIFS(Faturalar!$G$8:$G$407,Faturalar!$A$8:$A$407,A100,Faturalar!$I$8:$I$407,"Vadesi gelmedi"))</f>
        <v/>
      </c>
      <c r="E100" s="12">
        <f>IF(A100="","",SUMIFS(Faturalar!$G$8:$G$407,Faturalar!$A$8:$A$407,A100,Faturalar!$I$8:$I$407,"1-30"))</f>
        <v/>
      </c>
      <c r="F100" s="12">
        <f>IF(A100="","",SUMIFS(Faturalar!$G$8:$G$407,Faturalar!$A$8:$A$407,A100,Faturalar!$I$8:$I$407,"31-60"))</f>
        <v/>
      </c>
      <c r="G100" s="12">
        <f>IF(A100="","",SUMIFS(Faturalar!$G$8:$G$407,Faturalar!$A$8:$A$407,A100,Faturalar!$I$8:$I$407,"61-90"))</f>
        <v/>
      </c>
      <c r="H100" s="12">
        <f>IF(A100="","",SUMIFS(Faturalar!$G$8:$G$407,Faturalar!$A$8:$A$407,A100,Faturalar!$I$8:$I$407,"90+"))</f>
        <v/>
      </c>
      <c r="I100" s="13">
        <f>IF(OR(A100="",B100="",B100=0),"",C100/B100)</f>
        <v/>
      </c>
      <c r="J100">
        <f>IF(I100="","",IF(I100&gt;1,"LİMİT AŞILDI",IF(I100&gt;0.8,"Limite yakın","")))</f>
        <v/>
      </c>
    </row>
    <row r="101">
      <c r="A101" s="10" t="n"/>
      <c r="B101" s="11" t="n"/>
      <c r="C101" s="12">
        <f>IF(A101="","",SUMIFS(Faturalar!$G$8:$G$407,Faturalar!$A$8:$A$407,A101,Faturalar!$G$8:$G$407,"&gt;0"))</f>
        <v/>
      </c>
      <c r="D101" s="12">
        <f>IF(A101="","",SUMIFS(Faturalar!$G$8:$G$407,Faturalar!$A$8:$A$407,A101,Faturalar!$I$8:$I$407,"Vadesi gelmedi"))</f>
        <v/>
      </c>
      <c r="E101" s="12">
        <f>IF(A101="","",SUMIFS(Faturalar!$G$8:$G$407,Faturalar!$A$8:$A$407,A101,Faturalar!$I$8:$I$407,"1-30"))</f>
        <v/>
      </c>
      <c r="F101" s="12">
        <f>IF(A101="","",SUMIFS(Faturalar!$G$8:$G$407,Faturalar!$A$8:$A$407,A101,Faturalar!$I$8:$I$407,"31-60"))</f>
        <v/>
      </c>
      <c r="G101" s="12">
        <f>IF(A101="","",SUMIFS(Faturalar!$G$8:$G$407,Faturalar!$A$8:$A$407,A101,Faturalar!$I$8:$I$407,"61-90"))</f>
        <v/>
      </c>
      <c r="H101" s="12">
        <f>IF(A101="","",SUMIFS(Faturalar!$G$8:$G$407,Faturalar!$A$8:$A$407,A101,Faturalar!$I$8:$I$407,"90+"))</f>
        <v/>
      </c>
      <c r="I101" s="13">
        <f>IF(OR(A101="",B101="",B101=0),"",C101/B101)</f>
        <v/>
      </c>
      <c r="J101">
        <f>IF(I101="","",IF(I101&gt;1,"LİMİT AŞILDI",IF(I101&gt;0.8,"Limite yakın","")))</f>
        <v/>
      </c>
    </row>
    <row r="102">
      <c r="A102" s="10" t="n"/>
      <c r="B102" s="11" t="n"/>
      <c r="C102" s="12">
        <f>IF(A102="","",SUMIFS(Faturalar!$G$8:$G$407,Faturalar!$A$8:$A$407,A102,Faturalar!$G$8:$G$407,"&gt;0"))</f>
        <v/>
      </c>
      <c r="D102" s="12">
        <f>IF(A102="","",SUMIFS(Faturalar!$G$8:$G$407,Faturalar!$A$8:$A$407,A102,Faturalar!$I$8:$I$407,"Vadesi gelmedi"))</f>
        <v/>
      </c>
      <c r="E102" s="12">
        <f>IF(A102="","",SUMIFS(Faturalar!$G$8:$G$407,Faturalar!$A$8:$A$407,A102,Faturalar!$I$8:$I$407,"1-30"))</f>
        <v/>
      </c>
      <c r="F102" s="12">
        <f>IF(A102="","",SUMIFS(Faturalar!$G$8:$G$407,Faturalar!$A$8:$A$407,A102,Faturalar!$I$8:$I$407,"31-60"))</f>
        <v/>
      </c>
      <c r="G102" s="12">
        <f>IF(A102="","",SUMIFS(Faturalar!$G$8:$G$407,Faturalar!$A$8:$A$407,A102,Faturalar!$I$8:$I$407,"61-90"))</f>
        <v/>
      </c>
      <c r="H102" s="12">
        <f>IF(A102="","",SUMIFS(Faturalar!$G$8:$G$407,Faturalar!$A$8:$A$407,A102,Faturalar!$I$8:$I$407,"90+"))</f>
        <v/>
      </c>
      <c r="I102" s="13">
        <f>IF(OR(A102="",B102="",B102=0),"",C102/B102)</f>
        <v/>
      </c>
      <c r="J102">
        <f>IF(I102="","",IF(I102&gt;1,"LİMİT AŞILDI",IF(I102&gt;0.8,"Limite yakın","")))</f>
        <v/>
      </c>
    </row>
    <row r="103">
      <c r="A103" s="10" t="n"/>
      <c r="B103" s="11" t="n"/>
      <c r="C103" s="12">
        <f>IF(A103="","",SUMIFS(Faturalar!$G$8:$G$407,Faturalar!$A$8:$A$407,A103,Faturalar!$G$8:$G$407,"&gt;0"))</f>
        <v/>
      </c>
      <c r="D103" s="12">
        <f>IF(A103="","",SUMIFS(Faturalar!$G$8:$G$407,Faturalar!$A$8:$A$407,A103,Faturalar!$I$8:$I$407,"Vadesi gelmedi"))</f>
        <v/>
      </c>
      <c r="E103" s="12">
        <f>IF(A103="","",SUMIFS(Faturalar!$G$8:$G$407,Faturalar!$A$8:$A$407,A103,Faturalar!$I$8:$I$407,"1-30"))</f>
        <v/>
      </c>
      <c r="F103" s="12">
        <f>IF(A103="","",SUMIFS(Faturalar!$G$8:$G$407,Faturalar!$A$8:$A$407,A103,Faturalar!$I$8:$I$407,"31-60"))</f>
        <v/>
      </c>
      <c r="G103" s="12">
        <f>IF(A103="","",SUMIFS(Faturalar!$G$8:$G$407,Faturalar!$A$8:$A$407,A103,Faturalar!$I$8:$I$407,"61-90"))</f>
        <v/>
      </c>
      <c r="H103" s="12">
        <f>IF(A103="","",SUMIFS(Faturalar!$G$8:$G$407,Faturalar!$A$8:$A$407,A103,Faturalar!$I$8:$I$407,"90+"))</f>
        <v/>
      </c>
      <c r="I103" s="13">
        <f>IF(OR(A103="",B103="",B103=0),"",C103/B103)</f>
        <v/>
      </c>
      <c r="J103">
        <f>IF(I103="","",IF(I103&gt;1,"LİMİT AŞILDI",IF(I103&gt;0.8,"Limite yakın","")))</f>
        <v/>
      </c>
    </row>
    <row r="104">
      <c r="A104" s="10" t="n"/>
      <c r="B104" s="11" t="n"/>
      <c r="C104" s="12">
        <f>IF(A104="","",SUMIFS(Faturalar!$G$8:$G$407,Faturalar!$A$8:$A$407,A104,Faturalar!$G$8:$G$407,"&gt;0"))</f>
        <v/>
      </c>
      <c r="D104" s="12">
        <f>IF(A104="","",SUMIFS(Faturalar!$G$8:$G$407,Faturalar!$A$8:$A$407,A104,Faturalar!$I$8:$I$407,"Vadesi gelmedi"))</f>
        <v/>
      </c>
      <c r="E104" s="12">
        <f>IF(A104="","",SUMIFS(Faturalar!$G$8:$G$407,Faturalar!$A$8:$A$407,A104,Faturalar!$I$8:$I$407,"1-30"))</f>
        <v/>
      </c>
      <c r="F104" s="12">
        <f>IF(A104="","",SUMIFS(Faturalar!$G$8:$G$407,Faturalar!$A$8:$A$407,A104,Faturalar!$I$8:$I$407,"31-60"))</f>
        <v/>
      </c>
      <c r="G104" s="12">
        <f>IF(A104="","",SUMIFS(Faturalar!$G$8:$G$407,Faturalar!$A$8:$A$407,A104,Faturalar!$I$8:$I$407,"61-90"))</f>
        <v/>
      </c>
      <c r="H104" s="12">
        <f>IF(A104="","",SUMIFS(Faturalar!$G$8:$G$407,Faturalar!$A$8:$A$407,A104,Faturalar!$I$8:$I$407,"90+"))</f>
        <v/>
      </c>
      <c r="I104" s="13">
        <f>IF(OR(A104="",B104="",B104=0),"",C104/B104)</f>
        <v/>
      </c>
      <c r="J104">
        <f>IF(I104="","",IF(I104&gt;1,"LİMİT AŞILDI",IF(I104&gt;0.8,"Limite yakın","")))</f>
        <v/>
      </c>
    </row>
    <row r="105">
      <c r="A105" s="10" t="n"/>
      <c r="B105" s="11" t="n"/>
      <c r="C105" s="12">
        <f>IF(A105="","",SUMIFS(Faturalar!$G$8:$G$407,Faturalar!$A$8:$A$407,A105,Faturalar!$G$8:$G$407,"&gt;0"))</f>
        <v/>
      </c>
      <c r="D105" s="12">
        <f>IF(A105="","",SUMIFS(Faturalar!$G$8:$G$407,Faturalar!$A$8:$A$407,A105,Faturalar!$I$8:$I$407,"Vadesi gelmedi"))</f>
        <v/>
      </c>
      <c r="E105" s="12">
        <f>IF(A105="","",SUMIFS(Faturalar!$G$8:$G$407,Faturalar!$A$8:$A$407,A105,Faturalar!$I$8:$I$407,"1-30"))</f>
        <v/>
      </c>
      <c r="F105" s="12">
        <f>IF(A105="","",SUMIFS(Faturalar!$G$8:$G$407,Faturalar!$A$8:$A$407,A105,Faturalar!$I$8:$I$407,"31-60"))</f>
        <v/>
      </c>
      <c r="G105" s="12">
        <f>IF(A105="","",SUMIFS(Faturalar!$G$8:$G$407,Faturalar!$A$8:$A$407,A105,Faturalar!$I$8:$I$407,"61-90"))</f>
        <v/>
      </c>
      <c r="H105" s="12">
        <f>IF(A105="","",SUMIFS(Faturalar!$G$8:$G$407,Faturalar!$A$8:$A$407,A105,Faturalar!$I$8:$I$407,"90+"))</f>
        <v/>
      </c>
      <c r="I105" s="13">
        <f>IF(OR(A105="",B105="",B105=0),"",C105/B105)</f>
        <v/>
      </c>
      <c r="J105">
        <f>IF(I105="","",IF(I105&gt;1,"LİMİT AŞILDI",IF(I105&gt;0.8,"Limite yakın","")))</f>
        <v/>
      </c>
    </row>
    <row r="106">
      <c r="A106" s="10" t="n"/>
      <c r="B106" s="11" t="n"/>
      <c r="C106" s="12">
        <f>IF(A106="","",SUMIFS(Faturalar!$G$8:$G$407,Faturalar!$A$8:$A$407,A106,Faturalar!$G$8:$G$407,"&gt;0"))</f>
        <v/>
      </c>
      <c r="D106" s="12">
        <f>IF(A106="","",SUMIFS(Faturalar!$G$8:$G$407,Faturalar!$A$8:$A$407,A106,Faturalar!$I$8:$I$407,"Vadesi gelmedi"))</f>
        <v/>
      </c>
      <c r="E106" s="12">
        <f>IF(A106="","",SUMIFS(Faturalar!$G$8:$G$407,Faturalar!$A$8:$A$407,A106,Faturalar!$I$8:$I$407,"1-30"))</f>
        <v/>
      </c>
      <c r="F106" s="12">
        <f>IF(A106="","",SUMIFS(Faturalar!$G$8:$G$407,Faturalar!$A$8:$A$407,A106,Faturalar!$I$8:$I$407,"31-60"))</f>
        <v/>
      </c>
      <c r="G106" s="12">
        <f>IF(A106="","",SUMIFS(Faturalar!$G$8:$G$407,Faturalar!$A$8:$A$407,A106,Faturalar!$I$8:$I$407,"61-90"))</f>
        <v/>
      </c>
      <c r="H106" s="12">
        <f>IF(A106="","",SUMIFS(Faturalar!$G$8:$G$407,Faturalar!$A$8:$A$407,A106,Faturalar!$I$8:$I$407,"90+"))</f>
        <v/>
      </c>
      <c r="I106" s="13">
        <f>IF(OR(A106="",B106="",B106=0),"",C106/B106)</f>
        <v/>
      </c>
      <c r="J106">
        <f>IF(I106="","",IF(I106&gt;1,"LİMİT AŞILDI",IF(I106&gt;0.8,"Limite yakın","")))</f>
        <v/>
      </c>
    </row>
    <row r="107">
      <c r="A107" s="10" t="n"/>
      <c r="B107" s="11" t="n"/>
      <c r="C107" s="12">
        <f>IF(A107="","",SUMIFS(Faturalar!$G$8:$G$407,Faturalar!$A$8:$A$407,A107,Faturalar!$G$8:$G$407,"&gt;0"))</f>
        <v/>
      </c>
      <c r="D107" s="12">
        <f>IF(A107="","",SUMIFS(Faturalar!$G$8:$G$407,Faturalar!$A$8:$A$407,A107,Faturalar!$I$8:$I$407,"Vadesi gelmedi"))</f>
        <v/>
      </c>
      <c r="E107" s="12">
        <f>IF(A107="","",SUMIFS(Faturalar!$G$8:$G$407,Faturalar!$A$8:$A$407,A107,Faturalar!$I$8:$I$407,"1-30"))</f>
        <v/>
      </c>
      <c r="F107" s="12">
        <f>IF(A107="","",SUMIFS(Faturalar!$G$8:$G$407,Faturalar!$A$8:$A$407,A107,Faturalar!$I$8:$I$407,"31-60"))</f>
        <v/>
      </c>
      <c r="G107" s="12">
        <f>IF(A107="","",SUMIFS(Faturalar!$G$8:$G$407,Faturalar!$A$8:$A$407,A107,Faturalar!$I$8:$I$407,"61-90"))</f>
        <v/>
      </c>
      <c r="H107" s="12">
        <f>IF(A107="","",SUMIFS(Faturalar!$G$8:$G$407,Faturalar!$A$8:$A$407,A107,Faturalar!$I$8:$I$407,"90+"))</f>
        <v/>
      </c>
      <c r="I107" s="13">
        <f>IF(OR(A107="",B107="",B107=0),"",C107/B107)</f>
        <v/>
      </c>
      <c r="J107">
        <f>IF(I107="","",IF(I107&gt;1,"LİMİT AŞILDI",IF(I107&gt;0.8,"Limite yakın","")))</f>
        <v/>
      </c>
    </row>
    <row r="108">
      <c r="A108" s="10" t="n"/>
      <c r="B108" s="11" t="n"/>
      <c r="C108" s="12">
        <f>IF(A108="","",SUMIFS(Faturalar!$G$8:$G$407,Faturalar!$A$8:$A$407,A108,Faturalar!$G$8:$G$407,"&gt;0"))</f>
        <v/>
      </c>
      <c r="D108" s="12">
        <f>IF(A108="","",SUMIFS(Faturalar!$G$8:$G$407,Faturalar!$A$8:$A$407,A108,Faturalar!$I$8:$I$407,"Vadesi gelmedi"))</f>
        <v/>
      </c>
      <c r="E108" s="12">
        <f>IF(A108="","",SUMIFS(Faturalar!$G$8:$G$407,Faturalar!$A$8:$A$407,A108,Faturalar!$I$8:$I$407,"1-30"))</f>
        <v/>
      </c>
      <c r="F108" s="12">
        <f>IF(A108="","",SUMIFS(Faturalar!$G$8:$G$407,Faturalar!$A$8:$A$407,A108,Faturalar!$I$8:$I$407,"31-60"))</f>
        <v/>
      </c>
      <c r="G108" s="12">
        <f>IF(A108="","",SUMIFS(Faturalar!$G$8:$G$407,Faturalar!$A$8:$A$407,A108,Faturalar!$I$8:$I$407,"61-90"))</f>
        <v/>
      </c>
      <c r="H108" s="12">
        <f>IF(A108="","",SUMIFS(Faturalar!$G$8:$G$407,Faturalar!$A$8:$A$407,A108,Faturalar!$I$8:$I$407,"90+"))</f>
        <v/>
      </c>
      <c r="I108" s="13">
        <f>IF(OR(A108="",B108="",B108=0),"",C108/B108)</f>
        <v/>
      </c>
      <c r="J108">
        <f>IF(I108="","",IF(I108&gt;1,"LİMİT AŞILDI",IF(I108&gt;0.8,"Limite yakın","")))</f>
        <v/>
      </c>
    </row>
    <row r="109">
      <c r="A109" s="10" t="n"/>
      <c r="B109" s="11" t="n"/>
      <c r="C109" s="12">
        <f>IF(A109="","",SUMIFS(Faturalar!$G$8:$G$407,Faturalar!$A$8:$A$407,A109,Faturalar!$G$8:$G$407,"&gt;0"))</f>
        <v/>
      </c>
      <c r="D109" s="12">
        <f>IF(A109="","",SUMIFS(Faturalar!$G$8:$G$407,Faturalar!$A$8:$A$407,A109,Faturalar!$I$8:$I$407,"Vadesi gelmedi"))</f>
        <v/>
      </c>
      <c r="E109" s="12">
        <f>IF(A109="","",SUMIFS(Faturalar!$G$8:$G$407,Faturalar!$A$8:$A$407,A109,Faturalar!$I$8:$I$407,"1-30"))</f>
        <v/>
      </c>
      <c r="F109" s="12">
        <f>IF(A109="","",SUMIFS(Faturalar!$G$8:$G$407,Faturalar!$A$8:$A$407,A109,Faturalar!$I$8:$I$407,"31-60"))</f>
        <v/>
      </c>
      <c r="G109" s="12">
        <f>IF(A109="","",SUMIFS(Faturalar!$G$8:$G$407,Faturalar!$A$8:$A$407,A109,Faturalar!$I$8:$I$407,"61-90"))</f>
        <v/>
      </c>
      <c r="H109" s="12">
        <f>IF(A109="","",SUMIFS(Faturalar!$G$8:$G$407,Faturalar!$A$8:$A$407,A109,Faturalar!$I$8:$I$407,"90+"))</f>
        <v/>
      </c>
      <c r="I109" s="13">
        <f>IF(OR(A109="",B109="",B109=0),"",C109/B109)</f>
        <v/>
      </c>
      <c r="J109">
        <f>IF(I109="","",IF(I109&gt;1,"LİMİT AŞILDI",IF(I109&gt;0.8,"Limite yakın","")))</f>
        <v/>
      </c>
    </row>
    <row r="110">
      <c r="A110" s="10" t="n"/>
      <c r="B110" s="11" t="n"/>
      <c r="C110" s="12">
        <f>IF(A110="","",SUMIFS(Faturalar!$G$8:$G$407,Faturalar!$A$8:$A$407,A110,Faturalar!$G$8:$G$407,"&gt;0"))</f>
        <v/>
      </c>
      <c r="D110" s="12">
        <f>IF(A110="","",SUMIFS(Faturalar!$G$8:$G$407,Faturalar!$A$8:$A$407,A110,Faturalar!$I$8:$I$407,"Vadesi gelmedi"))</f>
        <v/>
      </c>
      <c r="E110" s="12">
        <f>IF(A110="","",SUMIFS(Faturalar!$G$8:$G$407,Faturalar!$A$8:$A$407,A110,Faturalar!$I$8:$I$407,"1-30"))</f>
        <v/>
      </c>
      <c r="F110" s="12">
        <f>IF(A110="","",SUMIFS(Faturalar!$G$8:$G$407,Faturalar!$A$8:$A$407,A110,Faturalar!$I$8:$I$407,"31-60"))</f>
        <v/>
      </c>
      <c r="G110" s="12">
        <f>IF(A110="","",SUMIFS(Faturalar!$G$8:$G$407,Faturalar!$A$8:$A$407,A110,Faturalar!$I$8:$I$407,"61-90"))</f>
        <v/>
      </c>
      <c r="H110" s="12">
        <f>IF(A110="","",SUMIFS(Faturalar!$G$8:$G$407,Faturalar!$A$8:$A$407,A110,Faturalar!$I$8:$I$407,"90+"))</f>
        <v/>
      </c>
      <c r="I110" s="13">
        <f>IF(OR(A110="",B110="",B110=0),"",C110/B110)</f>
        <v/>
      </c>
      <c r="J110">
        <f>IF(I110="","",IF(I110&gt;1,"LİMİT AŞILDI",IF(I110&gt;0.8,"Limite yakın","")))</f>
        <v/>
      </c>
    </row>
    <row r="111">
      <c r="A111" s="10" t="n"/>
      <c r="B111" s="11" t="n"/>
      <c r="C111" s="12">
        <f>IF(A111="","",SUMIFS(Faturalar!$G$8:$G$407,Faturalar!$A$8:$A$407,A111,Faturalar!$G$8:$G$407,"&gt;0"))</f>
        <v/>
      </c>
      <c r="D111" s="12">
        <f>IF(A111="","",SUMIFS(Faturalar!$G$8:$G$407,Faturalar!$A$8:$A$407,A111,Faturalar!$I$8:$I$407,"Vadesi gelmedi"))</f>
        <v/>
      </c>
      <c r="E111" s="12">
        <f>IF(A111="","",SUMIFS(Faturalar!$G$8:$G$407,Faturalar!$A$8:$A$407,A111,Faturalar!$I$8:$I$407,"1-30"))</f>
        <v/>
      </c>
      <c r="F111" s="12">
        <f>IF(A111="","",SUMIFS(Faturalar!$G$8:$G$407,Faturalar!$A$8:$A$407,A111,Faturalar!$I$8:$I$407,"31-60"))</f>
        <v/>
      </c>
      <c r="G111" s="12">
        <f>IF(A111="","",SUMIFS(Faturalar!$G$8:$G$407,Faturalar!$A$8:$A$407,A111,Faturalar!$I$8:$I$407,"61-90"))</f>
        <v/>
      </c>
      <c r="H111" s="12">
        <f>IF(A111="","",SUMIFS(Faturalar!$G$8:$G$407,Faturalar!$A$8:$A$407,A111,Faturalar!$I$8:$I$407,"90+"))</f>
        <v/>
      </c>
      <c r="I111" s="13">
        <f>IF(OR(A111="",B111="",B111=0),"",C111/B111)</f>
        <v/>
      </c>
      <c r="J111">
        <f>IF(I111="","",IF(I111&gt;1,"LİMİT AŞILDI",IF(I111&gt;0.8,"Limite yakın","")))</f>
        <v/>
      </c>
    </row>
  </sheetData>
  <conditionalFormatting sqref="J12:J111">
    <cfRule type="cellIs" priority="1" operator="equal" dxfId="0">
      <formula>"LİMİT AŞILDI"</formula>
    </cfRule>
  </conditionalFormatting>
  <conditionalFormatting sqref="H12:H111"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07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5" customWidth="1" min="5" max="5"/>
    <col width="15" customWidth="1" min="6" max="6"/>
    <col width="15" customWidth="1" min="7" max="7"/>
    <col width="11" customWidth="1" min="8" max="8"/>
    <col width="15" customWidth="1" min="9" max="9"/>
    <col width="14" customWidth="1" min="10" max="10"/>
    <col width="14" customWidth="1" min="11" max="11"/>
    <col width="34" customWidth="1" min="12" max="12"/>
  </cols>
  <sheetData>
    <row r="1">
      <c r="A1" s="1" t="inlineStr">
        <is>
          <t>NİRENGİ DANIŞMANLIK</t>
        </is>
      </c>
      <c r="L1" s="2" t="inlineStr">
        <is>
          <t>emreceran.github.io/nirengi-danismanlik</t>
        </is>
      </c>
    </row>
    <row r="2">
      <c r="A2" s="3" t="inlineStr">
        <is>
          <t>Alacak Yaşlandırma ve Tahsilat Takibi</t>
        </is>
      </c>
    </row>
    <row r="3">
      <c r="A3" s="4" t="inlineStr">
        <is>
          <t>Açık faturalarınızı girin; gecikme günleri, yaş grupları ve müşteri limitleri otomatik hesaplanır.</t>
        </is>
      </c>
    </row>
    <row r="5">
      <c r="A5" s="5" t="inlineStr">
        <is>
          <t>Rapor tarihi</t>
        </is>
      </c>
      <c r="B5" s="14" t="n">
        <v>46326</v>
      </c>
      <c r="C5" s="15" t="inlineStr">
        <is>
          <t>← Yaşlandırma bu tarihe göre yapılır. Her güncellemede değiştirin.</t>
        </is>
      </c>
    </row>
    <row r="7" ht="32" customHeight="1">
      <c r="A7" s="9" t="inlineStr">
        <is>
          <t>Müşteri</t>
        </is>
      </c>
      <c r="B7" s="9" t="inlineStr">
        <is>
          <t>Fatura no</t>
        </is>
      </c>
      <c r="C7" s="9" t="inlineStr">
        <is>
          <t>Fatura tarihi</t>
        </is>
      </c>
      <c r="D7" s="9" t="inlineStr">
        <is>
          <t>Vade tarihi</t>
        </is>
      </c>
      <c r="E7" s="9" t="inlineStr">
        <is>
          <t>Fatura tutarı</t>
        </is>
      </c>
      <c r="F7" s="9" t="inlineStr">
        <is>
          <t>Tahsil edilen</t>
        </is>
      </c>
      <c r="G7" s="9" t="inlineStr">
        <is>
          <t>Kalan</t>
        </is>
      </c>
      <c r="H7" s="9" t="inlineStr">
        <is>
          <t>Gecikme (gün)</t>
        </is>
      </c>
      <c r="I7" s="9" t="inlineStr">
        <is>
          <t>Yaş grubu</t>
        </is>
      </c>
      <c r="J7" s="9" t="inlineStr">
        <is>
          <t>Sorumlu</t>
        </is>
      </c>
      <c r="K7" s="9" t="inlineStr">
        <is>
          <t>Söz verilen tarih</t>
        </is>
      </c>
      <c r="L7" s="9" t="inlineStr">
        <is>
          <t>Not</t>
        </is>
      </c>
    </row>
    <row r="8">
      <c r="A8" s="10" t="inlineStr">
        <is>
          <t>Akyol Yapı Ltd.</t>
        </is>
      </c>
      <c r="B8" s="10" t="inlineStr">
        <is>
          <t>FT20261021</t>
        </is>
      </c>
      <c r="C8" s="14" t="n">
        <v>46196</v>
      </c>
      <c r="D8" s="14" t="n">
        <v>46241</v>
      </c>
      <c r="E8" s="11" t="n">
        <v>190000</v>
      </c>
      <c r="F8" s="11" t="n">
        <v>0</v>
      </c>
      <c r="G8" s="12">
        <f>IF(E8="","",E8-F8)</f>
        <v/>
      </c>
      <c r="H8" s="16">
        <f>IF(OR(G8="",G8&lt;=0),"",MAX(0,$B$5-D8))</f>
        <v/>
      </c>
      <c r="I8" s="16">
        <f>IF(G8="","",IF(G8&lt;=0,"Kapandı",IF(H8=0,"Vadesi gelmedi",IF(H8&lt;=30,"1-30",IF(H8&lt;=60,"31-60",IF(H8&lt;=90,"61-90","90+"))))))</f>
        <v/>
      </c>
      <c r="J8" s="10" t="n"/>
      <c r="K8" s="14" t="n"/>
      <c r="L8" s="10" t="n"/>
    </row>
    <row r="9">
      <c r="A9" s="10" t="inlineStr">
        <is>
          <t>Akyol Yapı Ltd.</t>
        </is>
      </c>
      <c r="B9" s="10" t="inlineStr">
        <is>
          <t>FT20261014</t>
        </is>
      </c>
      <c r="C9" s="14" t="n">
        <v>46231</v>
      </c>
      <c r="D9" s="14" t="n">
        <v>46291</v>
      </c>
      <c r="E9" s="11" t="n">
        <v>446000</v>
      </c>
      <c r="F9" s="11" t="n">
        <v>0</v>
      </c>
      <c r="G9" s="12">
        <f>IF(E9="","",E9-F9)</f>
        <v/>
      </c>
      <c r="H9" s="16">
        <f>IF(OR(G9="",G9&lt;=0),"",MAX(0,$B$5-D9))</f>
        <v/>
      </c>
      <c r="I9" s="16">
        <f>IF(G9="","",IF(G9&lt;=0,"Kapandı",IF(H9=0,"Vadesi gelmedi",IF(H9&lt;=30,"1-30",IF(H9&lt;=60,"31-60",IF(H9&lt;=90,"61-90","90+"))))))</f>
        <v/>
      </c>
      <c r="J9" s="10" t="n"/>
      <c r="K9" s="14" t="n"/>
      <c r="L9" s="10" t="n"/>
    </row>
    <row r="10">
      <c r="A10" s="10" t="inlineStr">
        <is>
          <t>Akyol Yapı Ltd.</t>
        </is>
      </c>
      <c r="B10" s="10" t="inlineStr">
        <is>
          <t>FT20261000</t>
        </is>
      </c>
      <c r="C10" s="14" t="n">
        <v>46264</v>
      </c>
      <c r="D10" s="14" t="n">
        <v>46294</v>
      </c>
      <c r="E10" s="11" t="n">
        <v>214000</v>
      </c>
      <c r="F10" s="11" t="n">
        <v>0</v>
      </c>
      <c r="G10" s="12">
        <f>IF(E10="","",E10-F10)</f>
        <v/>
      </c>
      <c r="H10" s="16">
        <f>IF(OR(G10="",G10&lt;=0),"",MAX(0,$B$5-D10))</f>
        <v/>
      </c>
      <c r="I10" s="16">
        <f>IF(G10="","",IF(G10&lt;=0,"Kapandı",IF(H10=0,"Vadesi gelmedi",IF(H10&lt;=30,"1-30",IF(H10&lt;=60,"31-60",IF(H10&lt;=90,"61-90","90+"))))))</f>
        <v/>
      </c>
      <c r="J10" s="10" t="n"/>
      <c r="K10" s="14" t="n"/>
      <c r="L10" s="10" t="n"/>
    </row>
    <row r="11">
      <c r="A11" s="10" t="inlineStr">
        <is>
          <t>Akyol Yapı Ltd.</t>
        </is>
      </c>
      <c r="B11" s="10" t="inlineStr">
        <is>
          <t>FT20261007</t>
        </is>
      </c>
      <c r="C11" s="14" t="n">
        <v>46291</v>
      </c>
      <c r="D11" s="14" t="n">
        <v>46321</v>
      </c>
      <c r="E11" s="11" t="n">
        <v>285000</v>
      </c>
      <c r="F11" s="11" t="n">
        <v>0</v>
      </c>
      <c r="G11" s="12">
        <f>IF(E11="","",E11-F11)</f>
        <v/>
      </c>
      <c r="H11" s="16">
        <f>IF(OR(G11="",G11&lt;=0),"",MAX(0,$B$5-D11))</f>
        <v/>
      </c>
      <c r="I11" s="16">
        <f>IF(G11="","",IF(G11&lt;=0,"Kapandı",IF(H11=0,"Vadesi gelmedi",IF(H11&lt;=30,"1-30",IF(H11&lt;=60,"31-60",IF(H11&lt;=90,"61-90","90+"))))))</f>
        <v/>
      </c>
      <c r="J11" s="10" t="n"/>
      <c r="K11" s="14" t="n"/>
      <c r="L11" s="10" t="n"/>
    </row>
    <row r="12">
      <c r="A12" s="10" t="inlineStr">
        <is>
          <t>Beyşehir Gıda A.Ş.</t>
        </is>
      </c>
      <c r="B12" s="10" t="inlineStr">
        <is>
          <t>FT20261022</t>
        </is>
      </c>
      <c r="C12" s="14" t="n">
        <v>46196</v>
      </c>
      <c r="D12" s="14" t="n">
        <v>46241</v>
      </c>
      <c r="E12" s="11" t="n">
        <v>295000</v>
      </c>
      <c r="F12" s="11" t="n">
        <v>295000</v>
      </c>
      <c r="G12" s="12">
        <f>IF(E12="","",E12-F12)</f>
        <v/>
      </c>
      <c r="H12" s="16">
        <f>IF(OR(G12="",G12&lt;=0),"",MAX(0,$B$5-D12))</f>
        <v/>
      </c>
      <c r="I12" s="16">
        <f>IF(G12="","",IF(G12&lt;=0,"Kapandı",IF(H12=0,"Vadesi gelmedi",IF(H12&lt;=30,"1-30",IF(H12&lt;=60,"31-60",IF(H12&lt;=90,"61-90","90+"))))))</f>
        <v/>
      </c>
      <c r="J12" s="10" t="n"/>
      <c r="K12" s="14" t="n"/>
      <c r="L12" s="10" t="n"/>
    </row>
    <row r="13">
      <c r="A13" s="10" t="inlineStr">
        <is>
          <t>Beyşehir Gıda A.Ş.</t>
        </is>
      </c>
      <c r="B13" s="10" t="inlineStr">
        <is>
          <t>FT20261008</t>
        </is>
      </c>
      <c r="C13" s="14" t="n">
        <v>46278</v>
      </c>
      <c r="D13" s="14" t="n">
        <v>46323</v>
      </c>
      <c r="E13" s="11" t="n">
        <v>103000</v>
      </c>
      <c r="F13" s="11" t="n">
        <v>0</v>
      </c>
      <c r="G13" s="12">
        <f>IF(E13="","",E13-F13)</f>
        <v/>
      </c>
      <c r="H13" s="16">
        <f>IF(OR(G13="",G13&lt;=0),"",MAX(0,$B$5-D13))</f>
        <v/>
      </c>
      <c r="I13" s="16">
        <f>IF(G13="","",IF(G13&lt;=0,"Kapandı",IF(H13=0,"Vadesi gelmedi",IF(H13&lt;=30,"1-30",IF(H13&lt;=60,"31-60",IF(H13&lt;=90,"61-90","90+"))))))</f>
        <v/>
      </c>
      <c r="J13" s="10" t="n"/>
      <c r="K13" s="14" t="n"/>
      <c r="L13" s="10" t="n"/>
    </row>
    <row r="14">
      <c r="A14" s="10" t="inlineStr">
        <is>
          <t>Beyşehir Gıda A.Ş.</t>
        </is>
      </c>
      <c r="B14" s="10" t="inlineStr">
        <is>
          <t>FT20261015</t>
        </is>
      </c>
      <c r="C14" s="14" t="n">
        <v>46278</v>
      </c>
      <c r="D14" s="14" t="n">
        <v>46308</v>
      </c>
      <c r="E14" s="11" t="n">
        <v>390000</v>
      </c>
      <c r="F14" s="11" t="n">
        <v>0</v>
      </c>
      <c r="G14" s="12">
        <f>IF(E14="","",E14-F14)</f>
        <v/>
      </c>
      <c r="H14" s="16">
        <f>IF(OR(G14="",G14&lt;=0),"",MAX(0,$B$5-D14))</f>
        <v/>
      </c>
      <c r="I14" s="16">
        <f>IF(G14="","",IF(G14&lt;=0,"Kapandı",IF(H14=0,"Vadesi gelmedi",IF(H14&lt;=30,"1-30",IF(H14&lt;=60,"31-60",IF(H14&lt;=90,"61-90","90+"))))))</f>
        <v/>
      </c>
      <c r="J14" s="10" t="n"/>
      <c r="K14" s="14" t="n"/>
      <c r="L14" s="10" t="n"/>
    </row>
    <row r="15">
      <c r="A15" s="10" t="inlineStr">
        <is>
          <t>Beyşehir Gıda A.Ş.</t>
        </is>
      </c>
      <c r="B15" s="10" t="inlineStr">
        <is>
          <t>FT20261001</t>
        </is>
      </c>
      <c r="C15" s="14" t="n">
        <v>46314</v>
      </c>
      <c r="D15" s="14" t="n">
        <v>46374</v>
      </c>
      <c r="E15" s="11" t="n">
        <v>81000</v>
      </c>
      <c r="F15" s="11" t="n">
        <v>40500</v>
      </c>
      <c r="G15" s="12">
        <f>IF(E15="","",E15-F15)</f>
        <v/>
      </c>
      <c r="H15" s="16">
        <f>IF(OR(G15="",G15&lt;=0),"",MAX(0,$B$5-D15))</f>
        <v/>
      </c>
      <c r="I15" s="16">
        <f>IF(G15="","",IF(G15&lt;=0,"Kapandı",IF(H15=0,"Vadesi gelmedi",IF(H15&lt;=30,"1-30",IF(H15&lt;=60,"31-60",IF(H15&lt;=90,"61-90","90+"))))))</f>
        <v/>
      </c>
      <c r="J15" s="10" t="n"/>
      <c r="K15" s="14" t="n"/>
      <c r="L15" s="10" t="n"/>
    </row>
    <row r="16">
      <c r="A16" s="10" t="inlineStr">
        <is>
          <t>Derya Mobilya</t>
        </is>
      </c>
      <c r="B16" s="10" t="inlineStr">
        <is>
          <t>FT20261024</t>
        </is>
      </c>
      <c r="C16" s="14" t="n">
        <v>46176</v>
      </c>
      <c r="D16" s="14" t="n">
        <v>46206</v>
      </c>
      <c r="E16" s="11" t="n">
        <v>67000</v>
      </c>
      <c r="F16" s="11" t="n">
        <v>0</v>
      </c>
      <c r="G16" s="12">
        <f>IF(E16="","",E16-F16)</f>
        <v/>
      </c>
      <c r="H16" s="16">
        <f>IF(OR(G16="",G16&lt;=0),"",MAX(0,$B$5-D16))</f>
        <v/>
      </c>
      <c r="I16" s="16">
        <f>IF(G16="","",IF(G16&lt;=0,"Kapandı",IF(H16=0,"Vadesi gelmedi",IF(H16&lt;=30,"1-30",IF(H16&lt;=60,"31-60",IF(H16&lt;=90,"61-90","90+"))))))</f>
        <v/>
      </c>
      <c r="J16" s="10" t="n"/>
      <c r="K16" s="14" t="n"/>
      <c r="L16" s="10" t="n"/>
    </row>
    <row r="17">
      <c r="A17" s="10" t="inlineStr">
        <is>
          <t>Derya Mobilya</t>
        </is>
      </c>
      <c r="B17" s="10" t="inlineStr">
        <is>
          <t>FT20261003</t>
        </is>
      </c>
      <c r="C17" s="14" t="n">
        <v>46251</v>
      </c>
      <c r="D17" s="14" t="n">
        <v>46296</v>
      </c>
      <c r="E17" s="11" t="n">
        <v>71000</v>
      </c>
      <c r="F17" s="11" t="n">
        <v>0</v>
      </c>
      <c r="G17" s="12">
        <f>IF(E17="","",E17-F17)</f>
        <v/>
      </c>
      <c r="H17" s="16">
        <f>IF(OR(G17="",G17&lt;=0),"",MAX(0,$B$5-D17))</f>
        <v/>
      </c>
      <c r="I17" s="16">
        <f>IF(G17="","",IF(G17&lt;=0,"Kapandı",IF(H17=0,"Vadesi gelmedi",IF(H17&lt;=30,"1-30",IF(H17&lt;=60,"31-60",IF(H17&lt;=90,"61-90","90+"))))))</f>
        <v/>
      </c>
      <c r="J17" s="10" t="n"/>
      <c r="K17" s="14" t="n"/>
      <c r="L17" s="10" t="n"/>
    </row>
    <row r="18">
      <c r="A18" s="10" t="inlineStr">
        <is>
          <t>Derya Mobilya</t>
        </is>
      </c>
      <c r="B18" s="10" t="inlineStr">
        <is>
          <t>FT20261017</t>
        </is>
      </c>
      <c r="C18" s="14" t="n">
        <v>46264</v>
      </c>
      <c r="D18" s="14" t="n">
        <v>46324</v>
      </c>
      <c r="E18" s="11" t="n">
        <v>237000</v>
      </c>
      <c r="F18" s="11" t="n">
        <v>118500</v>
      </c>
      <c r="G18" s="12">
        <f>IF(E18="","",E18-F18)</f>
        <v/>
      </c>
      <c r="H18" s="16">
        <f>IF(OR(G18="",G18&lt;=0),"",MAX(0,$B$5-D18))</f>
        <v/>
      </c>
      <c r="I18" s="16">
        <f>IF(G18="","",IF(G18&lt;=0,"Kapandı",IF(H18=0,"Vadesi gelmedi",IF(H18&lt;=30,"1-30",IF(H18&lt;=60,"31-60",IF(H18&lt;=90,"61-90","90+"))))))</f>
        <v/>
      </c>
      <c r="J18" s="10" t="n"/>
      <c r="K18" s="14" t="n"/>
      <c r="L18" s="10" t="n"/>
    </row>
    <row r="19">
      <c r="A19" s="10" t="inlineStr">
        <is>
          <t>Derya Mobilya</t>
        </is>
      </c>
      <c r="B19" s="10" t="inlineStr">
        <is>
          <t>FT20261010</t>
        </is>
      </c>
      <c r="C19" s="14" t="n">
        <v>46314</v>
      </c>
      <c r="D19" s="14" t="n">
        <v>46374</v>
      </c>
      <c r="E19" s="11" t="n">
        <v>291000</v>
      </c>
      <c r="F19" s="11" t="n">
        <v>0</v>
      </c>
      <c r="G19" s="12">
        <f>IF(E19="","",E19-F19)</f>
        <v/>
      </c>
      <c r="H19" s="16">
        <f>IF(OR(G19="",G19&lt;=0),"",MAX(0,$B$5-D19))</f>
        <v/>
      </c>
      <c r="I19" s="16">
        <f>IF(G19="","",IF(G19&lt;=0,"Kapandı",IF(H19=0,"Vadesi gelmedi",IF(H19&lt;=30,"1-30",IF(H19&lt;=60,"31-60",IF(H19&lt;=90,"61-90","90+"))))))</f>
        <v/>
      </c>
      <c r="J19" s="10" t="n"/>
      <c r="K19" s="14" t="n"/>
      <c r="L19" s="10" t="n"/>
    </row>
    <row r="20">
      <c r="A20" s="10" t="inlineStr">
        <is>
          <t>Ereğli Metal San.</t>
        </is>
      </c>
      <c r="B20" s="10" t="inlineStr">
        <is>
          <t>FT20261025</t>
        </is>
      </c>
      <c r="C20" s="14" t="n">
        <v>46176</v>
      </c>
      <c r="D20" s="14" t="n">
        <v>46236</v>
      </c>
      <c r="E20" s="11" t="n">
        <v>477000</v>
      </c>
      <c r="F20" s="11" t="n">
        <v>477000</v>
      </c>
      <c r="G20" s="12">
        <f>IF(E20="","",E20-F20)</f>
        <v/>
      </c>
      <c r="H20" s="16">
        <f>IF(OR(G20="",G20&lt;=0),"",MAX(0,$B$5-D20))</f>
        <v/>
      </c>
      <c r="I20" s="16">
        <f>IF(G20="","",IF(G20&lt;=0,"Kapandı",IF(H20=0,"Vadesi gelmedi",IF(H20&lt;=30,"1-30",IF(H20&lt;=60,"31-60",IF(H20&lt;=90,"61-90","90+"))))))</f>
        <v/>
      </c>
      <c r="J20" s="10" t="n"/>
      <c r="K20" s="14" t="n"/>
      <c r="L20" s="10" t="n"/>
    </row>
    <row r="21">
      <c r="A21" s="10" t="inlineStr">
        <is>
          <t>Ereğli Metal San.</t>
        </is>
      </c>
      <c r="B21" s="10" t="inlineStr">
        <is>
          <t>FT20261004</t>
        </is>
      </c>
      <c r="C21" s="14" t="n">
        <v>46216</v>
      </c>
      <c r="D21" s="14" t="n">
        <v>46261</v>
      </c>
      <c r="E21" s="11" t="n">
        <v>66000</v>
      </c>
      <c r="F21" s="11" t="n">
        <v>33000</v>
      </c>
      <c r="G21" s="12">
        <f>IF(E21="","",E21-F21)</f>
        <v/>
      </c>
      <c r="H21" s="16">
        <f>IF(OR(G21="",G21&lt;=0),"",MAX(0,$B$5-D21))</f>
        <v/>
      </c>
      <c r="I21" s="16">
        <f>IF(G21="","",IF(G21&lt;=0,"Kapandı",IF(H21=0,"Vadesi gelmedi",IF(H21&lt;=30,"1-30",IF(H21&lt;=60,"31-60",IF(H21&lt;=90,"61-90","90+"))))))</f>
        <v/>
      </c>
      <c r="J21" s="10" t="n"/>
      <c r="K21" s="14" t="n"/>
      <c r="L21" s="10" t="n"/>
    </row>
    <row r="22">
      <c r="A22" s="10" t="inlineStr">
        <is>
          <t>Ereğli Metal San.</t>
        </is>
      </c>
      <c r="B22" s="10" t="inlineStr">
        <is>
          <t>FT20261011</t>
        </is>
      </c>
      <c r="C22" s="14" t="n">
        <v>46264</v>
      </c>
      <c r="D22" s="14" t="n">
        <v>46294</v>
      </c>
      <c r="E22" s="11" t="n">
        <v>281000</v>
      </c>
      <c r="F22" s="11" t="n">
        <v>0</v>
      </c>
      <c r="G22" s="12">
        <f>IF(E22="","",E22-F22)</f>
        <v/>
      </c>
      <c r="H22" s="16">
        <f>IF(OR(G22="",G22&lt;=0),"",MAX(0,$B$5-D22))</f>
        <v/>
      </c>
      <c r="I22" s="16">
        <f>IF(G22="","",IF(G22&lt;=0,"Kapandı",IF(H22=0,"Vadesi gelmedi",IF(H22&lt;=30,"1-30",IF(H22&lt;=60,"31-60",IF(H22&lt;=90,"61-90","90+"))))))</f>
        <v/>
      </c>
      <c r="J22" s="10" t="n"/>
      <c r="K22" s="14" t="n"/>
      <c r="L22" s="10" t="n"/>
    </row>
    <row r="23">
      <c r="A23" s="10" t="inlineStr">
        <is>
          <t>Ereğli Metal San.</t>
        </is>
      </c>
      <c r="B23" s="10" t="inlineStr">
        <is>
          <t>FT20261018</t>
        </is>
      </c>
      <c r="C23" s="14" t="n">
        <v>46314</v>
      </c>
      <c r="D23" s="14" t="n">
        <v>46344</v>
      </c>
      <c r="E23" s="11" t="n">
        <v>265000</v>
      </c>
      <c r="F23" s="11" t="n">
        <v>0</v>
      </c>
      <c r="G23" s="12">
        <f>IF(E23="","",E23-F23)</f>
        <v/>
      </c>
      <c r="H23" s="16">
        <f>IF(OR(G23="",G23&lt;=0),"",MAX(0,$B$5-D23))</f>
        <v/>
      </c>
      <c r="I23" s="16">
        <f>IF(G23="","",IF(G23&lt;=0,"Kapandı",IF(H23=0,"Vadesi gelmedi",IF(H23&lt;=30,"1-30",IF(H23&lt;=60,"31-60",IF(H23&lt;=90,"61-90","90+"))))))</f>
        <v/>
      </c>
      <c r="J23" s="10" t="n"/>
      <c r="K23" s="14" t="n"/>
      <c r="L23" s="10" t="n"/>
    </row>
    <row r="24">
      <c r="A24" s="10" t="inlineStr">
        <is>
          <t>Fevzi Usta İnşaat</t>
        </is>
      </c>
      <c r="B24" s="10" t="inlineStr">
        <is>
          <t>FT20261012</t>
        </is>
      </c>
      <c r="C24" s="14" t="n">
        <v>46196</v>
      </c>
      <c r="D24" s="14" t="n">
        <v>46226</v>
      </c>
      <c r="E24" s="11" t="n">
        <v>312000</v>
      </c>
      <c r="F24" s="11" t="n">
        <v>312000</v>
      </c>
      <c r="G24" s="12">
        <f>IF(E24="","",E24-F24)</f>
        <v/>
      </c>
      <c r="H24" s="16">
        <f>IF(OR(G24="",G24&lt;=0),"",MAX(0,$B$5-D24))</f>
        <v/>
      </c>
      <c r="I24" s="16">
        <f>IF(G24="","",IF(G24&lt;=0,"Kapandı",IF(H24=0,"Vadesi gelmedi",IF(H24&lt;=30,"1-30",IF(H24&lt;=60,"31-60",IF(H24&lt;=90,"61-90","90+"))))))</f>
        <v/>
      </c>
      <c r="J24" s="10" t="n"/>
      <c r="K24" s="14" t="n"/>
      <c r="L24" s="10" t="n"/>
    </row>
    <row r="25">
      <c r="A25" s="10" t="inlineStr">
        <is>
          <t>Fevzi Usta İnşaat</t>
        </is>
      </c>
      <c r="B25" s="10" t="inlineStr">
        <is>
          <t>FT20261019</t>
        </is>
      </c>
      <c r="C25" s="14" t="n">
        <v>46264</v>
      </c>
      <c r="D25" s="14" t="n">
        <v>46294</v>
      </c>
      <c r="E25" s="11" t="n">
        <v>451000</v>
      </c>
      <c r="F25" s="11" t="n">
        <v>451000</v>
      </c>
      <c r="G25" s="12">
        <f>IF(E25="","",E25-F25)</f>
        <v/>
      </c>
      <c r="H25" s="16">
        <f>IF(OR(G25="",G25&lt;=0),"",MAX(0,$B$5-D25))</f>
        <v/>
      </c>
      <c r="I25" s="16">
        <f>IF(G25="","",IF(G25&lt;=0,"Kapandı",IF(H25=0,"Vadesi gelmedi",IF(H25&lt;=30,"1-30",IF(H25&lt;=60,"31-60",IF(H25&lt;=90,"61-90","90+"))))))</f>
        <v/>
      </c>
      <c r="J25" s="10" t="n"/>
      <c r="K25" s="14" t="n"/>
      <c r="L25" s="10" t="n"/>
    </row>
    <row r="26">
      <c r="A26" s="10" t="inlineStr">
        <is>
          <t>Fevzi Usta İnşaat</t>
        </is>
      </c>
      <c r="B26" s="10" t="inlineStr">
        <is>
          <t>FT20261026</t>
        </is>
      </c>
      <c r="C26" s="14" t="n">
        <v>46278</v>
      </c>
      <c r="D26" s="14" t="n">
        <v>46338</v>
      </c>
      <c r="E26" s="11" t="n">
        <v>210000</v>
      </c>
      <c r="F26" s="11" t="n">
        <v>0</v>
      </c>
      <c r="G26" s="12">
        <f>IF(E26="","",E26-F26)</f>
        <v/>
      </c>
      <c r="H26" s="16">
        <f>IF(OR(G26="",G26&lt;=0),"",MAX(0,$B$5-D26))</f>
        <v/>
      </c>
      <c r="I26" s="16">
        <f>IF(G26="","",IF(G26&lt;=0,"Kapandı",IF(H26=0,"Vadesi gelmedi",IF(H26&lt;=30,"1-30",IF(H26&lt;=60,"31-60",IF(H26&lt;=90,"61-90","90+"))))))</f>
        <v/>
      </c>
      <c r="J26" s="10" t="n"/>
      <c r="K26" s="14" t="n"/>
      <c r="L26" s="10" t="n"/>
    </row>
    <row r="27">
      <c r="A27" s="10" t="inlineStr">
        <is>
          <t>Fevzi Usta İnşaat</t>
        </is>
      </c>
      <c r="B27" s="10" t="inlineStr">
        <is>
          <t>FT20261005</t>
        </is>
      </c>
      <c r="C27" s="14" t="n">
        <v>46314</v>
      </c>
      <c r="D27" s="14" t="n">
        <v>46344</v>
      </c>
      <c r="E27" s="11" t="n">
        <v>317000</v>
      </c>
      <c r="F27" s="11" t="n">
        <v>158500</v>
      </c>
      <c r="G27" s="12">
        <f>IF(E27="","",E27-F27)</f>
        <v/>
      </c>
      <c r="H27" s="16">
        <f>IF(OR(G27="",G27&lt;=0),"",MAX(0,$B$5-D27))</f>
        <v/>
      </c>
      <c r="I27" s="16">
        <f>IF(G27="","",IF(G27&lt;=0,"Kapandı",IF(H27=0,"Vadesi gelmedi",IF(H27&lt;=30,"1-30",IF(H27&lt;=60,"31-60",IF(H27&lt;=90,"61-90","90+"))))))</f>
        <v/>
      </c>
      <c r="J27" s="10" t="n"/>
      <c r="K27" s="14" t="n"/>
      <c r="L27" s="10" t="n"/>
    </row>
    <row r="28">
      <c r="A28" s="10" t="inlineStr">
        <is>
          <t>Gölbaşı Plastik</t>
        </is>
      </c>
      <c r="B28" s="10" t="inlineStr">
        <is>
          <t>FT20261013</t>
        </is>
      </c>
      <c r="C28" s="14" t="n">
        <v>46176</v>
      </c>
      <c r="D28" s="14" t="n">
        <v>46236</v>
      </c>
      <c r="E28" s="11" t="n">
        <v>228000</v>
      </c>
      <c r="F28" s="11" t="n">
        <v>0</v>
      </c>
      <c r="G28" s="12">
        <f>IF(E28="","",E28-F28)</f>
        <v/>
      </c>
      <c r="H28" s="16">
        <f>IF(OR(G28="",G28&lt;=0),"",MAX(0,$B$5-D28))</f>
        <v/>
      </c>
      <c r="I28" s="16">
        <f>IF(G28="","",IF(G28&lt;=0,"Kapandı",IF(H28=0,"Vadesi gelmedi",IF(H28&lt;=30,"1-30",IF(H28&lt;=60,"31-60",IF(H28&lt;=90,"61-90","90+"))))))</f>
        <v/>
      </c>
      <c r="J28" s="10" t="n"/>
      <c r="K28" s="14" t="n"/>
      <c r="L28" s="10" t="n"/>
    </row>
    <row r="29">
      <c r="A29" s="10" t="inlineStr">
        <is>
          <t>Gölbaşı Plastik</t>
        </is>
      </c>
      <c r="B29" s="10" t="inlineStr">
        <is>
          <t>FT20261006</t>
        </is>
      </c>
      <c r="C29" s="14" t="n">
        <v>46321</v>
      </c>
      <c r="D29" s="14" t="n">
        <v>46381</v>
      </c>
      <c r="E29" s="11" t="n">
        <v>298000</v>
      </c>
      <c r="F29" s="11" t="n">
        <v>0</v>
      </c>
      <c r="G29" s="12">
        <f>IF(E29="","",E29-F29)</f>
        <v/>
      </c>
      <c r="H29" s="16">
        <f>IF(OR(G29="",G29&lt;=0),"",MAX(0,$B$5-D29))</f>
        <v/>
      </c>
      <c r="I29" s="16">
        <f>IF(G29="","",IF(G29&lt;=0,"Kapandı",IF(H29=0,"Vadesi gelmedi",IF(H29&lt;=30,"1-30",IF(H29&lt;=60,"31-60",IF(H29&lt;=90,"61-90","90+"))))))</f>
        <v/>
      </c>
      <c r="J29" s="10" t="n"/>
      <c r="K29" s="14" t="n"/>
      <c r="L29" s="10" t="n"/>
    </row>
    <row r="30">
      <c r="A30" s="10" t="inlineStr">
        <is>
          <t>Gölbaşı Plastik</t>
        </is>
      </c>
      <c r="B30" s="10" t="inlineStr">
        <is>
          <t>FT20261020</t>
        </is>
      </c>
      <c r="C30" s="14" t="n">
        <v>46321</v>
      </c>
      <c r="D30" s="14" t="n">
        <v>46381</v>
      </c>
      <c r="E30" s="11" t="n">
        <v>74000</v>
      </c>
      <c r="F30" s="11" t="n">
        <v>37000</v>
      </c>
      <c r="G30" s="12">
        <f>IF(E30="","",E30-F30)</f>
        <v/>
      </c>
      <c r="H30" s="16">
        <f>IF(OR(G30="",G30&lt;=0),"",MAX(0,$B$5-D30))</f>
        <v/>
      </c>
      <c r="I30" s="16">
        <f>IF(G30="","",IF(G30&lt;=0,"Kapandı",IF(H30=0,"Vadesi gelmedi",IF(H30&lt;=30,"1-30",IF(H30&lt;=60,"31-60",IF(H30&lt;=90,"61-90","90+"))))))</f>
        <v/>
      </c>
      <c r="J30" s="10" t="n"/>
      <c r="K30" s="14" t="n"/>
      <c r="L30" s="10" t="n"/>
    </row>
    <row r="31">
      <c r="A31" s="10" t="inlineStr">
        <is>
          <t>Gölbaşı Plastik</t>
        </is>
      </c>
      <c r="B31" s="10" t="inlineStr">
        <is>
          <t>FT20261027</t>
        </is>
      </c>
      <c r="C31" s="14" t="n">
        <v>46321</v>
      </c>
      <c r="D31" s="14" t="n">
        <v>46366</v>
      </c>
      <c r="E31" s="11" t="n">
        <v>196000</v>
      </c>
      <c r="F31" s="11" t="n">
        <v>98000</v>
      </c>
      <c r="G31" s="12">
        <f>IF(E31="","",E31-F31)</f>
        <v/>
      </c>
      <c r="H31" s="16">
        <f>IF(OR(G31="",G31&lt;=0),"",MAX(0,$B$5-D31))</f>
        <v/>
      </c>
      <c r="I31" s="16">
        <f>IF(G31="","",IF(G31&lt;=0,"Kapandı",IF(H31=0,"Vadesi gelmedi",IF(H31&lt;=30,"1-30",IF(H31&lt;=60,"31-60",IF(H31&lt;=90,"61-90","90+"))))))</f>
        <v/>
      </c>
      <c r="J31" s="10" t="n"/>
      <c r="K31" s="14" t="n"/>
      <c r="L31" s="10" t="n"/>
    </row>
    <row r="32">
      <c r="A32" s="10" t="inlineStr">
        <is>
          <t>Çumra Tarım Koop.</t>
        </is>
      </c>
      <c r="B32" s="10" t="inlineStr">
        <is>
          <t>FT20261009</t>
        </is>
      </c>
      <c r="C32" s="14" t="n">
        <v>46196</v>
      </c>
      <c r="D32" s="14" t="n">
        <v>46241</v>
      </c>
      <c r="E32" s="11" t="n">
        <v>287000</v>
      </c>
      <c r="F32" s="11" t="n">
        <v>0</v>
      </c>
      <c r="G32" s="12">
        <f>IF(E32="","",E32-F32)</f>
        <v/>
      </c>
      <c r="H32" s="16">
        <f>IF(OR(G32="",G32&lt;=0),"",MAX(0,$B$5-D32))</f>
        <v/>
      </c>
      <c r="I32" s="16">
        <f>IF(G32="","",IF(G32&lt;=0,"Kapandı",IF(H32=0,"Vadesi gelmedi",IF(H32&lt;=30,"1-30",IF(H32&lt;=60,"31-60",IF(H32&lt;=90,"61-90","90+"))))))</f>
        <v/>
      </c>
      <c r="J32" s="10" t="n"/>
      <c r="K32" s="14" t="n"/>
      <c r="L32" s="10" t="n"/>
    </row>
    <row r="33">
      <c r="A33" s="10" t="inlineStr">
        <is>
          <t>Çumra Tarım Koop.</t>
        </is>
      </c>
      <c r="B33" s="10" t="inlineStr">
        <is>
          <t>FT20261016</t>
        </is>
      </c>
      <c r="C33" s="14" t="n">
        <v>46314</v>
      </c>
      <c r="D33" s="14" t="n">
        <v>46374</v>
      </c>
      <c r="E33" s="11" t="n">
        <v>172000</v>
      </c>
      <c r="F33" s="11" t="n">
        <v>172000</v>
      </c>
      <c r="G33" s="12">
        <f>IF(E33="","",E33-F33)</f>
        <v/>
      </c>
      <c r="H33" s="16">
        <f>IF(OR(G33="",G33&lt;=0),"",MAX(0,$B$5-D33))</f>
        <v/>
      </c>
      <c r="I33" s="16">
        <f>IF(G33="","",IF(G33&lt;=0,"Kapandı",IF(H33=0,"Vadesi gelmedi",IF(H33&lt;=30,"1-30",IF(H33&lt;=60,"31-60",IF(H33&lt;=90,"61-90","90+"))))))</f>
        <v/>
      </c>
      <c r="J33" s="10" t="n"/>
      <c r="K33" s="14" t="n"/>
      <c r="L33" s="10" t="n"/>
    </row>
    <row r="34">
      <c r="A34" s="10" t="inlineStr">
        <is>
          <t>Çumra Tarım Koop.</t>
        </is>
      </c>
      <c r="B34" s="10" t="inlineStr">
        <is>
          <t>FT20261023</t>
        </is>
      </c>
      <c r="C34" s="14" t="n">
        <v>46314</v>
      </c>
      <c r="D34" s="14" t="n">
        <v>46344</v>
      </c>
      <c r="E34" s="11" t="n">
        <v>456000</v>
      </c>
      <c r="F34" s="11" t="n">
        <v>456000</v>
      </c>
      <c r="G34" s="12">
        <f>IF(E34="","",E34-F34)</f>
        <v/>
      </c>
      <c r="H34" s="16">
        <f>IF(OR(G34="",G34&lt;=0),"",MAX(0,$B$5-D34))</f>
        <v/>
      </c>
      <c r="I34" s="16">
        <f>IF(G34="","",IF(G34&lt;=0,"Kapandı",IF(H34=0,"Vadesi gelmedi",IF(H34&lt;=30,"1-30",IF(H34&lt;=60,"31-60",IF(H34&lt;=90,"61-90","90+"))))))</f>
        <v/>
      </c>
      <c r="J34" s="10" t="n"/>
      <c r="K34" s="14" t="n"/>
      <c r="L34" s="10" t="n"/>
    </row>
    <row r="35">
      <c r="A35" s="10" t="inlineStr">
        <is>
          <t>Çumra Tarım Koop.</t>
        </is>
      </c>
      <c r="B35" s="10" t="inlineStr">
        <is>
          <t>FT20261002</t>
        </is>
      </c>
      <c r="C35" s="14" t="n">
        <v>46321</v>
      </c>
      <c r="D35" s="14" t="n">
        <v>46381</v>
      </c>
      <c r="E35" s="11" t="n">
        <v>134000</v>
      </c>
      <c r="F35" s="11" t="n">
        <v>0</v>
      </c>
      <c r="G35" s="12">
        <f>IF(E35="","",E35-F35)</f>
        <v/>
      </c>
      <c r="H35" s="16">
        <f>IF(OR(G35="",G35&lt;=0),"",MAX(0,$B$5-D35))</f>
        <v/>
      </c>
      <c r="I35" s="16">
        <f>IF(G35="","",IF(G35&lt;=0,"Kapandı",IF(H35=0,"Vadesi gelmedi",IF(H35&lt;=30,"1-30",IF(H35&lt;=60,"31-60",IF(H35&lt;=90,"61-90","90+"))))))</f>
        <v/>
      </c>
      <c r="J35" s="10" t="n"/>
      <c r="K35" s="14" t="n"/>
      <c r="L35" s="10" t="n"/>
    </row>
    <row r="36">
      <c r="A36" s="10" t="n"/>
      <c r="B36" s="10" t="n"/>
      <c r="C36" s="14" t="n"/>
      <c r="D36" s="14" t="n"/>
      <c r="E36" s="11" t="n"/>
      <c r="F36" s="11" t="n"/>
      <c r="G36" s="12">
        <f>IF(E36="","",E36-F36)</f>
        <v/>
      </c>
      <c r="H36" s="16">
        <f>IF(OR(G36="",G36&lt;=0),"",MAX(0,$B$5-D36))</f>
        <v/>
      </c>
      <c r="I36" s="16">
        <f>IF(G36="","",IF(G36&lt;=0,"Kapandı",IF(H36=0,"Vadesi gelmedi",IF(H36&lt;=30,"1-30",IF(H36&lt;=60,"31-60",IF(H36&lt;=90,"61-90","90+"))))))</f>
        <v/>
      </c>
      <c r="J36" s="10" t="n"/>
      <c r="K36" s="14" t="n"/>
      <c r="L36" s="10" t="n"/>
    </row>
    <row r="37">
      <c r="A37" s="10" t="n"/>
      <c r="B37" s="10" t="n"/>
      <c r="C37" s="14" t="n"/>
      <c r="D37" s="14" t="n"/>
      <c r="E37" s="11" t="n"/>
      <c r="F37" s="11" t="n"/>
      <c r="G37" s="12">
        <f>IF(E37="","",E37-F37)</f>
        <v/>
      </c>
      <c r="H37" s="16">
        <f>IF(OR(G37="",G37&lt;=0),"",MAX(0,$B$5-D37))</f>
        <v/>
      </c>
      <c r="I37" s="16">
        <f>IF(G37="","",IF(G37&lt;=0,"Kapandı",IF(H37=0,"Vadesi gelmedi",IF(H37&lt;=30,"1-30",IF(H37&lt;=60,"31-60",IF(H37&lt;=90,"61-90","90+"))))))</f>
        <v/>
      </c>
      <c r="J37" s="10" t="n"/>
      <c r="K37" s="14" t="n"/>
      <c r="L37" s="10" t="n"/>
    </row>
    <row r="38">
      <c r="A38" s="10" t="n"/>
      <c r="B38" s="10" t="n"/>
      <c r="C38" s="14" t="n"/>
      <c r="D38" s="14" t="n"/>
      <c r="E38" s="11" t="n"/>
      <c r="F38" s="11" t="n"/>
      <c r="G38" s="12">
        <f>IF(E38="","",E38-F38)</f>
        <v/>
      </c>
      <c r="H38" s="16">
        <f>IF(OR(G38="",G38&lt;=0),"",MAX(0,$B$5-D38))</f>
        <v/>
      </c>
      <c r="I38" s="16">
        <f>IF(G38="","",IF(G38&lt;=0,"Kapandı",IF(H38=0,"Vadesi gelmedi",IF(H38&lt;=30,"1-30",IF(H38&lt;=60,"31-60",IF(H38&lt;=90,"61-90","90+"))))))</f>
        <v/>
      </c>
      <c r="J38" s="10" t="n"/>
      <c r="K38" s="14" t="n"/>
      <c r="L38" s="10" t="n"/>
    </row>
    <row r="39">
      <c r="A39" s="10" t="n"/>
      <c r="B39" s="10" t="n"/>
      <c r="C39" s="14" t="n"/>
      <c r="D39" s="14" t="n"/>
      <c r="E39" s="11" t="n"/>
      <c r="F39" s="11" t="n"/>
      <c r="G39" s="12">
        <f>IF(E39="","",E39-F39)</f>
        <v/>
      </c>
      <c r="H39" s="16">
        <f>IF(OR(G39="",G39&lt;=0),"",MAX(0,$B$5-D39))</f>
        <v/>
      </c>
      <c r="I39" s="16">
        <f>IF(G39="","",IF(G39&lt;=0,"Kapandı",IF(H39=0,"Vadesi gelmedi",IF(H39&lt;=30,"1-30",IF(H39&lt;=60,"31-60",IF(H39&lt;=90,"61-90","90+"))))))</f>
        <v/>
      </c>
      <c r="J39" s="10" t="n"/>
      <c r="K39" s="14" t="n"/>
      <c r="L39" s="10" t="n"/>
    </row>
    <row r="40">
      <c r="A40" s="10" t="n"/>
      <c r="B40" s="10" t="n"/>
      <c r="C40" s="14" t="n"/>
      <c r="D40" s="14" t="n"/>
      <c r="E40" s="11" t="n"/>
      <c r="F40" s="11" t="n"/>
      <c r="G40" s="12">
        <f>IF(E40="","",E40-F40)</f>
        <v/>
      </c>
      <c r="H40" s="16">
        <f>IF(OR(G40="",G40&lt;=0),"",MAX(0,$B$5-D40))</f>
        <v/>
      </c>
      <c r="I40" s="16">
        <f>IF(G40="","",IF(G40&lt;=0,"Kapandı",IF(H40=0,"Vadesi gelmedi",IF(H40&lt;=30,"1-30",IF(H40&lt;=60,"31-60",IF(H40&lt;=90,"61-90","90+"))))))</f>
        <v/>
      </c>
      <c r="J40" s="10" t="n"/>
      <c r="K40" s="14" t="n"/>
      <c r="L40" s="10" t="n"/>
    </row>
    <row r="41">
      <c r="A41" s="10" t="n"/>
      <c r="B41" s="10" t="n"/>
      <c r="C41" s="14" t="n"/>
      <c r="D41" s="14" t="n"/>
      <c r="E41" s="11" t="n"/>
      <c r="F41" s="11" t="n"/>
      <c r="G41" s="12">
        <f>IF(E41="","",E41-F41)</f>
        <v/>
      </c>
      <c r="H41" s="16">
        <f>IF(OR(G41="",G41&lt;=0),"",MAX(0,$B$5-D41))</f>
        <v/>
      </c>
      <c r="I41" s="16">
        <f>IF(G41="","",IF(G41&lt;=0,"Kapandı",IF(H41=0,"Vadesi gelmedi",IF(H41&lt;=30,"1-30",IF(H41&lt;=60,"31-60",IF(H41&lt;=90,"61-90","90+"))))))</f>
        <v/>
      </c>
      <c r="J41" s="10" t="n"/>
      <c r="K41" s="14" t="n"/>
      <c r="L41" s="10" t="n"/>
    </row>
    <row r="42">
      <c r="A42" s="10" t="n"/>
      <c r="B42" s="10" t="n"/>
      <c r="C42" s="14" t="n"/>
      <c r="D42" s="14" t="n"/>
      <c r="E42" s="11" t="n"/>
      <c r="F42" s="11" t="n"/>
      <c r="G42" s="12">
        <f>IF(E42="","",E42-F42)</f>
        <v/>
      </c>
      <c r="H42" s="16">
        <f>IF(OR(G42="",G42&lt;=0),"",MAX(0,$B$5-D42))</f>
        <v/>
      </c>
      <c r="I42" s="16">
        <f>IF(G42="","",IF(G42&lt;=0,"Kapandı",IF(H42=0,"Vadesi gelmedi",IF(H42&lt;=30,"1-30",IF(H42&lt;=60,"31-60",IF(H42&lt;=90,"61-90","90+"))))))</f>
        <v/>
      </c>
      <c r="J42" s="10" t="n"/>
      <c r="K42" s="14" t="n"/>
      <c r="L42" s="10" t="n"/>
    </row>
    <row r="43">
      <c r="A43" s="10" t="n"/>
      <c r="B43" s="10" t="n"/>
      <c r="C43" s="14" t="n"/>
      <c r="D43" s="14" t="n"/>
      <c r="E43" s="11" t="n"/>
      <c r="F43" s="11" t="n"/>
      <c r="G43" s="12">
        <f>IF(E43="","",E43-F43)</f>
        <v/>
      </c>
      <c r="H43" s="16">
        <f>IF(OR(G43="",G43&lt;=0),"",MAX(0,$B$5-D43))</f>
        <v/>
      </c>
      <c r="I43" s="16">
        <f>IF(G43="","",IF(G43&lt;=0,"Kapandı",IF(H43=0,"Vadesi gelmedi",IF(H43&lt;=30,"1-30",IF(H43&lt;=60,"31-60",IF(H43&lt;=90,"61-90","90+"))))))</f>
        <v/>
      </c>
      <c r="J43" s="10" t="n"/>
      <c r="K43" s="14" t="n"/>
      <c r="L43" s="10" t="n"/>
    </row>
    <row r="44">
      <c r="A44" s="10" t="n"/>
      <c r="B44" s="10" t="n"/>
      <c r="C44" s="14" t="n"/>
      <c r="D44" s="14" t="n"/>
      <c r="E44" s="11" t="n"/>
      <c r="F44" s="11" t="n"/>
      <c r="G44" s="12">
        <f>IF(E44="","",E44-F44)</f>
        <v/>
      </c>
      <c r="H44" s="16">
        <f>IF(OR(G44="",G44&lt;=0),"",MAX(0,$B$5-D44))</f>
        <v/>
      </c>
      <c r="I44" s="16">
        <f>IF(G44="","",IF(G44&lt;=0,"Kapandı",IF(H44=0,"Vadesi gelmedi",IF(H44&lt;=30,"1-30",IF(H44&lt;=60,"31-60",IF(H44&lt;=90,"61-90","90+"))))))</f>
        <v/>
      </c>
      <c r="J44" s="10" t="n"/>
      <c r="K44" s="14" t="n"/>
      <c r="L44" s="10" t="n"/>
    </row>
    <row r="45">
      <c r="A45" s="10" t="n"/>
      <c r="B45" s="10" t="n"/>
      <c r="C45" s="14" t="n"/>
      <c r="D45" s="14" t="n"/>
      <c r="E45" s="11" t="n"/>
      <c r="F45" s="11" t="n"/>
      <c r="G45" s="12">
        <f>IF(E45="","",E45-F45)</f>
        <v/>
      </c>
      <c r="H45" s="16">
        <f>IF(OR(G45="",G45&lt;=0),"",MAX(0,$B$5-D45))</f>
        <v/>
      </c>
      <c r="I45" s="16">
        <f>IF(G45="","",IF(G45&lt;=0,"Kapandı",IF(H45=0,"Vadesi gelmedi",IF(H45&lt;=30,"1-30",IF(H45&lt;=60,"31-60",IF(H45&lt;=90,"61-90","90+"))))))</f>
        <v/>
      </c>
      <c r="J45" s="10" t="n"/>
      <c r="K45" s="14" t="n"/>
      <c r="L45" s="10" t="n"/>
    </row>
    <row r="46">
      <c r="A46" s="10" t="n"/>
      <c r="B46" s="10" t="n"/>
      <c r="C46" s="14" t="n"/>
      <c r="D46" s="14" t="n"/>
      <c r="E46" s="11" t="n"/>
      <c r="F46" s="11" t="n"/>
      <c r="G46" s="12">
        <f>IF(E46="","",E46-F46)</f>
        <v/>
      </c>
      <c r="H46" s="16">
        <f>IF(OR(G46="",G46&lt;=0),"",MAX(0,$B$5-D46))</f>
        <v/>
      </c>
      <c r="I46" s="16">
        <f>IF(G46="","",IF(G46&lt;=0,"Kapandı",IF(H46=0,"Vadesi gelmedi",IF(H46&lt;=30,"1-30",IF(H46&lt;=60,"31-60",IF(H46&lt;=90,"61-90","90+"))))))</f>
        <v/>
      </c>
      <c r="J46" s="10" t="n"/>
      <c r="K46" s="14" t="n"/>
      <c r="L46" s="10" t="n"/>
    </row>
    <row r="47">
      <c r="A47" s="10" t="n"/>
      <c r="B47" s="10" t="n"/>
      <c r="C47" s="14" t="n"/>
      <c r="D47" s="14" t="n"/>
      <c r="E47" s="11" t="n"/>
      <c r="F47" s="11" t="n"/>
      <c r="G47" s="12">
        <f>IF(E47="","",E47-F47)</f>
        <v/>
      </c>
      <c r="H47" s="16">
        <f>IF(OR(G47="",G47&lt;=0),"",MAX(0,$B$5-D47))</f>
        <v/>
      </c>
      <c r="I47" s="16">
        <f>IF(G47="","",IF(G47&lt;=0,"Kapandı",IF(H47=0,"Vadesi gelmedi",IF(H47&lt;=30,"1-30",IF(H47&lt;=60,"31-60",IF(H47&lt;=90,"61-90","90+"))))))</f>
        <v/>
      </c>
      <c r="J47" s="10" t="n"/>
      <c r="K47" s="14" t="n"/>
      <c r="L47" s="10" t="n"/>
    </row>
    <row r="48">
      <c r="A48" s="10" t="n"/>
      <c r="B48" s="10" t="n"/>
      <c r="C48" s="14" t="n"/>
      <c r="D48" s="14" t="n"/>
      <c r="E48" s="11" t="n"/>
      <c r="F48" s="11" t="n"/>
      <c r="G48" s="12">
        <f>IF(E48="","",E48-F48)</f>
        <v/>
      </c>
      <c r="H48" s="16">
        <f>IF(OR(G48="",G48&lt;=0),"",MAX(0,$B$5-D48))</f>
        <v/>
      </c>
      <c r="I48" s="16">
        <f>IF(G48="","",IF(G48&lt;=0,"Kapandı",IF(H48=0,"Vadesi gelmedi",IF(H48&lt;=30,"1-30",IF(H48&lt;=60,"31-60",IF(H48&lt;=90,"61-90","90+"))))))</f>
        <v/>
      </c>
      <c r="J48" s="10" t="n"/>
      <c r="K48" s="14" t="n"/>
      <c r="L48" s="10" t="n"/>
    </row>
    <row r="49">
      <c r="A49" s="10" t="n"/>
      <c r="B49" s="10" t="n"/>
      <c r="C49" s="14" t="n"/>
      <c r="D49" s="14" t="n"/>
      <c r="E49" s="11" t="n"/>
      <c r="F49" s="11" t="n"/>
      <c r="G49" s="12">
        <f>IF(E49="","",E49-F49)</f>
        <v/>
      </c>
      <c r="H49" s="16">
        <f>IF(OR(G49="",G49&lt;=0),"",MAX(0,$B$5-D49))</f>
        <v/>
      </c>
      <c r="I49" s="16">
        <f>IF(G49="","",IF(G49&lt;=0,"Kapandı",IF(H49=0,"Vadesi gelmedi",IF(H49&lt;=30,"1-30",IF(H49&lt;=60,"31-60",IF(H49&lt;=90,"61-90","90+"))))))</f>
        <v/>
      </c>
      <c r="J49" s="10" t="n"/>
      <c r="K49" s="14" t="n"/>
      <c r="L49" s="10" t="n"/>
    </row>
    <row r="50">
      <c r="A50" s="10" t="n"/>
      <c r="B50" s="10" t="n"/>
      <c r="C50" s="14" t="n"/>
      <c r="D50" s="14" t="n"/>
      <c r="E50" s="11" t="n"/>
      <c r="F50" s="11" t="n"/>
      <c r="G50" s="12">
        <f>IF(E50="","",E50-F50)</f>
        <v/>
      </c>
      <c r="H50" s="16">
        <f>IF(OR(G50="",G50&lt;=0),"",MAX(0,$B$5-D50))</f>
        <v/>
      </c>
      <c r="I50" s="16">
        <f>IF(G50="","",IF(G50&lt;=0,"Kapandı",IF(H50=0,"Vadesi gelmedi",IF(H50&lt;=30,"1-30",IF(H50&lt;=60,"31-60",IF(H50&lt;=90,"61-90","90+"))))))</f>
        <v/>
      </c>
      <c r="J50" s="10" t="n"/>
      <c r="K50" s="14" t="n"/>
      <c r="L50" s="10" t="n"/>
    </row>
    <row r="51">
      <c r="A51" s="10" t="n"/>
      <c r="B51" s="10" t="n"/>
      <c r="C51" s="14" t="n"/>
      <c r="D51" s="14" t="n"/>
      <c r="E51" s="11" t="n"/>
      <c r="F51" s="11" t="n"/>
      <c r="G51" s="12">
        <f>IF(E51="","",E51-F51)</f>
        <v/>
      </c>
      <c r="H51" s="16">
        <f>IF(OR(G51="",G51&lt;=0),"",MAX(0,$B$5-D51))</f>
        <v/>
      </c>
      <c r="I51" s="16">
        <f>IF(G51="","",IF(G51&lt;=0,"Kapandı",IF(H51=0,"Vadesi gelmedi",IF(H51&lt;=30,"1-30",IF(H51&lt;=60,"31-60",IF(H51&lt;=90,"61-90","90+"))))))</f>
        <v/>
      </c>
      <c r="J51" s="10" t="n"/>
      <c r="K51" s="14" t="n"/>
      <c r="L51" s="10" t="n"/>
    </row>
    <row r="52">
      <c r="A52" s="10" t="n"/>
      <c r="B52" s="10" t="n"/>
      <c r="C52" s="14" t="n"/>
      <c r="D52" s="14" t="n"/>
      <c r="E52" s="11" t="n"/>
      <c r="F52" s="11" t="n"/>
      <c r="G52" s="12">
        <f>IF(E52="","",E52-F52)</f>
        <v/>
      </c>
      <c r="H52" s="16">
        <f>IF(OR(G52="",G52&lt;=0),"",MAX(0,$B$5-D52))</f>
        <v/>
      </c>
      <c r="I52" s="16">
        <f>IF(G52="","",IF(G52&lt;=0,"Kapandı",IF(H52=0,"Vadesi gelmedi",IF(H52&lt;=30,"1-30",IF(H52&lt;=60,"31-60",IF(H52&lt;=90,"61-90","90+"))))))</f>
        <v/>
      </c>
      <c r="J52" s="10" t="n"/>
      <c r="K52" s="14" t="n"/>
      <c r="L52" s="10" t="n"/>
    </row>
    <row r="53">
      <c r="A53" s="10" t="n"/>
      <c r="B53" s="10" t="n"/>
      <c r="C53" s="14" t="n"/>
      <c r="D53" s="14" t="n"/>
      <c r="E53" s="11" t="n"/>
      <c r="F53" s="11" t="n"/>
      <c r="G53" s="12">
        <f>IF(E53="","",E53-F53)</f>
        <v/>
      </c>
      <c r="H53" s="16">
        <f>IF(OR(G53="",G53&lt;=0),"",MAX(0,$B$5-D53))</f>
        <v/>
      </c>
      <c r="I53" s="16">
        <f>IF(G53="","",IF(G53&lt;=0,"Kapandı",IF(H53=0,"Vadesi gelmedi",IF(H53&lt;=30,"1-30",IF(H53&lt;=60,"31-60",IF(H53&lt;=90,"61-90","90+"))))))</f>
        <v/>
      </c>
      <c r="J53" s="10" t="n"/>
      <c r="K53" s="14" t="n"/>
      <c r="L53" s="10" t="n"/>
    </row>
    <row r="54">
      <c r="A54" s="10" t="n"/>
      <c r="B54" s="10" t="n"/>
      <c r="C54" s="14" t="n"/>
      <c r="D54" s="14" t="n"/>
      <c r="E54" s="11" t="n"/>
      <c r="F54" s="11" t="n"/>
      <c r="G54" s="12">
        <f>IF(E54="","",E54-F54)</f>
        <v/>
      </c>
      <c r="H54" s="16">
        <f>IF(OR(G54="",G54&lt;=0),"",MAX(0,$B$5-D54))</f>
        <v/>
      </c>
      <c r="I54" s="16">
        <f>IF(G54="","",IF(G54&lt;=0,"Kapandı",IF(H54=0,"Vadesi gelmedi",IF(H54&lt;=30,"1-30",IF(H54&lt;=60,"31-60",IF(H54&lt;=90,"61-90","90+"))))))</f>
        <v/>
      </c>
      <c r="J54" s="10" t="n"/>
      <c r="K54" s="14" t="n"/>
      <c r="L54" s="10" t="n"/>
    </row>
    <row r="55">
      <c r="A55" s="10" t="n"/>
      <c r="B55" s="10" t="n"/>
      <c r="C55" s="14" t="n"/>
      <c r="D55" s="14" t="n"/>
      <c r="E55" s="11" t="n"/>
      <c r="F55" s="11" t="n"/>
      <c r="G55" s="12">
        <f>IF(E55="","",E55-F55)</f>
        <v/>
      </c>
      <c r="H55" s="16">
        <f>IF(OR(G55="",G55&lt;=0),"",MAX(0,$B$5-D55))</f>
        <v/>
      </c>
      <c r="I55" s="16">
        <f>IF(G55="","",IF(G55&lt;=0,"Kapandı",IF(H55=0,"Vadesi gelmedi",IF(H55&lt;=30,"1-30",IF(H55&lt;=60,"31-60",IF(H55&lt;=90,"61-90","90+"))))))</f>
        <v/>
      </c>
      <c r="J55" s="10" t="n"/>
      <c r="K55" s="14" t="n"/>
      <c r="L55" s="10" t="n"/>
    </row>
    <row r="56">
      <c r="A56" s="10" t="n"/>
      <c r="B56" s="10" t="n"/>
      <c r="C56" s="14" t="n"/>
      <c r="D56" s="14" t="n"/>
      <c r="E56" s="11" t="n"/>
      <c r="F56" s="11" t="n"/>
      <c r="G56" s="12">
        <f>IF(E56="","",E56-F56)</f>
        <v/>
      </c>
      <c r="H56" s="16">
        <f>IF(OR(G56="",G56&lt;=0),"",MAX(0,$B$5-D56))</f>
        <v/>
      </c>
      <c r="I56" s="16">
        <f>IF(G56="","",IF(G56&lt;=0,"Kapandı",IF(H56=0,"Vadesi gelmedi",IF(H56&lt;=30,"1-30",IF(H56&lt;=60,"31-60",IF(H56&lt;=90,"61-90","90+"))))))</f>
        <v/>
      </c>
      <c r="J56" s="10" t="n"/>
      <c r="K56" s="14" t="n"/>
      <c r="L56" s="10" t="n"/>
    </row>
    <row r="57">
      <c r="A57" s="10" t="n"/>
      <c r="B57" s="10" t="n"/>
      <c r="C57" s="14" t="n"/>
      <c r="D57" s="14" t="n"/>
      <c r="E57" s="11" t="n"/>
      <c r="F57" s="11" t="n"/>
      <c r="G57" s="12">
        <f>IF(E57="","",E57-F57)</f>
        <v/>
      </c>
      <c r="H57" s="16">
        <f>IF(OR(G57="",G57&lt;=0),"",MAX(0,$B$5-D57))</f>
        <v/>
      </c>
      <c r="I57" s="16">
        <f>IF(G57="","",IF(G57&lt;=0,"Kapandı",IF(H57=0,"Vadesi gelmedi",IF(H57&lt;=30,"1-30",IF(H57&lt;=60,"31-60",IF(H57&lt;=90,"61-90","90+"))))))</f>
        <v/>
      </c>
      <c r="J57" s="10" t="n"/>
      <c r="K57" s="14" t="n"/>
      <c r="L57" s="10" t="n"/>
    </row>
    <row r="58">
      <c r="A58" s="10" t="n"/>
      <c r="B58" s="10" t="n"/>
      <c r="C58" s="14" t="n"/>
      <c r="D58" s="14" t="n"/>
      <c r="E58" s="11" t="n"/>
      <c r="F58" s="11" t="n"/>
      <c r="G58" s="12">
        <f>IF(E58="","",E58-F58)</f>
        <v/>
      </c>
      <c r="H58" s="16">
        <f>IF(OR(G58="",G58&lt;=0),"",MAX(0,$B$5-D58))</f>
        <v/>
      </c>
      <c r="I58" s="16">
        <f>IF(G58="","",IF(G58&lt;=0,"Kapandı",IF(H58=0,"Vadesi gelmedi",IF(H58&lt;=30,"1-30",IF(H58&lt;=60,"31-60",IF(H58&lt;=90,"61-90","90+"))))))</f>
        <v/>
      </c>
      <c r="J58" s="10" t="n"/>
      <c r="K58" s="14" t="n"/>
      <c r="L58" s="10" t="n"/>
    </row>
    <row r="59">
      <c r="A59" s="10" t="n"/>
      <c r="B59" s="10" t="n"/>
      <c r="C59" s="14" t="n"/>
      <c r="D59" s="14" t="n"/>
      <c r="E59" s="11" t="n"/>
      <c r="F59" s="11" t="n"/>
      <c r="G59" s="12">
        <f>IF(E59="","",E59-F59)</f>
        <v/>
      </c>
      <c r="H59" s="16">
        <f>IF(OR(G59="",G59&lt;=0),"",MAX(0,$B$5-D59))</f>
        <v/>
      </c>
      <c r="I59" s="16">
        <f>IF(G59="","",IF(G59&lt;=0,"Kapandı",IF(H59=0,"Vadesi gelmedi",IF(H59&lt;=30,"1-30",IF(H59&lt;=60,"31-60",IF(H59&lt;=90,"61-90","90+"))))))</f>
        <v/>
      </c>
      <c r="J59" s="10" t="n"/>
      <c r="K59" s="14" t="n"/>
      <c r="L59" s="10" t="n"/>
    </row>
    <row r="60">
      <c r="A60" s="10" t="n"/>
      <c r="B60" s="10" t="n"/>
      <c r="C60" s="14" t="n"/>
      <c r="D60" s="14" t="n"/>
      <c r="E60" s="11" t="n"/>
      <c r="F60" s="11" t="n"/>
      <c r="G60" s="12">
        <f>IF(E60="","",E60-F60)</f>
        <v/>
      </c>
      <c r="H60" s="16">
        <f>IF(OR(G60="",G60&lt;=0),"",MAX(0,$B$5-D60))</f>
        <v/>
      </c>
      <c r="I60" s="16">
        <f>IF(G60="","",IF(G60&lt;=0,"Kapandı",IF(H60=0,"Vadesi gelmedi",IF(H60&lt;=30,"1-30",IF(H60&lt;=60,"31-60",IF(H60&lt;=90,"61-90","90+"))))))</f>
        <v/>
      </c>
      <c r="J60" s="10" t="n"/>
      <c r="K60" s="14" t="n"/>
      <c r="L60" s="10" t="n"/>
    </row>
    <row r="61">
      <c r="A61" s="10" t="n"/>
      <c r="B61" s="10" t="n"/>
      <c r="C61" s="14" t="n"/>
      <c r="D61" s="14" t="n"/>
      <c r="E61" s="11" t="n"/>
      <c r="F61" s="11" t="n"/>
      <c r="G61" s="12">
        <f>IF(E61="","",E61-F61)</f>
        <v/>
      </c>
      <c r="H61" s="16">
        <f>IF(OR(G61="",G61&lt;=0),"",MAX(0,$B$5-D61))</f>
        <v/>
      </c>
      <c r="I61" s="16">
        <f>IF(G61="","",IF(G61&lt;=0,"Kapandı",IF(H61=0,"Vadesi gelmedi",IF(H61&lt;=30,"1-30",IF(H61&lt;=60,"31-60",IF(H61&lt;=90,"61-90","90+"))))))</f>
        <v/>
      </c>
      <c r="J61" s="10" t="n"/>
      <c r="K61" s="14" t="n"/>
      <c r="L61" s="10" t="n"/>
    </row>
    <row r="62">
      <c r="A62" s="10" t="n"/>
      <c r="B62" s="10" t="n"/>
      <c r="C62" s="14" t="n"/>
      <c r="D62" s="14" t="n"/>
      <c r="E62" s="11" t="n"/>
      <c r="F62" s="11" t="n"/>
      <c r="G62" s="12">
        <f>IF(E62="","",E62-F62)</f>
        <v/>
      </c>
      <c r="H62" s="16">
        <f>IF(OR(G62="",G62&lt;=0),"",MAX(0,$B$5-D62))</f>
        <v/>
      </c>
      <c r="I62" s="16">
        <f>IF(G62="","",IF(G62&lt;=0,"Kapandı",IF(H62=0,"Vadesi gelmedi",IF(H62&lt;=30,"1-30",IF(H62&lt;=60,"31-60",IF(H62&lt;=90,"61-90","90+"))))))</f>
        <v/>
      </c>
      <c r="J62" s="10" t="n"/>
      <c r="K62" s="14" t="n"/>
      <c r="L62" s="10" t="n"/>
    </row>
    <row r="63">
      <c r="A63" s="10" t="n"/>
      <c r="B63" s="10" t="n"/>
      <c r="C63" s="14" t="n"/>
      <c r="D63" s="14" t="n"/>
      <c r="E63" s="11" t="n"/>
      <c r="F63" s="11" t="n"/>
      <c r="G63" s="12">
        <f>IF(E63="","",E63-F63)</f>
        <v/>
      </c>
      <c r="H63" s="16">
        <f>IF(OR(G63="",G63&lt;=0),"",MAX(0,$B$5-D63))</f>
        <v/>
      </c>
      <c r="I63" s="16">
        <f>IF(G63="","",IF(G63&lt;=0,"Kapandı",IF(H63=0,"Vadesi gelmedi",IF(H63&lt;=30,"1-30",IF(H63&lt;=60,"31-60",IF(H63&lt;=90,"61-90","90+"))))))</f>
        <v/>
      </c>
      <c r="J63" s="10" t="n"/>
      <c r="K63" s="14" t="n"/>
      <c r="L63" s="10" t="n"/>
    </row>
    <row r="64">
      <c r="A64" s="10" t="n"/>
      <c r="B64" s="10" t="n"/>
      <c r="C64" s="14" t="n"/>
      <c r="D64" s="14" t="n"/>
      <c r="E64" s="11" t="n"/>
      <c r="F64" s="11" t="n"/>
      <c r="G64" s="12">
        <f>IF(E64="","",E64-F64)</f>
        <v/>
      </c>
      <c r="H64" s="16">
        <f>IF(OR(G64="",G64&lt;=0),"",MAX(0,$B$5-D64))</f>
        <v/>
      </c>
      <c r="I64" s="16">
        <f>IF(G64="","",IF(G64&lt;=0,"Kapandı",IF(H64=0,"Vadesi gelmedi",IF(H64&lt;=30,"1-30",IF(H64&lt;=60,"31-60",IF(H64&lt;=90,"61-90","90+"))))))</f>
        <v/>
      </c>
      <c r="J64" s="10" t="n"/>
      <c r="K64" s="14" t="n"/>
      <c r="L64" s="10" t="n"/>
    </row>
    <row r="65">
      <c r="A65" s="10" t="n"/>
      <c r="B65" s="10" t="n"/>
      <c r="C65" s="14" t="n"/>
      <c r="D65" s="14" t="n"/>
      <c r="E65" s="11" t="n"/>
      <c r="F65" s="11" t="n"/>
      <c r="G65" s="12">
        <f>IF(E65="","",E65-F65)</f>
        <v/>
      </c>
      <c r="H65" s="16">
        <f>IF(OR(G65="",G65&lt;=0),"",MAX(0,$B$5-D65))</f>
        <v/>
      </c>
      <c r="I65" s="16">
        <f>IF(G65="","",IF(G65&lt;=0,"Kapandı",IF(H65=0,"Vadesi gelmedi",IF(H65&lt;=30,"1-30",IF(H65&lt;=60,"31-60",IF(H65&lt;=90,"61-90","90+"))))))</f>
        <v/>
      </c>
      <c r="J65" s="10" t="n"/>
      <c r="K65" s="14" t="n"/>
      <c r="L65" s="10" t="n"/>
    </row>
    <row r="66">
      <c r="A66" s="10" t="n"/>
      <c r="B66" s="10" t="n"/>
      <c r="C66" s="14" t="n"/>
      <c r="D66" s="14" t="n"/>
      <c r="E66" s="11" t="n"/>
      <c r="F66" s="11" t="n"/>
      <c r="G66" s="12">
        <f>IF(E66="","",E66-F66)</f>
        <v/>
      </c>
      <c r="H66" s="16">
        <f>IF(OR(G66="",G66&lt;=0),"",MAX(0,$B$5-D66))</f>
        <v/>
      </c>
      <c r="I66" s="16">
        <f>IF(G66="","",IF(G66&lt;=0,"Kapandı",IF(H66=0,"Vadesi gelmedi",IF(H66&lt;=30,"1-30",IF(H66&lt;=60,"31-60",IF(H66&lt;=90,"61-90","90+"))))))</f>
        <v/>
      </c>
      <c r="J66" s="10" t="n"/>
      <c r="K66" s="14" t="n"/>
      <c r="L66" s="10" t="n"/>
    </row>
    <row r="67">
      <c r="A67" s="10" t="n"/>
      <c r="B67" s="10" t="n"/>
      <c r="C67" s="14" t="n"/>
      <c r="D67" s="14" t="n"/>
      <c r="E67" s="11" t="n"/>
      <c r="F67" s="11" t="n"/>
      <c r="G67" s="12">
        <f>IF(E67="","",E67-F67)</f>
        <v/>
      </c>
      <c r="H67" s="16">
        <f>IF(OR(G67="",G67&lt;=0),"",MAX(0,$B$5-D67))</f>
        <v/>
      </c>
      <c r="I67" s="16">
        <f>IF(G67="","",IF(G67&lt;=0,"Kapandı",IF(H67=0,"Vadesi gelmedi",IF(H67&lt;=30,"1-30",IF(H67&lt;=60,"31-60",IF(H67&lt;=90,"61-90","90+"))))))</f>
        <v/>
      </c>
      <c r="J67" s="10" t="n"/>
      <c r="K67" s="14" t="n"/>
      <c r="L67" s="10" t="n"/>
    </row>
    <row r="68">
      <c r="A68" s="10" t="n"/>
      <c r="B68" s="10" t="n"/>
      <c r="C68" s="14" t="n"/>
      <c r="D68" s="14" t="n"/>
      <c r="E68" s="11" t="n"/>
      <c r="F68" s="11" t="n"/>
      <c r="G68" s="12">
        <f>IF(E68="","",E68-F68)</f>
        <v/>
      </c>
      <c r="H68" s="16">
        <f>IF(OR(G68="",G68&lt;=0),"",MAX(0,$B$5-D68))</f>
        <v/>
      </c>
      <c r="I68" s="16">
        <f>IF(G68="","",IF(G68&lt;=0,"Kapandı",IF(H68=0,"Vadesi gelmedi",IF(H68&lt;=30,"1-30",IF(H68&lt;=60,"31-60",IF(H68&lt;=90,"61-90","90+"))))))</f>
        <v/>
      </c>
      <c r="J68" s="10" t="n"/>
      <c r="K68" s="14" t="n"/>
      <c r="L68" s="10" t="n"/>
    </row>
    <row r="69">
      <c r="A69" s="10" t="n"/>
      <c r="B69" s="10" t="n"/>
      <c r="C69" s="14" t="n"/>
      <c r="D69" s="14" t="n"/>
      <c r="E69" s="11" t="n"/>
      <c r="F69" s="11" t="n"/>
      <c r="G69" s="12">
        <f>IF(E69="","",E69-F69)</f>
        <v/>
      </c>
      <c r="H69" s="16">
        <f>IF(OR(G69="",G69&lt;=0),"",MAX(0,$B$5-D69))</f>
        <v/>
      </c>
      <c r="I69" s="16">
        <f>IF(G69="","",IF(G69&lt;=0,"Kapandı",IF(H69=0,"Vadesi gelmedi",IF(H69&lt;=30,"1-30",IF(H69&lt;=60,"31-60",IF(H69&lt;=90,"61-90","90+"))))))</f>
        <v/>
      </c>
      <c r="J69" s="10" t="n"/>
      <c r="K69" s="14" t="n"/>
      <c r="L69" s="10" t="n"/>
    </row>
    <row r="70">
      <c r="A70" s="10" t="n"/>
      <c r="B70" s="10" t="n"/>
      <c r="C70" s="14" t="n"/>
      <c r="D70" s="14" t="n"/>
      <c r="E70" s="11" t="n"/>
      <c r="F70" s="11" t="n"/>
      <c r="G70" s="12">
        <f>IF(E70="","",E70-F70)</f>
        <v/>
      </c>
      <c r="H70" s="16">
        <f>IF(OR(G70="",G70&lt;=0),"",MAX(0,$B$5-D70))</f>
        <v/>
      </c>
      <c r="I70" s="16">
        <f>IF(G70="","",IF(G70&lt;=0,"Kapandı",IF(H70=0,"Vadesi gelmedi",IF(H70&lt;=30,"1-30",IF(H70&lt;=60,"31-60",IF(H70&lt;=90,"61-90","90+"))))))</f>
        <v/>
      </c>
      <c r="J70" s="10" t="n"/>
      <c r="K70" s="14" t="n"/>
      <c r="L70" s="10" t="n"/>
    </row>
    <row r="71">
      <c r="A71" s="10" t="n"/>
      <c r="B71" s="10" t="n"/>
      <c r="C71" s="14" t="n"/>
      <c r="D71" s="14" t="n"/>
      <c r="E71" s="11" t="n"/>
      <c r="F71" s="11" t="n"/>
      <c r="G71" s="12">
        <f>IF(E71="","",E71-F71)</f>
        <v/>
      </c>
      <c r="H71" s="16">
        <f>IF(OR(G71="",G71&lt;=0),"",MAX(0,$B$5-D71))</f>
        <v/>
      </c>
      <c r="I71" s="16">
        <f>IF(G71="","",IF(G71&lt;=0,"Kapandı",IF(H71=0,"Vadesi gelmedi",IF(H71&lt;=30,"1-30",IF(H71&lt;=60,"31-60",IF(H71&lt;=90,"61-90","90+"))))))</f>
        <v/>
      </c>
      <c r="J71" s="10" t="n"/>
      <c r="K71" s="14" t="n"/>
      <c r="L71" s="10" t="n"/>
    </row>
    <row r="72">
      <c r="A72" s="10" t="n"/>
      <c r="B72" s="10" t="n"/>
      <c r="C72" s="14" t="n"/>
      <c r="D72" s="14" t="n"/>
      <c r="E72" s="11" t="n"/>
      <c r="F72" s="11" t="n"/>
      <c r="G72" s="12">
        <f>IF(E72="","",E72-F72)</f>
        <v/>
      </c>
      <c r="H72" s="16">
        <f>IF(OR(G72="",G72&lt;=0),"",MAX(0,$B$5-D72))</f>
        <v/>
      </c>
      <c r="I72" s="16">
        <f>IF(G72="","",IF(G72&lt;=0,"Kapandı",IF(H72=0,"Vadesi gelmedi",IF(H72&lt;=30,"1-30",IF(H72&lt;=60,"31-60",IF(H72&lt;=90,"61-90","90+"))))))</f>
        <v/>
      </c>
      <c r="J72" s="10" t="n"/>
      <c r="K72" s="14" t="n"/>
      <c r="L72" s="10" t="n"/>
    </row>
    <row r="73">
      <c r="A73" s="10" t="n"/>
      <c r="B73" s="10" t="n"/>
      <c r="C73" s="14" t="n"/>
      <c r="D73" s="14" t="n"/>
      <c r="E73" s="11" t="n"/>
      <c r="F73" s="11" t="n"/>
      <c r="G73" s="12">
        <f>IF(E73="","",E73-F73)</f>
        <v/>
      </c>
      <c r="H73" s="16">
        <f>IF(OR(G73="",G73&lt;=0),"",MAX(0,$B$5-D73))</f>
        <v/>
      </c>
      <c r="I73" s="16">
        <f>IF(G73="","",IF(G73&lt;=0,"Kapandı",IF(H73=0,"Vadesi gelmedi",IF(H73&lt;=30,"1-30",IF(H73&lt;=60,"31-60",IF(H73&lt;=90,"61-90","90+"))))))</f>
        <v/>
      </c>
      <c r="J73" s="10" t="n"/>
      <c r="K73" s="14" t="n"/>
      <c r="L73" s="10" t="n"/>
    </row>
    <row r="74">
      <c r="A74" s="10" t="n"/>
      <c r="B74" s="10" t="n"/>
      <c r="C74" s="14" t="n"/>
      <c r="D74" s="14" t="n"/>
      <c r="E74" s="11" t="n"/>
      <c r="F74" s="11" t="n"/>
      <c r="G74" s="12">
        <f>IF(E74="","",E74-F74)</f>
        <v/>
      </c>
      <c r="H74" s="16">
        <f>IF(OR(G74="",G74&lt;=0),"",MAX(0,$B$5-D74))</f>
        <v/>
      </c>
      <c r="I74" s="16">
        <f>IF(G74="","",IF(G74&lt;=0,"Kapandı",IF(H74=0,"Vadesi gelmedi",IF(H74&lt;=30,"1-30",IF(H74&lt;=60,"31-60",IF(H74&lt;=90,"61-90","90+"))))))</f>
        <v/>
      </c>
      <c r="J74" s="10" t="n"/>
      <c r="K74" s="14" t="n"/>
      <c r="L74" s="10" t="n"/>
    </row>
    <row r="75">
      <c r="A75" s="10" t="n"/>
      <c r="B75" s="10" t="n"/>
      <c r="C75" s="14" t="n"/>
      <c r="D75" s="14" t="n"/>
      <c r="E75" s="11" t="n"/>
      <c r="F75" s="11" t="n"/>
      <c r="G75" s="12">
        <f>IF(E75="","",E75-F75)</f>
        <v/>
      </c>
      <c r="H75" s="16">
        <f>IF(OR(G75="",G75&lt;=0),"",MAX(0,$B$5-D75))</f>
        <v/>
      </c>
      <c r="I75" s="16">
        <f>IF(G75="","",IF(G75&lt;=0,"Kapandı",IF(H75=0,"Vadesi gelmedi",IF(H75&lt;=30,"1-30",IF(H75&lt;=60,"31-60",IF(H75&lt;=90,"61-90","90+"))))))</f>
        <v/>
      </c>
      <c r="J75" s="10" t="n"/>
      <c r="K75" s="14" t="n"/>
      <c r="L75" s="10" t="n"/>
    </row>
    <row r="76">
      <c r="A76" s="10" t="n"/>
      <c r="B76" s="10" t="n"/>
      <c r="C76" s="14" t="n"/>
      <c r="D76" s="14" t="n"/>
      <c r="E76" s="11" t="n"/>
      <c r="F76" s="11" t="n"/>
      <c r="G76" s="12">
        <f>IF(E76="","",E76-F76)</f>
        <v/>
      </c>
      <c r="H76" s="16">
        <f>IF(OR(G76="",G76&lt;=0),"",MAX(0,$B$5-D76))</f>
        <v/>
      </c>
      <c r="I76" s="16">
        <f>IF(G76="","",IF(G76&lt;=0,"Kapandı",IF(H76=0,"Vadesi gelmedi",IF(H76&lt;=30,"1-30",IF(H76&lt;=60,"31-60",IF(H76&lt;=90,"61-90","90+"))))))</f>
        <v/>
      </c>
      <c r="J76" s="10" t="n"/>
      <c r="K76" s="14" t="n"/>
      <c r="L76" s="10" t="n"/>
    </row>
    <row r="77">
      <c r="A77" s="10" t="n"/>
      <c r="B77" s="10" t="n"/>
      <c r="C77" s="14" t="n"/>
      <c r="D77" s="14" t="n"/>
      <c r="E77" s="11" t="n"/>
      <c r="F77" s="11" t="n"/>
      <c r="G77" s="12">
        <f>IF(E77="","",E77-F77)</f>
        <v/>
      </c>
      <c r="H77" s="16">
        <f>IF(OR(G77="",G77&lt;=0),"",MAX(0,$B$5-D77))</f>
        <v/>
      </c>
      <c r="I77" s="16">
        <f>IF(G77="","",IF(G77&lt;=0,"Kapandı",IF(H77=0,"Vadesi gelmedi",IF(H77&lt;=30,"1-30",IF(H77&lt;=60,"31-60",IF(H77&lt;=90,"61-90","90+"))))))</f>
        <v/>
      </c>
      <c r="J77" s="10" t="n"/>
      <c r="K77" s="14" t="n"/>
      <c r="L77" s="10" t="n"/>
    </row>
    <row r="78">
      <c r="A78" s="10" t="n"/>
      <c r="B78" s="10" t="n"/>
      <c r="C78" s="14" t="n"/>
      <c r="D78" s="14" t="n"/>
      <c r="E78" s="11" t="n"/>
      <c r="F78" s="11" t="n"/>
      <c r="G78" s="12">
        <f>IF(E78="","",E78-F78)</f>
        <v/>
      </c>
      <c r="H78" s="16">
        <f>IF(OR(G78="",G78&lt;=0),"",MAX(0,$B$5-D78))</f>
        <v/>
      </c>
      <c r="I78" s="16">
        <f>IF(G78="","",IF(G78&lt;=0,"Kapandı",IF(H78=0,"Vadesi gelmedi",IF(H78&lt;=30,"1-30",IF(H78&lt;=60,"31-60",IF(H78&lt;=90,"61-90","90+"))))))</f>
        <v/>
      </c>
      <c r="J78" s="10" t="n"/>
      <c r="K78" s="14" t="n"/>
      <c r="L78" s="10" t="n"/>
    </row>
    <row r="79">
      <c r="A79" s="10" t="n"/>
      <c r="B79" s="10" t="n"/>
      <c r="C79" s="14" t="n"/>
      <c r="D79" s="14" t="n"/>
      <c r="E79" s="11" t="n"/>
      <c r="F79" s="11" t="n"/>
      <c r="G79" s="12">
        <f>IF(E79="","",E79-F79)</f>
        <v/>
      </c>
      <c r="H79" s="16">
        <f>IF(OR(G79="",G79&lt;=0),"",MAX(0,$B$5-D79))</f>
        <v/>
      </c>
      <c r="I79" s="16">
        <f>IF(G79="","",IF(G79&lt;=0,"Kapandı",IF(H79=0,"Vadesi gelmedi",IF(H79&lt;=30,"1-30",IF(H79&lt;=60,"31-60",IF(H79&lt;=90,"61-90","90+"))))))</f>
        <v/>
      </c>
      <c r="J79" s="10" t="n"/>
      <c r="K79" s="14" t="n"/>
      <c r="L79" s="10" t="n"/>
    </row>
    <row r="80">
      <c r="A80" s="10" t="n"/>
      <c r="B80" s="10" t="n"/>
      <c r="C80" s="14" t="n"/>
      <c r="D80" s="14" t="n"/>
      <c r="E80" s="11" t="n"/>
      <c r="F80" s="11" t="n"/>
      <c r="G80" s="12">
        <f>IF(E80="","",E80-F80)</f>
        <v/>
      </c>
      <c r="H80" s="16">
        <f>IF(OR(G80="",G80&lt;=0),"",MAX(0,$B$5-D80))</f>
        <v/>
      </c>
      <c r="I80" s="16">
        <f>IF(G80="","",IF(G80&lt;=0,"Kapandı",IF(H80=0,"Vadesi gelmedi",IF(H80&lt;=30,"1-30",IF(H80&lt;=60,"31-60",IF(H80&lt;=90,"61-90","90+"))))))</f>
        <v/>
      </c>
      <c r="J80" s="10" t="n"/>
      <c r="K80" s="14" t="n"/>
      <c r="L80" s="10" t="n"/>
    </row>
    <row r="81">
      <c r="A81" s="10" t="n"/>
      <c r="B81" s="10" t="n"/>
      <c r="C81" s="14" t="n"/>
      <c r="D81" s="14" t="n"/>
      <c r="E81" s="11" t="n"/>
      <c r="F81" s="11" t="n"/>
      <c r="G81" s="12">
        <f>IF(E81="","",E81-F81)</f>
        <v/>
      </c>
      <c r="H81" s="16">
        <f>IF(OR(G81="",G81&lt;=0),"",MAX(0,$B$5-D81))</f>
        <v/>
      </c>
      <c r="I81" s="16">
        <f>IF(G81="","",IF(G81&lt;=0,"Kapandı",IF(H81=0,"Vadesi gelmedi",IF(H81&lt;=30,"1-30",IF(H81&lt;=60,"31-60",IF(H81&lt;=90,"61-90","90+"))))))</f>
        <v/>
      </c>
      <c r="J81" s="10" t="n"/>
      <c r="K81" s="14" t="n"/>
      <c r="L81" s="10" t="n"/>
    </row>
    <row r="82">
      <c r="A82" s="10" t="n"/>
      <c r="B82" s="10" t="n"/>
      <c r="C82" s="14" t="n"/>
      <c r="D82" s="14" t="n"/>
      <c r="E82" s="11" t="n"/>
      <c r="F82" s="11" t="n"/>
      <c r="G82" s="12">
        <f>IF(E82="","",E82-F82)</f>
        <v/>
      </c>
      <c r="H82" s="16">
        <f>IF(OR(G82="",G82&lt;=0),"",MAX(0,$B$5-D82))</f>
        <v/>
      </c>
      <c r="I82" s="16">
        <f>IF(G82="","",IF(G82&lt;=0,"Kapandı",IF(H82=0,"Vadesi gelmedi",IF(H82&lt;=30,"1-30",IF(H82&lt;=60,"31-60",IF(H82&lt;=90,"61-90","90+"))))))</f>
        <v/>
      </c>
      <c r="J82" s="10" t="n"/>
      <c r="K82" s="14" t="n"/>
      <c r="L82" s="10" t="n"/>
    </row>
    <row r="83">
      <c r="A83" s="10" t="n"/>
      <c r="B83" s="10" t="n"/>
      <c r="C83" s="14" t="n"/>
      <c r="D83" s="14" t="n"/>
      <c r="E83" s="11" t="n"/>
      <c r="F83" s="11" t="n"/>
      <c r="G83" s="12">
        <f>IF(E83="","",E83-F83)</f>
        <v/>
      </c>
      <c r="H83" s="16">
        <f>IF(OR(G83="",G83&lt;=0),"",MAX(0,$B$5-D83))</f>
        <v/>
      </c>
      <c r="I83" s="16">
        <f>IF(G83="","",IF(G83&lt;=0,"Kapandı",IF(H83=0,"Vadesi gelmedi",IF(H83&lt;=30,"1-30",IF(H83&lt;=60,"31-60",IF(H83&lt;=90,"61-90","90+"))))))</f>
        <v/>
      </c>
      <c r="J83" s="10" t="n"/>
      <c r="K83" s="14" t="n"/>
      <c r="L83" s="10" t="n"/>
    </row>
    <row r="84">
      <c r="A84" s="10" t="n"/>
      <c r="B84" s="10" t="n"/>
      <c r="C84" s="14" t="n"/>
      <c r="D84" s="14" t="n"/>
      <c r="E84" s="11" t="n"/>
      <c r="F84" s="11" t="n"/>
      <c r="G84" s="12">
        <f>IF(E84="","",E84-F84)</f>
        <v/>
      </c>
      <c r="H84" s="16">
        <f>IF(OR(G84="",G84&lt;=0),"",MAX(0,$B$5-D84))</f>
        <v/>
      </c>
      <c r="I84" s="16">
        <f>IF(G84="","",IF(G84&lt;=0,"Kapandı",IF(H84=0,"Vadesi gelmedi",IF(H84&lt;=30,"1-30",IF(H84&lt;=60,"31-60",IF(H84&lt;=90,"61-90","90+"))))))</f>
        <v/>
      </c>
      <c r="J84" s="10" t="n"/>
      <c r="K84" s="14" t="n"/>
      <c r="L84" s="10" t="n"/>
    </row>
    <row r="85">
      <c r="A85" s="10" t="n"/>
      <c r="B85" s="10" t="n"/>
      <c r="C85" s="14" t="n"/>
      <c r="D85" s="14" t="n"/>
      <c r="E85" s="11" t="n"/>
      <c r="F85" s="11" t="n"/>
      <c r="G85" s="12">
        <f>IF(E85="","",E85-F85)</f>
        <v/>
      </c>
      <c r="H85" s="16">
        <f>IF(OR(G85="",G85&lt;=0),"",MAX(0,$B$5-D85))</f>
        <v/>
      </c>
      <c r="I85" s="16">
        <f>IF(G85="","",IF(G85&lt;=0,"Kapandı",IF(H85=0,"Vadesi gelmedi",IF(H85&lt;=30,"1-30",IF(H85&lt;=60,"31-60",IF(H85&lt;=90,"61-90","90+"))))))</f>
        <v/>
      </c>
      <c r="J85" s="10" t="n"/>
      <c r="K85" s="14" t="n"/>
      <c r="L85" s="10" t="n"/>
    </row>
    <row r="86">
      <c r="A86" s="10" t="n"/>
      <c r="B86" s="10" t="n"/>
      <c r="C86" s="14" t="n"/>
      <c r="D86" s="14" t="n"/>
      <c r="E86" s="11" t="n"/>
      <c r="F86" s="11" t="n"/>
      <c r="G86" s="12">
        <f>IF(E86="","",E86-F86)</f>
        <v/>
      </c>
      <c r="H86" s="16">
        <f>IF(OR(G86="",G86&lt;=0),"",MAX(0,$B$5-D86))</f>
        <v/>
      </c>
      <c r="I86" s="16">
        <f>IF(G86="","",IF(G86&lt;=0,"Kapandı",IF(H86=0,"Vadesi gelmedi",IF(H86&lt;=30,"1-30",IF(H86&lt;=60,"31-60",IF(H86&lt;=90,"61-90","90+"))))))</f>
        <v/>
      </c>
      <c r="J86" s="10" t="n"/>
      <c r="K86" s="14" t="n"/>
      <c r="L86" s="10" t="n"/>
    </row>
    <row r="87">
      <c r="A87" s="10" t="n"/>
      <c r="B87" s="10" t="n"/>
      <c r="C87" s="14" t="n"/>
      <c r="D87" s="14" t="n"/>
      <c r="E87" s="11" t="n"/>
      <c r="F87" s="11" t="n"/>
      <c r="G87" s="12">
        <f>IF(E87="","",E87-F87)</f>
        <v/>
      </c>
      <c r="H87" s="16">
        <f>IF(OR(G87="",G87&lt;=0),"",MAX(0,$B$5-D87))</f>
        <v/>
      </c>
      <c r="I87" s="16">
        <f>IF(G87="","",IF(G87&lt;=0,"Kapandı",IF(H87=0,"Vadesi gelmedi",IF(H87&lt;=30,"1-30",IF(H87&lt;=60,"31-60",IF(H87&lt;=90,"61-90","90+"))))))</f>
        <v/>
      </c>
      <c r="J87" s="10" t="n"/>
      <c r="K87" s="14" t="n"/>
      <c r="L87" s="10" t="n"/>
    </row>
    <row r="88">
      <c r="A88" s="10" t="n"/>
      <c r="B88" s="10" t="n"/>
      <c r="C88" s="14" t="n"/>
      <c r="D88" s="14" t="n"/>
      <c r="E88" s="11" t="n"/>
      <c r="F88" s="11" t="n"/>
      <c r="G88" s="12">
        <f>IF(E88="","",E88-F88)</f>
        <v/>
      </c>
      <c r="H88" s="16">
        <f>IF(OR(G88="",G88&lt;=0),"",MAX(0,$B$5-D88))</f>
        <v/>
      </c>
      <c r="I88" s="16">
        <f>IF(G88="","",IF(G88&lt;=0,"Kapandı",IF(H88=0,"Vadesi gelmedi",IF(H88&lt;=30,"1-30",IF(H88&lt;=60,"31-60",IF(H88&lt;=90,"61-90","90+"))))))</f>
        <v/>
      </c>
      <c r="J88" s="10" t="n"/>
      <c r="K88" s="14" t="n"/>
      <c r="L88" s="10" t="n"/>
    </row>
    <row r="89">
      <c r="A89" s="10" t="n"/>
      <c r="B89" s="10" t="n"/>
      <c r="C89" s="14" t="n"/>
      <c r="D89" s="14" t="n"/>
      <c r="E89" s="11" t="n"/>
      <c r="F89" s="11" t="n"/>
      <c r="G89" s="12">
        <f>IF(E89="","",E89-F89)</f>
        <v/>
      </c>
      <c r="H89" s="16">
        <f>IF(OR(G89="",G89&lt;=0),"",MAX(0,$B$5-D89))</f>
        <v/>
      </c>
      <c r="I89" s="16">
        <f>IF(G89="","",IF(G89&lt;=0,"Kapandı",IF(H89=0,"Vadesi gelmedi",IF(H89&lt;=30,"1-30",IF(H89&lt;=60,"31-60",IF(H89&lt;=90,"61-90","90+"))))))</f>
        <v/>
      </c>
      <c r="J89" s="10" t="n"/>
      <c r="K89" s="14" t="n"/>
      <c r="L89" s="10" t="n"/>
    </row>
    <row r="90">
      <c r="A90" s="10" t="n"/>
      <c r="B90" s="10" t="n"/>
      <c r="C90" s="14" t="n"/>
      <c r="D90" s="14" t="n"/>
      <c r="E90" s="11" t="n"/>
      <c r="F90" s="11" t="n"/>
      <c r="G90" s="12">
        <f>IF(E90="","",E90-F90)</f>
        <v/>
      </c>
      <c r="H90" s="16">
        <f>IF(OR(G90="",G90&lt;=0),"",MAX(0,$B$5-D90))</f>
        <v/>
      </c>
      <c r="I90" s="16">
        <f>IF(G90="","",IF(G90&lt;=0,"Kapandı",IF(H90=0,"Vadesi gelmedi",IF(H90&lt;=30,"1-30",IF(H90&lt;=60,"31-60",IF(H90&lt;=90,"61-90","90+"))))))</f>
        <v/>
      </c>
      <c r="J90" s="10" t="n"/>
      <c r="K90" s="14" t="n"/>
      <c r="L90" s="10" t="n"/>
    </row>
    <row r="91">
      <c r="A91" s="10" t="n"/>
      <c r="B91" s="10" t="n"/>
      <c r="C91" s="14" t="n"/>
      <c r="D91" s="14" t="n"/>
      <c r="E91" s="11" t="n"/>
      <c r="F91" s="11" t="n"/>
      <c r="G91" s="12">
        <f>IF(E91="","",E91-F91)</f>
        <v/>
      </c>
      <c r="H91" s="16">
        <f>IF(OR(G91="",G91&lt;=0),"",MAX(0,$B$5-D91))</f>
        <v/>
      </c>
      <c r="I91" s="16">
        <f>IF(G91="","",IF(G91&lt;=0,"Kapandı",IF(H91=0,"Vadesi gelmedi",IF(H91&lt;=30,"1-30",IF(H91&lt;=60,"31-60",IF(H91&lt;=90,"61-90","90+"))))))</f>
        <v/>
      </c>
      <c r="J91" s="10" t="n"/>
      <c r="K91" s="14" t="n"/>
      <c r="L91" s="10" t="n"/>
    </row>
    <row r="92">
      <c r="A92" s="10" t="n"/>
      <c r="B92" s="10" t="n"/>
      <c r="C92" s="14" t="n"/>
      <c r="D92" s="14" t="n"/>
      <c r="E92" s="11" t="n"/>
      <c r="F92" s="11" t="n"/>
      <c r="G92" s="12">
        <f>IF(E92="","",E92-F92)</f>
        <v/>
      </c>
      <c r="H92" s="16">
        <f>IF(OR(G92="",G92&lt;=0),"",MAX(0,$B$5-D92))</f>
        <v/>
      </c>
      <c r="I92" s="16">
        <f>IF(G92="","",IF(G92&lt;=0,"Kapandı",IF(H92=0,"Vadesi gelmedi",IF(H92&lt;=30,"1-30",IF(H92&lt;=60,"31-60",IF(H92&lt;=90,"61-90","90+"))))))</f>
        <v/>
      </c>
      <c r="J92" s="10" t="n"/>
      <c r="K92" s="14" t="n"/>
      <c r="L92" s="10" t="n"/>
    </row>
    <row r="93">
      <c r="A93" s="10" t="n"/>
      <c r="B93" s="10" t="n"/>
      <c r="C93" s="14" t="n"/>
      <c r="D93" s="14" t="n"/>
      <c r="E93" s="11" t="n"/>
      <c r="F93" s="11" t="n"/>
      <c r="G93" s="12">
        <f>IF(E93="","",E93-F93)</f>
        <v/>
      </c>
      <c r="H93" s="16">
        <f>IF(OR(G93="",G93&lt;=0),"",MAX(0,$B$5-D93))</f>
        <v/>
      </c>
      <c r="I93" s="16">
        <f>IF(G93="","",IF(G93&lt;=0,"Kapandı",IF(H93=0,"Vadesi gelmedi",IF(H93&lt;=30,"1-30",IF(H93&lt;=60,"31-60",IF(H93&lt;=90,"61-90","90+"))))))</f>
        <v/>
      </c>
      <c r="J93" s="10" t="n"/>
      <c r="K93" s="14" t="n"/>
      <c r="L93" s="10" t="n"/>
    </row>
    <row r="94">
      <c r="A94" s="10" t="n"/>
      <c r="B94" s="10" t="n"/>
      <c r="C94" s="14" t="n"/>
      <c r="D94" s="14" t="n"/>
      <c r="E94" s="11" t="n"/>
      <c r="F94" s="11" t="n"/>
      <c r="G94" s="12">
        <f>IF(E94="","",E94-F94)</f>
        <v/>
      </c>
      <c r="H94" s="16">
        <f>IF(OR(G94="",G94&lt;=0),"",MAX(0,$B$5-D94))</f>
        <v/>
      </c>
      <c r="I94" s="16">
        <f>IF(G94="","",IF(G94&lt;=0,"Kapandı",IF(H94=0,"Vadesi gelmedi",IF(H94&lt;=30,"1-30",IF(H94&lt;=60,"31-60",IF(H94&lt;=90,"61-90","90+"))))))</f>
        <v/>
      </c>
      <c r="J94" s="10" t="n"/>
      <c r="K94" s="14" t="n"/>
      <c r="L94" s="10" t="n"/>
    </row>
    <row r="95">
      <c r="A95" s="10" t="n"/>
      <c r="B95" s="10" t="n"/>
      <c r="C95" s="14" t="n"/>
      <c r="D95" s="14" t="n"/>
      <c r="E95" s="11" t="n"/>
      <c r="F95" s="11" t="n"/>
      <c r="G95" s="12">
        <f>IF(E95="","",E95-F95)</f>
        <v/>
      </c>
      <c r="H95" s="16">
        <f>IF(OR(G95="",G95&lt;=0),"",MAX(0,$B$5-D95))</f>
        <v/>
      </c>
      <c r="I95" s="16">
        <f>IF(G95="","",IF(G95&lt;=0,"Kapandı",IF(H95=0,"Vadesi gelmedi",IF(H95&lt;=30,"1-30",IF(H95&lt;=60,"31-60",IF(H95&lt;=90,"61-90","90+"))))))</f>
        <v/>
      </c>
      <c r="J95" s="10" t="n"/>
      <c r="K95" s="14" t="n"/>
      <c r="L95" s="10" t="n"/>
    </row>
    <row r="96">
      <c r="A96" s="10" t="n"/>
      <c r="B96" s="10" t="n"/>
      <c r="C96" s="14" t="n"/>
      <c r="D96" s="14" t="n"/>
      <c r="E96" s="11" t="n"/>
      <c r="F96" s="11" t="n"/>
      <c r="G96" s="12">
        <f>IF(E96="","",E96-F96)</f>
        <v/>
      </c>
      <c r="H96" s="16">
        <f>IF(OR(G96="",G96&lt;=0),"",MAX(0,$B$5-D96))</f>
        <v/>
      </c>
      <c r="I96" s="16">
        <f>IF(G96="","",IF(G96&lt;=0,"Kapandı",IF(H96=0,"Vadesi gelmedi",IF(H96&lt;=30,"1-30",IF(H96&lt;=60,"31-60",IF(H96&lt;=90,"61-90","90+"))))))</f>
        <v/>
      </c>
      <c r="J96" s="10" t="n"/>
      <c r="K96" s="14" t="n"/>
      <c r="L96" s="10" t="n"/>
    </row>
    <row r="97">
      <c r="A97" s="10" t="n"/>
      <c r="B97" s="10" t="n"/>
      <c r="C97" s="14" t="n"/>
      <c r="D97" s="14" t="n"/>
      <c r="E97" s="11" t="n"/>
      <c r="F97" s="11" t="n"/>
      <c r="G97" s="12">
        <f>IF(E97="","",E97-F97)</f>
        <v/>
      </c>
      <c r="H97" s="16">
        <f>IF(OR(G97="",G97&lt;=0),"",MAX(0,$B$5-D97))</f>
        <v/>
      </c>
      <c r="I97" s="16">
        <f>IF(G97="","",IF(G97&lt;=0,"Kapandı",IF(H97=0,"Vadesi gelmedi",IF(H97&lt;=30,"1-30",IF(H97&lt;=60,"31-60",IF(H97&lt;=90,"61-90","90+"))))))</f>
        <v/>
      </c>
      <c r="J97" s="10" t="n"/>
      <c r="K97" s="14" t="n"/>
      <c r="L97" s="10" t="n"/>
    </row>
    <row r="98">
      <c r="A98" s="10" t="n"/>
      <c r="B98" s="10" t="n"/>
      <c r="C98" s="14" t="n"/>
      <c r="D98" s="14" t="n"/>
      <c r="E98" s="11" t="n"/>
      <c r="F98" s="11" t="n"/>
      <c r="G98" s="12">
        <f>IF(E98="","",E98-F98)</f>
        <v/>
      </c>
      <c r="H98" s="16">
        <f>IF(OR(G98="",G98&lt;=0),"",MAX(0,$B$5-D98))</f>
        <v/>
      </c>
      <c r="I98" s="16">
        <f>IF(G98="","",IF(G98&lt;=0,"Kapandı",IF(H98=0,"Vadesi gelmedi",IF(H98&lt;=30,"1-30",IF(H98&lt;=60,"31-60",IF(H98&lt;=90,"61-90","90+"))))))</f>
        <v/>
      </c>
      <c r="J98" s="10" t="n"/>
      <c r="K98" s="14" t="n"/>
      <c r="L98" s="10" t="n"/>
    </row>
    <row r="99">
      <c r="A99" s="10" t="n"/>
      <c r="B99" s="10" t="n"/>
      <c r="C99" s="14" t="n"/>
      <c r="D99" s="14" t="n"/>
      <c r="E99" s="11" t="n"/>
      <c r="F99" s="11" t="n"/>
      <c r="G99" s="12">
        <f>IF(E99="","",E99-F99)</f>
        <v/>
      </c>
      <c r="H99" s="16">
        <f>IF(OR(G99="",G99&lt;=0),"",MAX(0,$B$5-D99))</f>
        <v/>
      </c>
      <c r="I99" s="16">
        <f>IF(G99="","",IF(G99&lt;=0,"Kapandı",IF(H99=0,"Vadesi gelmedi",IF(H99&lt;=30,"1-30",IF(H99&lt;=60,"31-60",IF(H99&lt;=90,"61-90","90+"))))))</f>
        <v/>
      </c>
      <c r="J99" s="10" t="n"/>
      <c r="K99" s="14" t="n"/>
      <c r="L99" s="10" t="n"/>
    </row>
    <row r="100">
      <c r="A100" s="10" t="n"/>
      <c r="B100" s="10" t="n"/>
      <c r="C100" s="14" t="n"/>
      <c r="D100" s="14" t="n"/>
      <c r="E100" s="11" t="n"/>
      <c r="F100" s="11" t="n"/>
      <c r="G100" s="12">
        <f>IF(E100="","",E100-F100)</f>
        <v/>
      </c>
      <c r="H100" s="16">
        <f>IF(OR(G100="",G100&lt;=0),"",MAX(0,$B$5-D100))</f>
        <v/>
      </c>
      <c r="I100" s="16">
        <f>IF(G100="","",IF(G100&lt;=0,"Kapandı",IF(H100=0,"Vadesi gelmedi",IF(H100&lt;=30,"1-30",IF(H100&lt;=60,"31-60",IF(H100&lt;=90,"61-90","90+"))))))</f>
        <v/>
      </c>
      <c r="J100" s="10" t="n"/>
      <c r="K100" s="14" t="n"/>
      <c r="L100" s="10" t="n"/>
    </row>
    <row r="101">
      <c r="A101" s="10" t="n"/>
      <c r="B101" s="10" t="n"/>
      <c r="C101" s="14" t="n"/>
      <c r="D101" s="14" t="n"/>
      <c r="E101" s="11" t="n"/>
      <c r="F101" s="11" t="n"/>
      <c r="G101" s="12">
        <f>IF(E101="","",E101-F101)</f>
        <v/>
      </c>
      <c r="H101" s="16">
        <f>IF(OR(G101="",G101&lt;=0),"",MAX(0,$B$5-D101))</f>
        <v/>
      </c>
      <c r="I101" s="16">
        <f>IF(G101="","",IF(G101&lt;=0,"Kapandı",IF(H101=0,"Vadesi gelmedi",IF(H101&lt;=30,"1-30",IF(H101&lt;=60,"31-60",IF(H101&lt;=90,"61-90","90+"))))))</f>
        <v/>
      </c>
      <c r="J101" s="10" t="n"/>
      <c r="K101" s="14" t="n"/>
      <c r="L101" s="10" t="n"/>
    </row>
    <row r="102">
      <c r="A102" s="10" t="n"/>
      <c r="B102" s="10" t="n"/>
      <c r="C102" s="14" t="n"/>
      <c r="D102" s="14" t="n"/>
      <c r="E102" s="11" t="n"/>
      <c r="F102" s="11" t="n"/>
      <c r="G102" s="12">
        <f>IF(E102="","",E102-F102)</f>
        <v/>
      </c>
      <c r="H102" s="16">
        <f>IF(OR(G102="",G102&lt;=0),"",MAX(0,$B$5-D102))</f>
        <v/>
      </c>
      <c r="I102" s="16">
        <f>IF(G102="","",IF(G102&lt;=0,"Kapandı",IF(H102=0,"Vadesi gelmedi",IF(H102&lt;=30,"1-30",IF(H102&lt;=60,"31-60",IF(H102&lt;=90,"61-90","90+"))))))</f>
        <v/>
      </c>
      <c r="J102" s="10" t="n"/>
      <c r="K102" s="14" t="n"/>
      <c r="L102" s="10" t="n"/>
    </row>
    <row r="103">
      <c r="A103" s="10" t="n"/>
      <c r="B103" s="10" t="n"/>
      <c r="C103" s="14" t="n"/>
      <c r="D103" s="14" t="n"/>
      <c r="E103" s="11" t="n"/>
      <c r="F103" s="11" t="n"/>
      <c r="G103" s="12">
        <f>IF(E103="","",E103-F103)</f>
        <v/>
      </c>
      <c r="H103" s="16">
        <f>IF(OR(G103="",G103&lt;=0),"",MAX(0,$B$5-D103))</f>
        <v/>
      </c>
      <c r="I103" s="16">
        <f>IF(G103="","",IF(G103&lt;=0,"Kapandı",IF(H103=0,"Vadesi gelmedi",IF(H103&lt;=30,"1-30",IF(H103&lt;=60,"31-60",IF(H103&lt;=90,"61-90","90+"))))))</f>
        <v/>
      </c>
      <c r="J103" s="10" t="n"/>
      <c r="K103" s="14" t="n"/>
      <c r="L103" s="10" t="n"/>
    </row>
    <row r="104">
      <c r="A104" s="10" t="n"/>
      <c r="B104" s="10" t="n"/>
      <c r="C104" s="14" t="n"/>
      <c r="D104" s="14" t="n"/>
      <c r="E104" s="11" t="n"/>
      <c r="F104" s="11" t="n"/>
      <c r="G104" s="12">
        <f>IF(E104="","",E104-F104)</f>
        <v/>
      </c>
      <c r="H104" s="16">
        <f>IF(OR(G104="",G104&lt;=0),"",MAX(0,$B$5-D104))</f>
        <v/>
      </c>
      <c r="I104" s="16">
        <f>IF(G104="","",IF(G104&lt;=0,"Kapandı",IF(H104=0,"Vadesi gelmedi",IF(H104&lt;=30,"1-30",IF(H104&lt;=60,"31-60",IF(H104&lt;=90,"61-90","90+"))))))</f>
        <v/>
      </c>
      <c r="J104" s="10" t="n"/>
      <c r="K104" s="14" t="n"/>
      <c r="L104" s="10" t="n"/>
    </row>
    <row r="105">
      <c r="A105" s="10" t="n"/>
      <c r="B105" s="10" t="n"/>
      <c r="C105" s="14" t="n"/>
      <c r="D105" s="14" t="n"/>
      <c r="E105" s="11" t="n"/>
      <c r="F105" s="11" t="n"/>
      <c r="G105" s="12">
        <f>IF(E105="","",E105-F105)</f>
        <v/>
      </c>
      <c r="H105" s="16">
        <f>IF(OR(G105="",G105&lt;=0),"",MAX(0,$B$5-D105))</f>
        <v/>
      </c>
      <c r="I105" s="16">
        <f>IF(G105="","",IF(G105&lt;=0,"Kapandı",IF(H105=0,"Vadesi gelmedi",IF(H105&lt;=30,"1-30",IF(H105&lt;=60,"31-60",IF(H105&lt;=90,"61-90","90+"))))))</f>
        <v/>
      </c>
      <c r="J105" s="10" t="n"/>
      <c r="K105" s="14" t="n"/>
      <c r="L105" s="10" t="n"/>
    </row>
    <row r="106">
      <c r="A106" s="10" t="n"/>
      <c r="B106" s="10" t="n"/>
      <c r="C106" s="14" t="n"/>
      <c r="D106" s="14" t="n"/>
      <c r="E106" s="11" t="n"/>
      <c r="F106" s="11" t="n"/>
      <c r="G106" s="12">
        <f>IF(E106="","",E106-F106)</f>
        <v/>
      </c>
      <c r="H106" s="16">
        <f>IF(OR(G106="",G106&lt;=0),"",MAX(0,$B$5-D106))</f>
        <v/>
      </c>
      <c r="I106" s="16">
        <f>IF(G106="","",IF(G106&lt;=0,"Kapandı",IF(H106=0,"Vadesi gelmedi",IF(H106&lt;=30,"1-30",IF(H106&lt;=60,"31-60",IF(H106&lt;=90,"61-90","90+"))))))</f>
        <v/>
      </c>
      <c r="J106" s="10" t="n"/>
      <c r="K106" s="14" t="n"/>
      <c r="L106" s="10" t="n"/>
    </row>
    <row r="107">
      <c r="A107" s="10" t="n"/>
      <c r="B107" s="10" t="n"/>
      <c r="C107" s="14" t="n"/>
      <c r="D107" s="14" t="n"/>
      <c r="E107" s="11" t="n"/>
      <c r="F107" s="11" t="n"/>
      <c r="G107" s="12">
        <f>IF(E107="","",E107-F107)</f>
        <v/>
      </c>
      <c r="H107" s="16">
        <f>IF(OR(G107="",G107&lt;=0),"",MAX(0,$B$5-D107))</f>
        <v/>
      </c>
      <c r="I107" s="16">
        <f>IF(G107="","",IF(G107&lt;=0,"Kapandı",IF(H107=0,"Vadesi gelmedi",IF(H107&lt;=30,"1-30",IF(H107&lt;=60,"31-60",IF(H107&lt;=90,"61-90","90+"))))))</f>
        <v/>
      </c>
      <c r="J107" s="10" t="n"/>
      <c r="K107" s="14" t="n"/>
      <c r="L107" s="10" t="n"/>
    </row>
    <row r="108">
      <c r="A108" s="10" t="n"/>
      <c r="B108" s="10" t="n"/>
      <c r="C108" s="14" t="n"/>
      <c r="D108" s="14" t="n"/>
      <c r="E108" s="11" t="n"/>
      <c r="F108" s="11" t="n"/>
      <c r="G108" s="12">
        <f>IF(E108="","",E108-F108)</f>
        <v/>
      </c>
      <c r="H108" s="16">
        <f>IF(OR(G108="",G108&lt;=0),"",MAX(0,$B$5-D108))</f>
        <v/>
      </c>
      <c r="I108" s="16">
        <f>IF(G108="","",IF(G108&lt;=0,"Kapandı",IF(H108=0,"Vadesi gelmedi",IF(H108&lt;=30,"1-30",IF(H108&lt;=60,"31-60",IF(H108&lt;=90,"61-90","90+"))))))</f>
        <v/>
      </c>
      <c r="J108" s="10" t="n"/>
      <c r="K108" s="14" t="n"/>
      <c r="L108" s="10" t="n"/>
    </row>
    <row r="109">
      <c r="A109" s="10" t="n"/>
      <c r="B109" s="10" t="n"/>
      <c r="C109" s="14" t="n"/>
      <c r="D109" s="14" t="n"/>
      <c r="E109" s="11" t="n"/>
      <c r="F109" s="11" t="n"/>
      <c r="G109" s="12">
        <f>IF(E109="","",E109-F109)</f>
        <v/>
      </c>
      <c r="H109" s="16">
        <f>IF(OR(G109="",G109&lt;=0),"",MAX(0,$B$5-D109))</f>
        <v/>
      </c>
      <c r="I109" s="16">
        <f>IF(G109="","",IF(G109&lt;=0,"Kapandı",IF(H109=0,"Vadesi gelmedi",IF(H109&lt;=30,"1-30",IF(H109&lt;=60,"31-60",IF(H109&lt;=90,"61-90","90+"))))))</f>
        <v/>
      </c>
      <c r="J109" s="10" t="n"/>
      <c r="K109" s="14" t="n"/>
      <c r="L109" s="10" t="n"/>
    </row>
    <row r="110">
      <c r="A110" s="10" t="n"/>
      <c r="B110" s="10" t="n"/>
      <c r="C110" s="14" t="n"/>
      <c r="D110" s="14" t="n"/>
      <c r="E110" s="11" t="n"/>
      <c r="F110" s="11" t="n"/>
      <c r="G110" s="12">
        <f>IF(E110="","",E110-F110)</f>
        <v/>
      </c>
      <c r="H110" s="16">
        <f>IF(OR(G110="",G110&lt;=0),"",MAX(0,$B$5-D110))</f>
        <v/>
      </c>
      <c r="I110" s="16">
        <f>IF(G110="","",IF(G110&lt;=0,"Kapandı",IF(H110=0,"Vadesi gelmedi",IF(H110&lt;=30,"1-30",IF(H110&lt;=60,"31-60",IF(H110&lt;=90,"61-90","90+"))))))</f>
        <v/>
      </c>
      <c r="J110" s="10" t="n"/>
      <c r="K110" s="14" t="n"/>
      <c r="L110" s="10" t="n"/>
    </row>
    <row r="111">
      <c r="A111" s="10" t="n"/>
      <c r="B111" s="10" t="n"/>
      <c r="C111" s="14" t="n"/>
      <c r="D111" s="14" t="n"/>
      <c r="E111" s="11" t="n"/>
      <c r="F111" s="11" t="n"/>
      <c r="G111" s="12">
        <f>IF(E111="","",E111-F111)</f>
        <v/>
      </c>
      <c r="H111" s="16">
        <f>IF(OR(G111="",G111&lt;=0),"",MAX(0,$B$5-D111))</f>
        <v/>
      </c>
      <c r="I111" s="16">
        <f>IF(G111="","",IF(G111&lt;=0,"Kapandı",IF(H111=0,"Vadesi gelmedi",IF(H111&lt;=30,"1-30",IF(H111&lt;=60,"31-60",IF(H111&lt;=90,"61-90","90+"))))))</f>
        <v/>
      </c>
      <c r="J111" s="10" t="n"/>
      <c r="K111" s="14" t="n"/>
      <c r="L111" s="10" t="n"/>
    </row>
    <row r="112">
      <c r="A112" s="10" t="n"/>
      <c r="B112" s="10" t="n"/>
      <c r="C112" s="14" t="n"/>
      <c r="D112" s="14" t="n"/>
      <c r="E112" s="11" t="n"/>
      <c r="F112" s="11" t="n"/>
      <c r="G112" s="12">
        <f>IF(E112="","",E112-F112)</f>
        <v/>
      </c>
      <c r="H112" s="16">
        <f>IF(OR(G112="",G112&lt;=0),"",MAX(0,$B$5-D112))</f>
        <v/>
      </c>
      <c r="I112" s="16">
        <f>IF(G112="","",IF(G112&lt;=0,"Kapandı",IF(H112=0,"Vadesi gelmedi",IF(H112&lt;=30,"1-30",IF(H112&lt;=60,"31-60",IF(H112&lt;=90,"61-90","90+"))))))</f>
        <v/>
      </c>
      <c r="J112" s="10" t="n"/>
      <c r="K112" s="14" t="n"/>
      <c r="L112" s="10" t="n"/>
    </row>
    <row r="113">
      <c r="A113" s="10" t="n"/>
      <c r="B113" s="10" t="n"/>
      <c r="C113" s="14" t="n"/>
      <c r="D113" s="14" t="n"/>
      <c r="E113" s="11" t="n"/>
      <c r="F113" s="11" t="n"/>
      <c r="G113" s="12">
        <f>IF(E113="","",E113-F113)</f>
        <v/>
      </c>
      <c r="H113" s="16">
        <f>IF(OR(G113="",G113&lt;=0),"",MAX(0,$B$5-D113))</f>
        <v/>
      </c>
      <c r="I113" s="16">
        <f>IF(G113="","",IF(G113&lt;=0,"Kapandı",IF(H113=0,"Vadesi gelmedi",IF(H113&lt;=30,"1-30",IF(H113&lt;=60,"31-60",IF(H113&lt;=90,"61-90","90+"))))))</f>
        <v/>
      </c>
      <c r="J113" s="10" t="n"/>
      <c r="K113" s="14" t="n"/>
      <c r="L113" s="10" t="n"/>
    </row>
    <row r="114">
      <c r="A114" s="10" t="n"/>
      <c r="B114" s="10" t="n"/>
      <c r="C114" s="14" t="n"/>
      <c r="D114" s="14" t="n"/>
      <c r="E114" s="11" t="n"/>
      <c r="F114" s="11" t="n"/>
      <c r="G114" s="12">
        <f>IF(E114="","",E114-F114)</f>
        <v/>
      </c>
      <c r="H114" s="16">
        <f>IF(OR(G114="",G114&lt;=0),"",MAX(0,$B$5-D114))</f>
        <v/>
      </c>
      <c r="I114" s="16">
        <f>IF(G114="","",IF(G114&lt;=0,"Kapandı",IF(H114=0,"Vadesi gelmedi",IF(H114&lt;=30,"1-30",IF(H114&lt;=60,"31-60",IF(H114&lt;=90,"61-90","90+"))))))</f>
        <v/>
      </c>
      <c r="J114" s="10" t="n"/>
      <c r="K114" s="14" t="n"/>
      <c r="L114" s="10" t="n"/>
    </row>
    <row r="115">
      <c r="A115" s="10" t="n"/>
      <c r="B115" s="10" t="n"/>
      <c r="C115" s="14" t="n"/>
      <c r="D115" s="14" t="n"/>
      <c r="E115" s="11" t="n"/>
      <c r="F115" s="11" t="n"/>
      <c r="G115" s="12">
        <f>IF(E115="","",E115-F115)</f>
        <v/>
      </c>
      <c r="H115" s="16">
        <f>IF(OR(G115="",G115&lt;=0),"",MAX(0,$B$5-D115))</f>
        <v/>
      </c>
      <c r="I115" s="16">
        <f>IF(G115="","",IF(G115&lt;=0,"Kapandı",IF(H115=0,"Vadesi gelmedi",IF(H115&lt;=30,"1-30",IF(H115&lt;=60,"31-60",IF(H115&lt;=90,"61-90","90+"))))))</f>
        <v/>
      </c>
      <c r="J115" s="10" t="n"/>
      <c r="K115" s="14" t="n"/>
      <c r="L115" s="10" t="n"/>
    </row>
    <row r="116">
      <c r="A116" s="10" t="n"/>
      <c r="B116" s="10" t="n"/>
      <c r="C116" s="14" t="n"/>
      <c r="D116" s="14" t="n"/>
      <c r="E116" s="11" t="n"/>
      <c r="F116" s="11" t="n"/>
      <c r="G116" s="12">
        <f>IF(E116="","",E116-F116)</f>
        <v/>
      </c>
      <c r="H116" s="16">
        <f>IF(OR(G116="",G116&lt;=0),"",MAX(0,$B$5-D116))</f>
        <v/>
      </c>
      <c r="I116" s="16">
        <f>IF(G116="","",IF(G116&lt;=0,"Kapandı",IF(H116=0,"Vadesi gelmedi",IF(H116&lt;=30,"1-30",IF(H116&lt;=60,"31-60",IF(H116&lt;=90,"61-90","90+"))))))</f>
        <v/>
      </c>
      <c r="J116" s="10" t="n"/>
      <c r="K116" s="14" t="n"/>
      <c r="L116" s="10" t="n"/>
    </row>
    <row r="117">
      <c r="A117" s="10" t="n"/>
      <c r="B117" s="10" t="n"/>
      <c r="C117" s="14" t="n"/>
      <c r="D117" s="14" t="n"/>
      <c r="E117" s="11" t="n"/>
      <c r="F117" s="11" t="n"/>
      <c r="G117" s="12">
        <f>IF(E117="","",E117-F117)</f>
        <v/>
      </c>
      <c r="H117" s="16">
        <f>IF(OR(G117="",G117&lt;=0),"",MAX(0,$B$5-D117))</f>
        <v/>
      </c>
      <c r="I117" s="16">
        <f>IF(G117="","",IF(G117&lt;=0,"Kapandı",IF(H117=0,"Vadesi gelmedi",IF(H117&lt;=30,"1-30",IF(H117&lt;=60,"31-60",IF(H117&lt;=90,"61-90","90+"))))))</f>
        <v/>
      </c>
      <c r="J117" s="10" t="n"/>
      <c r="K117" s="14" t="n"/>
      <c r="L117" s="10" t="n"/>
    </row>
    <row r="118">
      <c r="A118" s="10" t="n"/>
      <c r="B118" s="10" t="n"/>
      <c r="C118" s="14" t="n"/>
      <c r="D118" s="14" t="n"/>
      <c r="E118" s="11" t="n"/>
      <c r="F118" s="11" t="n"/>
      <c r="G118" s="12">
        <f>IF(E118="","",E118-F118)</f>
        <v/>
      </c>
      <c r="H118" s="16">
        <f>IF(OR(G118="",G118&lt;=0),"",MAX(0,$B$5-D118))</f>
        <v/>
      </c>
      <c r="I118" s="16">
        <f>IF(G118="","",IF(G118&lt;=0,"Kapandı",IF(H118=0,"Vadesi gelmedi",IF(H118&lt;=30,"1-30",IF(H118&lt;=60,"31-60",IF(H118&lt;=90,"61-90","90+"))))))</f>
        <v/>
      </c>
      <c r="J118" s="10" t="n"/>
      <c r="K118" s="14" t="n"/>
      <c r="L118" s="10" t="n"/>
    </row>
    <row r="119">
      <c r="A119" s="10" t="n"/>
      <c r="B119" s="10" t="n"/>
      <c r="C119" s="14" t="n"/>
      <c r="D119" s="14" t="n"/>
      <c r="E119" s="11" t="n"/>
      <c r="F119" s="11" t="n"/>
      <c r="G119" s="12">
        <f>IF(E119="","",E119-F119)</f>
        <v/>
      </c>
      <c r="H119" s="16">
        <f>IF(OR(G119="",G119&lt;=0),"",MAX(0,$B$5-D119))</f>
        <v/>
      </c>
      <c r="I119" s="16">
        <f>IF(G119="","",IF(G119&lt;=0,"Kapandı",IF(H119=0,"Vadesi gelmedi",IF(H119&lt;=30,"1-30",IF(H119&lt;=60,"31-60",IF(H119&lt;=90,"61-90","90+"))))))</f>
        <v/>
      </c>
      <c r="J119" s="10" t="n"/>
      <c r="K119" s="14" t="n"/>
      <c r="L119" s="10" t="n"/>
    </row>
    <row r="120">
      <c r="A120" s="10" t="n"/>
      <c r="B120" s="10" t="n"/>
      <c r="C120" s="14" t="n"/>
      <c r="D120" s="14" t="n"/>
      <c r="E120" s="11" t="n"/>
      <c r="F120" s="11" t="n"/>
      <c r="G120" s="12">
        <f>IF(E120="","",E120-F120)</f>
        <v/>
      </c>
      <c r="H120" s="16">
        <f>IF(OR(G120="",G120&lt;=0),"",MAX(0,$B$5-D120))</f>
        <v/>
      </c>
      <c r="I120" s="16">
        <f>IF(G120="","",IF(G120&lt;=0,"Kapandı",IF(H120=0,"Vadesi gelmedi",IF(H120&lt;=30,"1-30",IF(H120&lt;=60,"31-60",IF(H120&lt;=90,"61-90","90+"))))))</f>
        <v/>
      </c>
      <c r="J120" s="10" t="n"/>
      <c r="K120" s="14" t="n"/>
      <c r="L120" s="10" t="n"/>
    </row>
    <row r="121">
      <c r="A121" s="10" t="n"/>
      <c r="B121" s="10" t="n"/>
      <c r="C121" s="14" t="n"/>
      <c r="D121" s="14" t="n"/>
      <c r="E121" s="11" t="n"/>
      <c r="F121" s="11" t="n"/>
      <c r="G121" s="12">
        <f>IF(E121="","",E121-F121)</f>
        <v/>
      </c>
      <c r="H121" s="16">
        <f>IF(OR(G121="",G121&lt;=0),"",MAX(0,$B$5-D121))</f>
        <v/>
      </c>
      <c r="I121" s="16">
        <f>IF(G121="","",IF(G121&lt;=0,"Kapandı",IF(H121=0,"Vadesi gelmedi",IF(H121&lt;=30,"1-30",IF(H121&lt;=60,"31-60",IF(H121&lt;=90,"61-90","90+"))))))</f>
        <v/>
      </c>
      <c r="J121" s="10" t="n"/>
      <c r="K121" s="14" t="n"/>
      <c r="L121" s="10" t="n"/>
    </row>
    <row r="122">
      <c r="A122" s="10" t="n"/>
      <c r="B122" s="10" t="n"/>
      <c r="C122" s="14" t="n"/>
      <c r="D122" s="14" t="n"/>
      <c r="E122" s="11" t="n"/>
      <c r="F122" s="11" t="n"/>
      <c r="G122" s="12">
        <f>IF(E122="","",E122-F122)</f>
        <v/>
      </c>
      <c r="H122" s="16">
        <f>IF(OR(G122="",G122&lt;=0),"",MAX(0,$B$5-D122))</f>
        <v/>
      </c>
      <c r="I122" s="16">
        <f>IF(G122="","",IF(G122&lt;=0,"Kapandı",IF(H122=0,"Vadesi gelmedi",IF(H122&lt;=30,"1-30",IF(H122&lt;=60,"31-60",IF(H122&lt;=90,"61-90","90+"))))))</f>
        <v/>
      </c>
      <c r="J122" s="10" t="n"/>
      <c r="K122" s="14" t="n"/>
      <c r="L122" s="10" t="n"/>
    </row>
    <row r="123">
      <c r="A123" s="10" t="n"/>
      <c r="B123" s="10" t="n"/>
      <c r="C123" s="14" t="n"/>
      <c r="D123" s="14" t="n"/>
      <c r="E123" s="11" t="n"/>
      <c r="F123" s="11" t="n"/>
      <c r="G123" s="12">
        <f>IF(E123="","",E123-F123)</f>
        <v/>
      </c>
      <c r="H123" s="16">
        <f>IF(OR(G123="",G123&lt;=0),"",MAX(0,$B$5-D123))</f>
        <v/>
      </c>
      <c r="I123" s="16">
        <f>IF(G123="","",IF(G123&lt;=0,"Kapandı",IF(H123=0,"Vadesi gelmedi",IF(H123&lt;=30,"1-30",IF(H123&lt;=60,"31-60",IF(H123&lt;=90,"61-90","90+"))))))</f>
        <v/>
      </c>
      <c r="J123" s="10" t="n"/>
      <c r="K123" s="14" t="n"/>
      <c r="L123" s="10" t="n"/>
    </row>
    <row r="124">
      <c r="A124" s="10" t="n"/>
      <c r="B124" s="10" t="n"/>
      <c r="C124" s="14" t="n"/>
      <c r="D124" s="14" t="n"/>
      <c r="E124" s="11" t="n"/>
      <c r="F124" s="11" t="n"/>
      <c r="G124" s="12">
        <f>IF(E124="","",E124-F124)</f>
        <v/>
      </c>
      <c r="H124" s="16">
        <f>IF(OR(G124="",G124&lt;=0),"",MAX(0,$B$5-D124))</f>
        <v/>
      </c>
      <c r="I124" s="16">
        <f>IF(G124="","",IF(G124&lt;=0,"Kapandı",IF(H124=0,"Vadesi gelmedi",IF(H124&lt;=30,"1-30",IF(H124&lt;=60,"31-60",IF(H124&lt;=90,"61-90","90+"))))))</f>
        <v/>
      </c>
      <c r="J124" s="10" t="n"/>
      <c r="K124" s="14" t="n"/>
      <c r="L124" s="10" t="n"/>
    </row>
    <row r="125">
      <c r="A125" s="10" t="n"/>
      <c r="B125" s="10" t="n"/>
      <c r="C125" s="14" t="n"/>
      <c r="D125" s="14" t="n"/>
      <c r="E125" s="11" t="n"/>
      <c r="F125" s="11" t="n"/>
      <c r="G125" s="12">
        <f>IF(E125="","",E125-F125)</f>
        <v/>
      </c>
      <c r="H125" s="16">
        <f>IF(OR(G125="",G125&lt;=0),"",MAX(0,$B$5-D125))</f>
        <v/>
      </c>
      <c r="I125" s="16">
        <f>IF(G125="","",IF(G125&lt;=0,"Kapandı",IF(H125=0,"Vadesi gelmedi",IF(H125&lt;=30,"1-30",IF(H125&lt;=60,"31-60",IF(H125&lt;=90,"61-90","90+"))))))</f>
        <v/>
      </c>
      <c r="J125" s="10" t="n"/>
      <c r="K125" s="14" t="n"/>
      <c r="L125" s="10" t="n"/>
    </row>
    <row r="126">
      <c r="A126" s="10" t="n"/>
      <c r="B126" s="10" t="n"/>
      <c r="C126" s="14" t="n"/>
      <c r="D126" s="14" t="n"/>
      <c r="E126" s="11" t="n"/>
      <c r="F126" s="11" t="n"/>
      <c r="G126" s="12">
        <f>IF(E126="","",E126-F126)</f>
        <v/>
      </c>
      <c r="H126" s="16">
        <f>IF(OR(G126="",G126&lt;=0),"",MAX(0,$B$5-D126))</f>
        <v/>
      </c>
      <c r="I126" s="16">
        <f>IF(G126="","",IF(G126&lt;=0,"Kapandı",IF(H126=0,"Vadesi gelmedi",IF(H126&lt;=30,"1-30",IF(H126&lt;=60,"31-60",IF(H126&lt;=90,"61-90","90+"))))))</f>
        <v/>
      </c>
      <c r="J126" s="10" t="n"/>
      <c r="K126" s="14" t="n"/>
      <c r="L126" s="10" t="n"/>
    </row>
    <row r="127">
      <c r="A127" s="10" t="n"/>
      <c r="B127" s="10" t="n"/>
      <c r="C127" s="14" t="n"/>
      <c r="D127" s="14" t="n"/>
      <c r="E127" s="11" t="n"/>
      <c r="F127" s="11" t="n"/>
      <c r="G127" s="12">
        <f>IF(E127="","",E127-F127)</f>
        <v/>
      </c>
      <c r="H127" s="16">
        <f>IF(OR(G127="",G127&lt;=0),"",MAX(0,$B$5-D127))</f>
        <v/>
      </c>
      <c r="I127" s="16">
        <f>IF(G127="","",IF(G127&lt;=0,"Kapandı",IF(H127=0,"Vadesi gelmedi",IF(H127&lt;=30,"1-30",IF(H127&lt;=60,"31-60",IF(H127&lt;=90,"61-90","90+"))))))</f>
        <v/>
      </c>
      <c r="J127" s="10" t="n"/>
      <c r="K127" s="14" t="n"/>
      <c r="L127" s="10" t="n"/>
    </row>
    <row r="128">
      <c r="A128" s="10" t="n"/>
      <c r="B128" s="10" t="n"/>
      <c r="C128" s="14" t="n"/>
      <c r="D128" s="14" t="n"/>
      <c r="E128" s="11" t="n"/>
      <c r="F128" s="11" t="n"/>
      <c r="G128" s="12">
        <f>IF(E128="","",E128-F128)</f>
        <v/>
      </c>
      <c r="H128" s="16">
        <f>IF(OR(G128="",G128&lt;=0),"",MAX(0,$B$5-D128))</f>
        <v/>
      </c>
      <c r="I128" s="16">
        <f>IF(G128="","",IF(G128&lt;=0,"Kapandı",IF(H128=0,"Vadesi gelmedi",IF(H128&lt;=30,"1-30",IF(H128&lt;=60,"31-60",IF(H128&lt;=90,"61-90","90+"))))))</f>
        <v/>
      </c>
      <c r="J128" s="10" t="n"/>
      <c r="K128" s="14" t="n"/>
      <c r="L128" s="10" t="n"/>
    </row>
    <row r="129">
      <c r="A129" s="10" t="n"/>
      <c r="B129" s="10" t="n"/>
      <c r="C129" s="14" t="n"/>
      <c r="D129" s="14" t="n"/>
      <c r="E129" s="11" t="n"/>
      <c r="F129" s="11" t="n"/>
      <c r="G129" s="12">
        <f>IF(E129="","",E129-F129)</f>
        <v/>
      </c>
      <c r="H129" s="16">
        <f>IF(OR(G129="",G129&lt;=0),"",MAX(0,$B$5-D129))</f>
        <v/>
      </c>
      <c r="I129" s="16">
        <f>IF(G129="","",IF(G129&lt;=0,"Kapandı",IF(H129=0,"Vadesi gelmedi",IF(H129&lt;=30,"1-30",IF(H129&lt;=60,"31-60",IF(H129&lt;=90,"61-90","90+"))))))</f>
        <v/>
      </c>
      <c r="J129" s="10" t="n"/>
      <c r="K129" s="14" t="n"/>
      <c r="L129" s="10" t="n"/>
    </row>
    <row r="130">
      <c r="A130" s="10" t="n"/>
      <c r="B130" s="10" t="n"/>
      <c r="C130" s="14" t="n"/>
      <c r="D130" s="14" t="n"/>
      <c r="E130" s="11" t="n"/>
      <c r="F130" s="11" t="n"/>
      <c r="G130" s="12">
        <f>IF(E130="","",E130-F130)</f>
        <v/>
      </c>
      <c r="H130" s="16">
        <f>IF(OR(G130="",G130&lt;=0),"",MAX(0,$B$5-D130))</f>
        <v/>
      </c>
      <c r="I130" s="16">
        <f>IF(G130="","",IF(G130&lt;=0,"Kapandı",IF(H130=0,"Vadesi gelmedi",IF(H130&lt;=30,"1-30",IF(H130&lt;=60,"31-60",IF(H130&lt;=90,"61-90","90+"))))))</f>
        <v/>
      </c>
      <c r="J130" s="10" t="n"/>
      <c r="K130" s="14" t="n"/>
      <c r="L130" s="10" t="n"/>
    </row>
    <row r="131">
      <c r="A131" s="10" t="n"/>
      <c r="B131" s="10" t="n"/>
      <c r="C131" s="14" t="n"/>
      <c r="D131" s="14" t="n"/>
      <c r="E131" s="11" t="n"/>
      <c r="F131" s="11" t="n"/>
      <c r="G131" s="12">
        <f>IF(E131="","",E131-F131)</f>
        <v/>
      </c>
      <c r="H131" s="16">
        <f>IF(OR(G131="",G131&lt;=0),"",MAX(0,$B$5-D131))</f>
        <v/>
      </c>
      <c r="I131" s="16">
        <f>IF(G131="","",IF(G131&lt;=0,"Kapandı",IF(H131=0,"Vadesi gelmedi",IF(H131&lt;=30,"1-30",IF(H131&lt;=60,"31-60",IF(H131&lt;=90,"61-90","90+"))))))</f>
        <v/>
      </c>
      <c r="J131" s="10" t="n"/>
      <c r="K131" s="14" t="n"/>
      <c r="L131" s="10" t="n"/>
    </row>
    <row r="132">
      <c r="A132" s="10" t="n"/>
      <c r="B132" s="10" t="n"/>
      <c r="C132" s="14" t="n"/>
      <c r="D132" s="14" t="n"/>
      <c r="E132" s="11" t="n"/>
      <c r="F132" s="11" t="n"/>
      <c r="G132" s="12">
        <f>IF(E132="","",E132-F132)</f>
        <v/>
      </c>
      <c r="H132" s="16">
        <f>IF(OR(G132="",G132&lt;=0),"",MAX(0,$B$5-D132))</f>
        <v/>
      </c>
      <c r="I132" s="16">
        <f>IF(G132="","",IF(G132&lt;=0,"Kapandı",IF(H132=0,"Vadesi gelmedi",IF(H132&lt;=30,"1-30",IF(H132&lt;=60,"31-60",IF(H132&lt;=90,"61-90","90+"))))))</f>
        <v/>
      </c>
      <c r="J132" s="10" t="n"/>
      <c r="K132" s="14" t="n"/>
      <c r="L132" s="10" t="n"/>
    </row>
    <row r="133">
      <c r="A133" s="10" t="n"/>
      <c r="B133" s="10" t="n"/>
      <c r="C133" s="14" t="n"/>
      <c r="D133" s="14" t="n"/>
      <c r="E133" s="11" t="n"/>
      <c r="F133" s="11" t="n"/>
      <c r="G133" s="12">
        <f>IF(E133="","",E133-F133)</f>
        <v/>
      </c>
      <c r="H133" s="16">
        <f>IF(OR(G133="",G133&lt;=0),"",MAX(0,$B$5-D133))</f>
        <v/>
      </c>
      <c r="I133" s="16">
        <f>IF(G133="","",IF(G133&lt;=0,"Kapandı",IF(H133=0,"Vadesi gelmedi",IF(H133&lt;=30,"1-30",IF(H133&lt;=60,"31-60",IF(H133&lt;=90,"61-90","90+"))))))</f>
        <v/>
      </c>
      <c r="J133" s="10" t="n"/>
      <c r="K133" s="14" t="n"/>
      <c r="L133" s="10" t="n"/>
    </row>
    <row r="134">
      <c r="A134" s="10" t="n"/>
      <c r="B134" s="10" t="n"/>
      <c r="C134" s="14" t="n"/>
      <c r="D134" s="14" t="n"/>
      <c r="E134" s="11" t="n"/>
      <c r="F134" s="11" t="n"/>
      <c r="G134" s="12">
        <f>IF(E134="","",E134-F134)</f>
        <v/>
      </c>
      <c r="H134" s="16">
        <f>IF(OR(G134="",G134&lt;=0),"",MAX(0,$B$5-D134))</f>
        <v/>
      </c>
      <c r="I134" s="16">
        <f>IF(G134="","",IF(G134&lt;=0,"Kapandı",IF(H134=0,"Vadesi gelmedi",IF(H134&lt;=30,"1-30",IF(H134&lt;=60,"31-60",IF(H134&lt;=90,"61-90","90+"))))))</f>
        <v/>
      </c>
      <c r="J134" s="10" t="n"/>
      <c r="K134" s="14" t="n"/>
      <c r="L134" s="10" t="n"/>
    </row>
    <row r="135">
      <c r="A135" s="10" t="n"/>
      <c r="B135" s="10" t="n"/>
      <c r="C135" s="14" t="n"/>
      <c r="D135" s="14" t="n"/>
      <c r="E135" s="11" t="n"/>
      <c r="F135" s="11" t="n"/>
      <c r="G135" s="12">
        <f>IF(E135="","",E135-F135)</f>
        <v/>
      </c>
      <c r="H135" s="16">
        <f>IF(OR(G135="",G135&lt;=0),"",MAX(0,$B$5-D135))</f>
        <v/>
      </c>
      <c r="I135" s="16">
        <f>IF(G135="","",IF(G135&lt;=0,"Kapandı",IF(H135=0,"Vadesi gelmedi",IF(H135&lt;=30,"1-30",IF(H135&lt;=60,"31-60",IF(H135&lt;=90,"61-90","90+"))))))</f>
        <v/>
      </c>
      <c r="J135" s="10" t="n"/>
      <c r="K135" s="14" t="n"/>
      <c r="L135" s="10" t="n"/>
    </row>
    <row r="136">
      <c r="A136" s="10" t="n"/>
      <c r="B136" s="10" t="n"/>
      <c r="C136" s="14" t="n"/>
      <c r="D136" s="14" t="n"/>
      <c r="E136" s="11" t="n"/>
      <c r="F136" s="11" t="n"/>
      <c r="G136" s="12">
        <f>IF(E136="","",E136-F136)</f>
        <v/>
      </c>
      <c r="H136" s="16">
        <f>IF(OR(G136="",G136&lt;=0),"",MAX(0,$B$5-D136))</f>
        <v/>
      </c>
      <c r="I136" s="16">
        <f>IF(G136="","",IF(G136&lt;=0,"Kapandı",IF(H136=0,"Vadesi gelmedi",IF(H136&lt;=30,"1-30",IF(H136&lt;=60,"31-60",IF(H136&lt;=90,"61-90","90+"))))))</f>
        <v/>
      </c>
      <c r="J136" s="10" t="n"/>
      <c r="K136" s="14" t="n"/>
      <c r="L136" s="10" t="n"/>
    </row>
    <row r="137">
      <c r="A137" s="10" t="n"/>
      <c r="B137" s="10" t="n"/>
      <c r="C137" s="14" t="n"/>
      <c r="D137" s="14" t="n"/>
      <c r="E137" s="11" t="n"/>
      <c r="F137" s="11" t="n"/>
      <c r="G137" s="12">
        <f>IF(E137="","",E137-F137)</f>
        <v/>
      </c>
      <c r="H137" s="16">
        <f>IF(OR(G137="",G137&lt;=0),"",MAX(0,$B$5-D137))</f>
        <v/>
      </c>
      <c r="I137" s="16">
        <f>IF(G137="","",IF(G137&lt;=0,"Kapandı",IF(H137=0,"Vadesi gelmedi",IF(H137&lt;=30,"1-30",IF(H137&lt;=60,"31-60",IF(H137&lt;=90,"61-90","90+"))))))</f>
        <v/>
      </c>
      <c r="J137" s="10" t="n"/>
      <c r="K137" s="14" t="n"/>
      <c r="L137" s="10" t="n"/>
    </row>
    <row r="138">
      <c r="A138" s="10" t="n"/>
      <c r="B138" s="10" t="n"/>
      <c r="C138" s="14" t="n"/>
      <c r="D138" s="14" t="n"/>
      <c r="E138" s="11" t="n"/>
      <c r="F138" s="11" t="n"/>
      <c r="G138" s="12">
        <f>IF(E138="","",E138-F138)</f>
        <v/>
      </c>
      <c r="H138" s="16">
        <f>IF(OR(G138="",G138&lt;=0),"",MAX(0,$B$5-D138))</f>
        <v/>
      </c>
      <c r="I138" s="16">
        <f>IF(G138="","",IF(G138&lt;=0,"Kapandı",IF(H138=0,"Vadesi gelmedi",IF(H138&lt;=30,"1-30",IF(H138&lt;=60,"31-60",IF(H138&lt;=90,"61-90","90+"))))))</f>
        <v/>
      </c>
      <c r="J138" s="10" t="n"/>
      <c r="K138" s="14" t="n"/>
      <c r="L138" s="10" t="n"/>
    </row>
    <row r="139">
      <c r="A139" s="10" t="n"/>
      <c r="B139" s="10" t="n"/>
      <c r="C139" s="14" t="n"/>
      <c r="D139" s="14" t="n"/>
      <c r="E139" s="11" t="n"/>
      <c r="F139" s="11" t="n"/>
      <c r="G139" s="12">
        <f>IF(E139="","",E139-F139)</f>
        <v/>
      </c>
      <c r="H139" s="16">
        <f>IF(OR(G139="",G139&lt;=0),"",MAX(0,$B$5-D139))</f>
        <v/>
      </c>
      <c r="I139" s="16">
        <f>IF(G139="","",IF(G139&lt;=0,"Kapandı",IF(H139=0,"Vadesi gelmedi",IF(H139&lt;=30,"1-30",IF(H139&lt;=60,"31-60",IF(H139&lt;=90,"61-90","90+"))))))</f>
        <v/>
      </c>
      <c r="J139" s="10" t="n"/>
      <c r="K139" s="14" t="n"/>
      <c r="L139" s="10" t="n"/>
    </row>
    <row r="140">
      <c r="A140" s="10" t="n"/>
      <c r="B140" s="10" t="n"/>
      <c r="C140" s="14" t="n"/>
      <c r="D140" s="14" t="n"/>
      <c r="E140" s="11" t="n"/>
      <c r="F140" s="11" t="n"/>
      <c r="G140" s="12">
        <f>IF(E140="","",E140-F140)</f>
        <v/>
      </c>
      <c r="H140" s="16">
        <f>IF(OR(G140="",G140&lt;=0),"",MAX(0,$B$5-D140))</f>
        <v/>
      </c>
      <c r="I140" s="16">
        <f>IF(G140="","",IF(G140&lt;=0,"Kapandı",IF(H140=0,"Vadesi gelmedi",IF(H140&lt;=30,"1-30",IF(H140&lt;=60,"31-60",IF(H140&lt;=90,"61-90","90+"))))))</f>
        <v/>
      </c>
      <c r="J140" s="10" t="n"/>
      <c r="K140" s="14" t="n"/>
      <c r="L140" s="10" t="n"/>
    </row>
    <row r="141">
      <c r="A141" s="10" t="n"/>
      <c r="B141" s="10" t="n"/>
      <c r="C141" s="14" t="n"/>
      <c r="D141" s="14" t="n"/>
      <c r="E141" s="11" t="n"/>
      <c r="F141" s="11" t="n"/>
      <c r="G141" s="12">
        <f>IF(E141="","",E141-F141)</f>
        <v/>
      </c>
      <c r="H141" s="16">
        <f>IF(OR(G141="",G141&lt;=0),"",MAX(0,$B$5-D141))</f>
        <v/>
      </c>
      <c r="I141" s="16">
        <f>IF(G141="","",IF(G141&lt;=0,"Kapandı",IF(H141=0,"Vadesi gelmedi",IF(H141&lt;=30,"1-30",IF(H141&lt;=60,"31-60",IF(H141&lt;=90,"61-90","90+"))))))</f>
        <v/>
      </c>
      <c r="J141" s="10" t="n"/>
      <c r="K141" s="14" t="n"/>
      <c r="L141" s="10" t="n"/>
    </row>
    <row r="142">
      <c r="A142" s="10" t="n"/>
      <c r="B142" s="10" t="n"/>
      <c r="C142" s="14" t="n"/>
      <c r="D142" s="14" t="n"/>
      <c r="E142" s="11" t="n"/>
      <c r="F142" s="11" t="n"/>
      <c r="G142" s="12">
        <f>IF(E142="","",E142-F142)</f>
        <v/>
      </c>
      <c r="H142" s="16">
        <f>IF(OR(G142="",G142&lt;=0),"",MAX(0,$B$5-D142))</f>
        <v/>
      </c>
      <c r="I142" s="16">
        <f>IF(G142="","",IF(G142&lt;=0,"Kapandı",IF(H142=0,"Vadesi gelmedi",IF(H142&lt;=30,"1-30",IF(H142&lt;=60,"31-60",IF(H142&lt;=90,"61-90","90+"))))))</f>
        <v/>
      </c>
      <c r="J142" s="10" t="n"/>
      <c r="K142" s="14" t="n"/>
      <c r="L142" s="10" t="n"/>
    </row>
    <row r="143">
      <c r="A143" s="10" t="n"/>
      <c r="B143" s="10" t="n"/>
      <c r="C143" s="14" t="n"/>
      <c r="D143" s="14" t="n"/>
      <c r="E143" s="11" t="n"/>
      <c r="F143" s="11" t="n"/>
      <c r="G143" s="12">
        <f>IF(E143="","",E143-F143)</f>
        <v/>
      </c>
      <c r="H143" s="16">
        <f>IF(OR(G143="",G143&lt;=0),"",MAX(0,$B$5-D143))</f>
        <v/>
      </c>
      <c r="I143" s="16">
        <f>IF(G143="","",IF(G143&lt;=0,"Kapandı",IF(H143=0,"Vadesi gelmedi",IF(H143&lt;=30,"1-30",IF(H143&lt;=60,"31-60",IF(H143&lt;=90,"61-90","90+"))))))</f>
        <v/>
      </c>
      <c r="J143" s="10" t="n"/>
      <c r="K143" s="14" t="n"/>
      <c r="L143" s="10" t="n"/>
    </row>
    <row r="144">
      <c r="A144" s="10" t="n"/>
      <c r="B144" s="10" t="n"/>
      <c r="C144" s="14" t="n"/>
      <c r="D144" s="14" t="n"/>
      <c r="E144" s="11" t="n"/>
      <c r="F144" s="11" t="n"/>
      <c r="G144" s="12">
        <f>IF(E144="","",E144-F144)</f>
        <v/>
      </c>
      <c r="H144" s="16">
        <f>IF(OR(G144="",G144&lt;=0),"",MAX(0,$B$5-D144))</f>
        <v/>
      </c>
      <c r="I144" s="16">
        <f>IF(G144="","",IF(G144&lt;=0,"Kapandı",IF(H144=0,"Vadesi gelmedi",IF(H144&lt;=30,"1-30",IF(H144&lt;=60,"31-60",IF(H144&lt;=90,"61-90","90+"))))))</f>
        <v/>
      </c>
      <c r="J144" s="10" t="n"/>
      <c r="K144" s="14" t="n"/>
      <c r="L144" s="10" t="n"/>
    </row>
    <row r="145">
      <c r="A145" s="10" t="n"/>
      <c r="B145" s="10" t="n"/>
      <c r="C145" s="14" t="n"/>
      <c r="D145" s="14" t="n"/>
      <c r="E145" s="11" t="n"/>
      <c r="F145" s="11" t="n"/>
      <c r="G145" s="12">
        <f>IF(E145="","",E145-F145)</f>
        <v/>
      </c>
      <c r="H145" s="16">
        <f>IF(OR(G145="",G145&lt;=0),"",MAX(0,$B$5-D145))</f>
        <v/>
      </c>
      <c r="I145" s="16">
        <f>IF(G145="","",IF(G145&lt;=0,"Kapandı",IF(H145=0,"Vadesi gelmedi",IF(H145&lt;=30,"1-30",IF(H145&lt;=60,"31-60",IF(H145&lt;=90,"61-90","90+"))))))</f>
        <v/>
      </c>
      <c r="J145" s="10" t="n"/>
      <c r="K145" s="14" t="n"/>
      <c r="L145" s="10" t="n"/>
    </row>
    <row r="146">
      <c r="A146" s="10" t="n"/>
      <c r="B146" s="10" t="n"/>
      <c r="C146" s="14" t="n"/>
      <c r="D146" s="14" t="n"/>
      <c r="E146" s="11" t="n"/>
      <c r="F146" s="11" t="n"/>
      <c r="G146" s="12">
        <f>IF(E146="","",E146-F146)</f>
        <v/>
      </c>
      <c r="H146" s="16">
        <f>IF(OR(G146="",G146&lt;=0),"",MAX(0,$B$5-D146))</f>
        <v/>
      </c>
      <c r="I146" s="16">
        <f>IF(G146="","",IF(G146&lt;=0,"Kapandı",IF(H146=0,"Vadesi gelmedi",IF(H146&lt;=30,"1-30",IF(H146&lt;=60,"31-60",IF(H146&lt;=90,"61-90","90+"))))))</f>
        <v/>
      </c>
      <c r="J146" s="10" t="n"/>
      <c r="K146" s="14" t="n"/>
      <c r="L146" s="10" t="n"/>
    </row>
    <row r="147">
      <c r="A147" s="10" t="n"/>
      <c r="B147" s="10" t="n"/>
      <c r="C147" s="14" t="n"/>
      <c r="D147" s="14" t="n"/>
      <c r="E147" s="11" t="n"/>
      <c r="F147" s="11" t="n"/>
      <c r="G147" s="12">
        <f>IF(E147="","",E147-F147)</f>
        <v/>
      </c>
      <c r="H147" s="16">
        <f>IF(OR(G147="",G147&lt;=0),"",MAX(0,$B$5-D147))</f>
        <v/>
      </c>
      <c r="I147" s="16">
        <f>IF(G147="","",IF(G147&lt;=0,"Kapandı",IF(H147=0,"Vadesi gelmedi",IF(H147&lt;=30,"1-30",IF(H147&lt;=60,"31-60",IF(H147&lt;=90,"61-90","90+"))))))</f>
        <v/>
      </c>
      <c r="J147" s="10" t="n"/>
      <c r="K147" s="14" t="n"/>
      <c r="L147" s="10" t="n"/>
    </row>
    <row r="148">
      <c r="A148" s="10" t="n"/>
      <c r="B148" s="10" t="n"/>
      <c r="C148" s="14" t="n"/>
      <c r="D148" s="14" t="n"/>
      <c r="E148" s="11" t="n"/>
      <c r="F148" s="11" t="n"/>
      <c r="G148" s="12">
        <f>IF(E148="","",E148-F148)</f>
        <v/>
      </c>
      <c r="H148" s="16">
        <f>IF(OR(G148="",G148&lt;=0),"",MAX(0,$B$5-D148))</f>
        <v/>
      </c>
      <c r="I148" s="16">
        <f>IF(G148="","",IF(G148&lt;=0,"Kapandı",IF(H148=0,"Vadesi gelmedi",IF(H148&lt;=30,"1-30",IF(H148&lt;=60,"31-60",IF(H148&lt;=90,"61-90","90+"))))))</f>
        <v/>
      </c>
      <c r="J148" s="10" t="n"/>
      <c r="K148" s="14" t="n"/>
      <c r="L148" s="10" t="n"/>
    </row>
    <row r="149">
      <c r="A149" s="10" t="n"/>
      <c r="B149" s="10" t="n"/>
      <c r="C149" s="14" t="n"/>
      <c r="D149" s="14" t="n"/>
      <c r="E149" s="11" t="n"/>
      <c r="F149" s="11" t="n"/>
      <c r="G149" s="12">
        <f>IF(E149="","",E149-F149)</f>
        <v/>
      </c>
      <c r="H149" s="16">
        <f>IF(OR(G149="",G149&lt;=0),"",MAX(0,$B$5-D149))</f>
        <v/>
      </c>
      <c r="I149" s="16">
        <f>IF(G149="","",IF(G149&lt;=0,"Kapandı",IF(H149=0,"Vadesi gelmedi",IF(H149&lt;=30,"1-30",IF(H149&lt;=60,"31-60",IF(H149&lt;=90,"61-90","90+"))))))</f>
        <v/>
      </c>
      <c r="J149" s="10" t="n"/>
      <c r="K149" s="14" t="n"/>
      <c r="L149" s="10" t="n"/>
    </row>
    <row r="150">
      <c r="A150" s="10" t="n"/>
      <c r="B150" s="10" t="n"/>
      <c r="C150" s="14" t="n"/>
      <c r="D150" s="14" t="n"/>
      <c r="E150" s="11" t="n"/>
      <c r="F150" s="11" t="n"/>
      <c r="G150" s="12">
        <f>IF(E150="","",E150-F150)</f>
        <v/>
      </c>
      <c r="H150" s="16">
        <f>IF(OR(G150="",G150&lt;=0),"",MAX(0,$B$5-D150))</f>
        <v/>
      </c>
      <c r="I150" s="16">
        <f>IF(G150="","",IF(G150&lt;=0,"Kapandı",IF(H150=0,"Vadesi gelmedi",IF(H150&lt;=30,"1-30",IF(H150&lt;=60,"31-60",IF(H150&lt;=90,"61-90","90+"))))))</f>
        <v/>
      </c>
      <c r="J150" s="10" t="n"/>
      <c r="K150" s="14" t="n"/>
      <c r="L150" s="10" t="n"/>
    </row>
    <row r="151">
      <c r="A151" s="10" t="n"/>
      <c r="B151" s="10" t="n"/>
      <c r="C151" s="14" t="n"/>
      <c r="D151" s="14" t="n"/>
      <c r="E151" s="11" t="n"/>
      <c r="F151" s="11" t="n"/>
      <c r="G151" s="12">
        <f>IF(E151="","",E151-F151)</f>
        <v/>
      </c>
      <c r="H151" s="16">
        <f>IF(OR(G151="",G151&lt;=0),"",MAX(0,$B$5-D151))</f>
        <v/>
      </c>
      <c r="I151" s="16">
        <f>IF(G151="","",IF(G151&lt;=0,"Kapandı",IF(H151=0,"Vadesi gelmedi",IF(H151&lt;=30,"1-30",IF(H151&lt;=60,"31-60",IF(H151&lt;=90,"61-90","90+"))))))</f>
        <v/>
      </c>
      <c r="J151" s="10" t="n"/>
      <c r="K151" s="14" t="n"/>
      <c r="L151" s="10" t="n"/>
    </row>
    <row r="152">
      <c r="A152" s="10" t="n"/>
      <c r="B152" s="10" t="n"/>
      <c r="C152" s="14" t="n"/>
      <c r="D152" s="14" t="n"/>
      <c r="E152" s="11" t="n"/>
      <c r="F152" s="11" t="n"/>
      <c r="G152" s="12">
        <f>IF(E152="","",E152-F152)</f>
        <v/>
      </c>
      <c r="H152" s="16">
        <f>IF(OR(G152="",G152&lt;=0),"",MAX(0,$B$5-D152))</f>
        <v/>
      </c>
      <c r="I152" s="16">
        <f>IF(G152="","",IF(G152&lt;=0,"Kapandı",IF(H152=0,"Vadesi gelmedi",IF(H152&lt;=30,"1-30",IF(H152&lt;=60,"31-60",IF(H152&lt;=90,"61-90","90+"))))))</f>
        <v/>
      </c>
      <c r="J152" s="10" t="n"/>
      <c r="K152" s="14" t="n"/>
      <c r="L152" s="10" t="n"/>
    </row>
    <row r="153">
      <c r="A153" s="10" t="n"/>
      <c r="B153" s="10" t="n"/>
      <c r="C153" s="14" t="n"/>
      <c r="D153" s="14" t="n"/>
      <c r="E153" s="11" t="n"/>
      <c r="F153" s="11" t="n"/>
      <c r="G153" s="12">
        <f>IF(E153="","",E153-F153)</f>
        <v/>
      </c>
      <c r="H153" s="16">
        <f>IF(OR(G153="",G153&lt;=0),"",MAX(0,$B$5-D153))</f>
        <v/>
      </c>
      <c r="I153" s="16">
        <f>IF(G153="","",IF(G153&lt;=0,"Kapandı",IF(H153=0,"Vadesi gelmedi",IF(H153&lt;=30,"1-30",IF(H153&lt;=60,"31-60",IF(H153&lt;=90,"61-90","90+"))))))</f>
        <v/>
      </c>
      <c r="J153" s="10" t="n"/>
      <c r="K153" s="14" t="n"/>
      <c r="L153" s="10" t="n"/>
    </row>
    <row r="154">
      <c r="A154" s="10" t="n"/>
      <c r="B154" s="10" t="n"/>
      <c r="C154" s="14" t="n"/>
      <c r="D154" s="14" t="n"/>
      <c r="E154" s="11" t="n"/>
      <c r="F154" s="11" t="n"/>
      <c r="G154" s="12">
        <f>IF(E154="","",E154-F154)</f>
        <v/>
      </c>
      <c r="H154" s="16">
        <f>IF(OR(G154="",G154&lt;=0),"",MAX(0,$B$5-D154))</f>
        <v/>
      </c>
      <c r="I154" s="16">
        <f>IF(G154="","",IF(G154&lt;=0,"Kapandı",IF(H154=0,"Vadesi gelmedi",IF(H154&lt;=30,"1-30",IF(H154&lt;=60,"31-60",IF(H154&lt;=90,"61-90","90+"))))))</f>
        <v/>
      </c>
      <c r="J154" s="10" t="n"/>
      <c r="K154" s="14" t="n"/>
      <c r="L154" s="10" t="n"/>
    </row>
    <row r="155">
      <c r="A155" s="10" t="n"/>
      <c r="B155" s="10" t="n"/>
      <c r="C155" s="14" t="n"/>
      <c r="D155" s="14" t="n"/>
      <c r="E155" s="11" t="n"/>
      <c r="F155" s="11" t="n"/>
      <c r="G155" s="12">
        <f>IF(E155="","",E155-F155)</f>
        <v/>
      </c>
      <c r="H155" s="16">
        <f>IF(OR(G155="",G155&lt;=0),"",MAX(0,$B$5-D155))</f>
        <v/>
      </c>
      <c r="I155" s="16">
        <f>IF(G155="","",IF(G155&lt;=0,"Kapandı",IF(H155=0,"Vadesi gelmedi",IF(H155&lt;=30,"1-30",IF(H155&lt;=60,"31-60",IF(H155&lt;=90,"61-90","90+"))))))</f>
        <v/>
      </c>
      <c r="J155" s="10" t="n"/>
      <c r="K155" s="14" t="n"/>
      <c r="L155" s="10" t="n"/>
    </row>
    <row r="156">
      <c r="A156" s="10" t="n"/>
      <c r="B156" s="10" t="n"/>
      <c r="C156" s="14" t="n"/>
      <c r="D156" s="14" t="n"/>
      <c r="E156" s="11" t="n"/>
      <c r="F156" s="11" t="n"/>
      <c r="G156" s="12">
        <f>IF(E156="","",E156-F156)</f>
        <v/>
      </c>
      <c r="H156" s="16">
        <f>IF(OR(G156="",G156&lt;=0),"",MAX(0,$B$5-D156))</f>
        <v/>
      </c>
      <c r="I156" s="16">
        <f>IF(G156="","",IF(G156&lt;=0,"Kapandı",IF(H156=0,"Vadesi gelmedi",IF(H156&lt;=30,"1-30",IF(H156&lt;=60,"31-60",IF(H156&lt;=90,"61-90","90+"))))))</f>
        <v/>
      </c>
      <c r="J156" s="10" t="n"/>
      <c r="K156" s="14" t="n"/>
      <c r="L156" s="10" t="n"/>
    </row>
    <row r="157">
      <c r="A157" s="10" t="n"/>
      <c r="B157" s="10" t="n"/>
      <c r="C157" s="14" t="n"/>
      <c r="D157" s="14" t="n"/>
      <c r="E157" s="11" t="n"/>
      <c r="F157" s="11" t="n"/>
      <c r="G157" s="12">
        <f>IF(E157="","",E157-F157)</f>
        <v/>
      </c>
      <c r="H157" s="16">
        <f>IF(OR(G157="",G157&lt;=0),"",MAX(0,$B$5-D157))</f>
        <v/>
      </c>
      <c r="I157" s="16">
        <f>IF(G157="","",IF(G157&lt;=0,"Kapandı",IF(H157=0,"Vadesi gelmedi",IF(H157&lt;=30,"1-30",IF(H157&lt;=60,"31-60",IF(H157&lt;=90,"61-90","90+"))))))</f>
        <v/>
      </c>
      <c r="J157" s="10" t="n"/>
      <c r="K157" s="14" t="n"/>
      <c r="L157" s="10" t="n"/>
    </row>
    <row r="158">
      <c r="A158" s="10" t="n"/>
      <c r="B158" s="10" t="n"/>
      <c r="C158" s="14" t="n"/>
      <c r="D158" s="14" t="n"/>
      <c r="E158" s="11" t="n"/>
      <c r="F158" s="11" t="n"/>
      <c r="G158" s="12">
        <f>IF(E158="","",E158-F158)</f>
        <v/>
      </c>
      <c r="H158" s="16">
        <f>IF(OR(G158="",G158&lt;=0),"",MAX(0,$B$5-D158))</f>
        <v/>
      </c>
      <c r="I158" s="16">
        <f>IF(G158="","",IF(G158&lt;=0,"Kapandı",IF(H158=0,"Vadesi gelmedi",IF(H158&lt;=30,"1-30",IF(H158&lt;=60,"31-60",IF(H158&lt;=90,"61-90","90+"))))))</f>
        <v/>
      </c>
      <c r="J158" s="10" t="n"/>
      <c r="K158" s="14" t="n"/>
      <c r="L158" s="10" t="n"/>
    </row>
    <row r="159">
      <c r="A159" s="10" t="n"/>
      <c r="B159" s="10" t="n"/>
      <c r="C159" s="14" t="n"/>
      <c r="D159" s="14" t="n"/>
      <c r="E159" s="11" t="n"/>
      <c r="F159" s="11" t="n"/>
      <c r="G159" s="12">
        <f>IF(E159="","",E159-F159)</f>
        <v/>
      </c>
      <c r="H159" s="16">
        <f>IF(OR(G159="",G159&lt;=0),"",MAX(0,$B$5-D159))</f>
        <v/>
      </c>
      <c r="I159" s="16">
        <f>IF(G159="","",IF(G159&lt;=0,"Kapandı",IF(H159=0,"Vadesi gelmedi",IF(H159&lt;=30,"1-30",IF(H159&lt;=60,"31-60",IF(H159&lt;=90,"61-90","90+"))))))</f>
        <v/>
      </c>
      <c r="J159" s="10" t="n"/>
      <c r="K159" s="14" t="n"/>
      <c r="L159" s="10" t="n"/>
    </row>
    <row r="160">
      <c r="A160" s="10" t="n"/>
      <c r="B160" s="10" t="n"/>
      <c r="C160" s="14" t="n"/>
      <c r="D160" s="14" t="n"/>
      <c r="E160" s="11" t="n"/>
      <c r="F160" s="11" t="n"/>
      <c r="G160" s="12">
        <f>IF(E160="","",E160-F160)</f>
        <v/>
      </c>
      <c r="H160" s="16">
        <f>IF(OR(G160="",G160&lt;=0),"",MAX(0,$B$5-D160))</f>
        <v/>
      </c>
      <c r="I160" s="16">
        <f>IF(G160="","",IF(G160&lt;=0,"Kapandı",IF(H160=0,"Vadesi gelmedi",IF(H160&lt;=30,"1-30",IF(H160&lt;=60,"31-60",IF(H160&lt;=90,"61-90","90+"))))))</f>
        <v/>
      </c>
      <c r="J160" s="10" t="n"/>
      <c r="K160" s="14" t="n"/>
      <c r="L160" s="10" t="n"/>
    </row>
    <row r="161">
      <c r="A161" s="10" t="n"/>
      <c r="B161" s="10" t="n"/>
      <c r="C161" s="14" t="n"/>
      <c r="D161" s="14" t="n"/>
      <c r="E161" s="11" t="n"/>
      <c r="F161" s="11" t="n"/>
      <c r="G161" s="12">
        <f>IF(E161="","",E161-F161)</f>
        <v/>
      </c>
      <c r="H161" s="16">
        <f>IF(OR(G161="",G161&lt;=0),"",MAX(0,$B$5-D161))</f>
        <v/>
      </c>
      <c r="I161" s="16">
        <f>IF(G161="","",IF(G161&lt;=0,"Kapandı",IF(H161=0,"Vadesi gelmedi",IF(H161&lt;=30,"1-30",IF(H161&lt;=60,"31-60",IF(H161&lt;=90,"61-90","90+"))))))</f>
        <v/>
      </c>
      <c r="J161" s="10" t="n"/>
      <c r="K161" s="14" t="n"/>
      <c r="L161" s="10" t="n"/>
    </row>
    <row r="162">
      <c r="A162" s="10" t="n"/>
      <c r="B162" s="10" t="n"/>
      <c r="C162" s="14" t="n"/>
      <c r="D162" s="14" t="n"/>
      <c r="E162" s="11" t="n"/>
      <c r="F162" s="11" t="n"/>
      <c r="G162" s="12">
        <f>IF(E162="","",E162-F162)</f>
        <v/>
      </c>
      <c r="H162" s="16">
        <f>IF(OR(G162="",G162&lt;=0),"",MAX(0,$B$5-D162))</f>
        <v/>
      </c>
      <c r="I162" s="16">
        <f>IF(G162="","",IF(G162&lt;=0,"Kapandı",IF(H162=0,"Vadesi gelmedi",IF(H162&lt;=30,"1-30",IF(H162&lt;=60,"31-60",IF(H162&lt;=90,"61-90","90+"))))))</f>
        <v/>
      </c>
      <c r="J162" s="10" t="n"/>
      <c r="K162" s="14" t="n"/>
      <c r="L162" s="10" t="n"/>
    </row>
    <row r="163">
      <c r="A163" s="10" t="n"/>
      <c r="B163" s="10" t="n"/>
      <c r="C163" s="14" t="n"/>
      <c r="D163" s="14" t="n"/>
      <c r="E163" s="11" t="n"/>
      <c r="F163" s="11" t="n"/>
      <c r="G163" s="12">
        <f>IF(E163="","",E163-F163)</f>
        <v/>
      </c>
      <c r="H163" s="16">
        <f>IF(OR(G163="",G163&lt;=0),"",MAX(0,$B$5-D163))</f>
        <v/>
      </c>
      <c r="I163" s="16">
        <f>IF(G163="","",IF(G163&lt;=0,"Kapandı",IF(H163=0,"Vadesi gelmedi",IF(H163&lt;=30,"1-30",IF(H163&lt;=60,"31-60",IF(H163&lt;=90,"61-90","90+"))))))</f>
        <v/>
      </c>
      <c r="J163" s="10" t="n"/>
      <c r="K163" s="14" t="n"/>
      <c r="L163" s="10" t="n"/>
    </row>
    <row r="164">
      <c r="A164" s="10" t="n"/>
      <c r="B164" s="10" t="n"/>
      <c r="C164" s="14" t="n"/>
      <c r="D164" s="14" t="n"/>
      <c r="E164" s="11" t="n"/>
      <c r="F164" s="11" t="n"/>
      <c r="G164" s="12">
        <f>IF(E164="","",E164-F164)</f>
        <v/>
      </c>
      <c r="H164" s="16">
        <f>IF(OR(G164="",G164&lt;=0),"",MAX(0,$B$5-D164))</f>
        <v/>
      </c>
      <c r="I164" s="16">
        <f>IF(G164="","",IF(G164&lt;=0,"Kapandı",IF(H164=0,"Vadesi gelmedi",IF(H164&lt;=30,"1-30",IF(H164&lt;=60,"31-60",IF(H164&lt;=90,"61-90","90+"))))))</f>
        <v/>
      </c>
      <c r="J164" s="10" t="n"/>
      <c r="K164" s="14" t="n"/>
      <c r="L164" s="10" t="n"/>
    </row>
    <row r="165">
      <c r="A165" s="10" t="n"/>
      <c r="B165" s="10" t="n"/>
      <c r="C165" s="14" t="n"/>
      <c r="D165" s="14" t="n"/>
      <c r="E165" s="11" t="n"/>
      <c r="F165" s="11" t="n"/>
      <c r="G165" s="12">
        <f>IF(E165="","",E165-F165)</f>
        <v/>
      </c>
      <c r="H165" s="16">
        <f>IF(OR(G165="",G165&lt;=0),"",MAX(0,$B$5-D165))</f>
        <v/>
      </c>
      <c r="I165" s="16">
        <f>IF(G165="","",IF(G165&lt;=0,"Kapandı",IF(H165=0,"Vadesi gelmedi",IF(H165&lt;=30,"1-30",IF(H165&lt;=60,"31-60",IF(H165&lt;=90,"61-90","90+"))))))</f>
        <v/>
      </c>
      <c r="J165" s="10" t="n"/>
      <c r="K165" s="14" t="n"/>
      <c r="L165" s="10" t="n"/>
    </row>
    <row r="166">
      <c r="A166" s="10" t="n"/>
      <c r="B166" s="10" t="n"/>
      <c r="C166" s="14" t="n"/>
      <c r="D166" s="14" t="n"/>
      <c r="E166" s="11" t="n"/>
      <c r="F166" s="11" t="n"/>
      <c r="G166" s="12">
        <f>IF(E166="","",E166-F166)</f>
        <v/>
      </c>
      <c r="H166" s="16">
        <f>IF(OR(G166="",G166&lt;=0),"",MAX(0,$B$5-D166))</f>
        <v/>
      </c>
      <c r="I166" s="16">
        <f>IF(G166="","",IF(G166&lt;=0,"Kapandı",IF(H166=0,"Vadesi gelmedi",IF(H166&lt;=30,"1-30",IF(H166&lt;=60,"31-60",IF(H166&lt;=90,"61-90","90+"))))))</f>
        <v/>
      </c>
      <c r="J166" s="10" t="n"/>
      <c r="K166" s="14" t="n"/>
      <c r="L166" s="10" t="n"/>
    </row>
    <row r="167">
      <c r="A167" s="10" t="n"/>
      <c r="B167" s="10" t="n"/>
      <c r="C167" s="14" t="n"/>
      <c r="D167" s="14" t="n"/>
      <c r="E167" s="11" t="n"/>
      <c r="F167" s="11" t="n"/>
      <c r="G167" s="12">
        <f>IF(E167="","",E167-F167)</f>
        <v/>
      </c>
      <c r="H167" s="16">
        <f>IF(OR(G167="",G167&lt;=0),"",MAX(0,$B$5-D167))</f>
        <v/>
      </c>
      <c r="I167" s="16">
        <f>IF(G167="","",IF(G167&lt;=0,"Kapandı",IF(H167=0,"Vadesi gelmedi",IF(H167&lt;=30,"1-30",IF(H167&lt;=60,"31-60",IF(H167&lt;=90,"61-90","90+"))))))</f>
        <v/>
      </c>
      <c r="J167" s="10" t="n"/>
      <c r="K167" s="14" t="n"/>
      <c r="L167" s="10" t="n"/>
    </row>
    <row r="168">
      <c r="A168" s="10" t="n"/>
      <c r="B168" s="10" t="n"/>
      <c r="C168" s="14" t="n"/>
      <c r="D168" s="14" t="n"/>
      <c r="E168" s="11" t="n"/>
      <c r="F168" s="11" t="n"/>
      <c r="G168" s="12">
        <f>IF(E168="","",E168-F168)</f>
        <v/>
      </c>
      <c r="H168" s="16">
        <f>IF(OR(G168="",G168&lt;=0),"",MAX(0,$B$5-D168))</f>
        <v/>
      </c>
      <c r="I168" s="16">
        <f>IF(G168="","",IF(G168&lt;=0,"Kapandı",IF(H168=0,"Vadesi gelmedi",IF(H168&lt;=30,"1-30",IF(H168&lt;=60,"31-60",IF(H168&lt;=90,"61-90","90+"))))))</f>
        <v/>
      </c>
      <c r="J168" s="10" t="n"/>
      <c r="K168" s="14" t="n"/>
      <c r="L168" s="10" t="n"/>
    </row>
    <row r="169">
      <c r="A169" s="10" t="n"/>
      <c r="B169" s="10" t="n"/>
      <c r="C169" s="14" t="n"/>
      <c r="D169" s="14" t="n"/>
      <c r="E169" s="11" t="n"/>
      <c r="F169" s="11" t="n"/>
      <c r="G169" s="12">
        <f>IF(E169="","",E169-F169)</f>
        <v/>
      </c>
      <c r="H169" s="16">
        <f>IF(OR(G169="",G169&lt;=0),"",MAX(0,$B$5-D169))</f>
        <v/>
      </c>
      <c r="I169" s="16">
        <f>IF(G169="","",IF(G169&lt;=0,"Kapandı",IF(H169=0,"Vadesi gelmedi",IF(H169&lt;=30,"1-30",IF(H169&lt;=60,"31-60",IF(H169&lt;=90,"61-90","90+"))))))</f>
        <v/>
      </c>
      <c r="J169" s="10" t="n"/>
      <c r="K169" s="14" t="n"/>
      <c r="L169" s="10" t="n"/>
    </row>
    <row r="170">
      <c r="A170" s="10" t="n"/>
      <c r="B170" s="10" t="n"/>
      <c r="C170" s="14" t="n"/>
      <c r="D170" s="14" t="n"/>
      <c r="E170" s="11" t="n"/>
      <c r="F170" s="11" t="n"/>
      <c r="G170" s="12">
        <f>IF(E170="","",E170-F170)</f>
        <v/>
      </c>
      <c r="H170" s="16">
        <f>IF(OR(G170="",G170&lt;=0),"",MAX(0,$B$5-D170))</f>
        <v/>
      </c>
      <c r="I170" s="16">
        <f>IF(G170="","",IF(G170&lt;=0,"Kapandı",IF(H170=0,"Vadesi gelmedi",IF(H170&lt;=30,"1-30",IF(H170&lt;=60,"31-60",IF(H170&lt;=90,"61-90","90+"))))))</f>
        <v/>
      </c>
      <c r="J170" s="10" t="n"/>
      <c r="K170" s="14" t="n"/>
      <c r="L170" s="10" t="n"/>
    </row>
    <row r="171">
      <c r="A171" s="10" t="n"/>
      <c r="B171" s="10" t="n"/>
      <c r="C171" s="14" t="n"/>
      <c r="D171" s="14" t="n"/>
      <c r="E171" s="11" t="n"/>
      <c r="F171" s="11" t="n"/>
      <c r="G171" s="12">
        <f>IF(E171="","",E171-F171)</f>
        <v/>
      </c>
      <c r="H171" s="16">
        <f>IF(OR(G171="",G171&lt;=0),"",MAX(0,$B$5-D171))</f>
        <v/>
      </c>
      <c r="I171" s="16">
        <f>IF(G171="","",IF(G171&lt;=0,"Kapandı",IF(H171=0,"Vadesi gelmedi",IF(H171&lt;=30,"1-30",IF(H171&lt;=60,"31-60",IF(H171&lt;=90,"61-90","90+"))))))</f>
        <v/>
      </c>
      <c r="J171" s="10" t="n"/>
      <c r="K171" s="14" t="n"/>
      <c r="L171" s="10" t="n"/>
    </row>
    <row r="172">
      <c r="A172" s="10" t="n"/>
      <c r="B172" s="10" t="n"/>
      <c r="C172" s="14" t="n"/>
      <c r="D172" s="14" t="n"/>
      <c r="E172" s="11" t="n"/>
      <c r="F172" s="11" t="n"/>
      <c r="G172" s="12">
        <f>IF(E172="","",E172-F172)</f>
        <v/>
      </c>
      <c r="H172" s="16">
        <f>IF(OR(G172="",G172&lt;=0),"",MAX(0,$B$5-D172))</f>
        <v/>
      </c>
      <c r="I172" s="16">
        <f>IF(G172="","",IF(G172&lt;=0,"Kapandı",IF(H172=0,"Vadesi gelmedi",IF(H172&lt;=30,"1-30",IF(H172&lt;=60,"31-60",IF(H172&lt;=90,"61-90","90+"))))))</f>
        <v/>
      </c>
      <c r="J172" s="10" t="n"/>
      <c r="K172" s="14" t="n"/>
      <c r="L172" s="10" t="n"/>
    </row>
    <row r="173">
      <c r="A173" s="10" t="n"/>
      <c r="B173" s="10" t="n"/>
      <c r="C173" s="14" t="n"/>
      <c r="D173" s="14" t="n"/>
      <c r="E173" s="11" t="n"/>
      <c r="F173" s="11" t="n"/>
      <c r="G173" s="12">
        <f>IF(E173="","",E173-F173)</f>
        <v/>
      </c>
      <c r="H173" s="16">
        <f>IF(OR(G173="",G173&lt;=0),"",MAX(0,$B$5-D173))</f>
        <v/>
      </c>
      <c r="I173" s="16">
        <f>IF(G173="","",IF(G173&lt;=0,"Kapandı",IF(H173=0,"Vadesi gelmedi",IF(H173&lt;=30,"1-30",IF(H173&lt;=60,"31-60",IF(H173&lt;=90,"61-90","90+"))))))</f>
        <v/>
      </c>
      <c r="J173" s="10" t="n"/>
      <c r="K173" s="14" t="n"/>
      <c r="L173" s="10" t="n"/>
    </row>
    <row r="174">
      <c r="A174" s="10" t="n"/>
      <c r="B174" s="10" t="n"/>
      <c r="C174" s="14" t="n"/>
      <c r="D174" s="14" t="n"/>
      <c r="E174" s="11" t="n"/>
      <c r="F174" s="11" t="n"/>
      <c r="G174" s="12">
        <f>IF(E174="","",E174-F174)</f>
        <v/>
      </c>
      <c r="H174" s="16">
        <f>IF(OR(G174="",G174&lt;=0),"",MAX(0,$B$5-D174))</f>
        <v/>
      </c>
      <c r="I174" s="16">
        <f>IF(G174="","",IF(G174&lt;=0,"Kapandı",IF(H174=0,"Vadesi gelmedi",IF(H174&lt;=30,"1-30",IF(H174&lt;=60,"31-60",IF(H174&lt;=90,"61-90","90+"))))))</f>
        <v/>
      </c>
      <c r="J174" s="10" t="n"/>
      <c r="K174" s="14" t="n"/>
      <c r="L174" s="10" t="n"/>
    </row>
    <row r="175">
      <c r="A175" s="10" t="n"/>
      <c r="B175" s="10" t="n"/>
      <c r="C175" s="14" t="n"/>
      <c r="D175" s="14" t="n"/>
      <c r="E175" s="11" t="n"/>
      <c r="F175" s="11" t="n"/>
      <c r="G175" s="12">
        <f>IF(E175="","",E175-F175)</f>
        <v/>
      </c>
      <c r="H175" s="16">
        <f>IF(OR(G175="",G175&lt;=0),"",MAX(0,$B$5-D175))</f>
        <v/>
      </c>
      <c r="I175" s="16">
        <f>IF(G175="","",IF(G175&lt;=0,"Kapandı",IF(H175=0,"Vadesi gelmedi",IF(H175&lt;=30,"1-30",IF(H175&lt;=60,"31-60",IF(H175&lt;=90,"61-90","90+"))))))</f>
        <v/>
      </c>
      <c r="J175" s="10" t="n"/>
      <c r="K175" s="14" t="n"/>
      <c r="L175" s="10" t="n"/>
    </row>
    <row r="176">
      <c r="A176" s="10" t="n"/>
      <c r="B176" s="10" t="n"/>
      <c r="C176" s="14" t="n"/>
      <c r="D176" s="14" t="n"/>
      <c r="E176" s="11" t="n"/>
      <c r="F176" s="11" t="n"/>
      <c r="G176" s="12">
        <f>IF(E176="","",E176-F176)</f>
        <v/>
      </c>
      <c r="H176" s="16">
        <f>IF(OR(G176="",G176&lt;=0),"",MAX(0,$B$5-D176))</f>
        <v/>
      </c>
      <c r="I176" s="16">
        <f>IF(G176="","",IF(G176&lt;=0,"Kapandı",IF(H176=0,"Vadesi gelmedi",IF(H176&lt;=30,"1-30",IF(H176&lt;=60,"31-60",IF(H176&lt;=90,"61-90","90+"))))))</f>
        <v/>
      </c>
      <c r="J176" s="10" t="n"/>
      <c r="K176" s="14" t="n"/>
      <c r="L176" s="10" t="n"/>
    </row>
    <row r="177">
      <c r="A177" s="10" t="n"/>
      <c r="B177" s="10" t="n"/>
      <c r="C177" s="14" t="n"/>
      <c r="D177" s="14" t="n"/>
      <c r="E177" s="11" t="n"/>
      <c r="F177" s="11" t="n"/>
      <c r="G177" s="12">
        <f>IF(E177="","",E177-F177)</f>
        <v/>
      </c>
      <c r="H177" s="16">
        <f>IF(OR(G177="",G177&lt;=0),"",MAX(0,$B$5-D177))</f>
        <v/>
      </c>
      <c r="I177" s="16">
        <f>IF(G177="","",IF(G177&lt;=0,"Kapandı",IF(H177=0,"Vadesi gelmedi",IF(H177&lt;=30,"1-30",IF(H177&lt;=60,"31-60",IF(H177&lt;=90,"61-90","90+"))))))</f>
        <v/>
      </c>
      <c r="J177" s="10" t="n"/>
      <c r="K177" s="14" t="n"/>
      <c r="L177" s="10" t="n"/>
    </row>
    <row r="178">
      <c r="A178" s="10" t="n"/>
      <c r="B178" s="10" t="n"/>
      <c r="C178" s="14" t="n"/>
      <c r="D178" s="14" t="n"/>
      <c r="E178" s="11" t="n"/>
      <c r="F178" s="11" t="n"/>
      <c r="G178" s="12">
        <f>IF(E178="","",E178-F178)</f>
        <v/>
      </c>
      <c r="H178" s="16">
        <f>IF(OR(G178="",G178&lt;=0),"",MAX(0,$B$5-D178))</f>
        <v/>
      </c>
      <c r="I178" s="16">
        <f>IF(G178="","",IF(G178&lt;=0,"Kapandı",IF(H178=0,"Vadesi gelmedi",IF(H178&lt;=30,"1-30",IF(H178&lt;=60,"31-60",IF(H178&lt;=90,"61-90","90+"))))))</f>
        <v/>
      </c>
      <c r="J178" s="10" t="n"/>
      <c r="K178" s="14" t="n"/>
      <c r="L178" s="10" t="n"/>
    </row>
    <row r="179">
      <c r="A179" s="10" t="n"/>
      <c r="B179" s="10" t="n"/>
      <c r="C179" s="14" t="n"/>
      <c r="D179" s="14" t="n"/>
      <c r="E179" s="11" t="n"/>
      <c r="F179" s="11" t="n"/>
      <c r="G179" s="12">
        <f>IF(E179="","",E179-F179)</f>
        <v/>
      </c>
      <c r="H179" s="16">
        <f>IF(OR(G179="",G179&lt;=0),"",MAX(0,$B$5-D179))</f>
        <v/>
      </c>
      <c r="I179" s="16">
        <f>IF(G179="","",IF(G179&lt;=0,"Kapandı",IF(H179=0,"Vadesi gelmedi",IF(H179&lt;=30,"1-30",IF(H179&lt;=60,"31-60",IF(H179&lt;=90,"61-90","90+"))))))</f>
        <v/>
      </c>
      <c r="J179" s="10" t="n"/>
      <c r="K179" s="14" t="n"/>
      <c r="L179" s="10" t="n"/>
    </row>
    <row r="180">
      <c r="A180" s="10" t="n"/>
      <c r="B180" s="10" t="n"/>
      <c r="C180" s="14" t="n"/>
      <c r="D180" s="14" t="n"/>
      <c r="E180" s="11" t="n"/>
      <c r="F180" s="11" t="n"/>
      <c r="G180" s="12">
        <f>IF(E180="","",E180-F180)</f>
        <v/>
      </c>
      <c r="H180" s="16">
        <f>IF(OR(G180="",G180&lt;=0),"",MAX(0,$B$5-D180))</f>
        <v/>
      </c>
      <c r="I180" s="16">
        <f>IF(G180="","",IF(G180&lt;=0,"Kapandı",IF(H180=0,"Vadesi gelmedi",IF(H180&lt;=30,"1-30",IF(H180&lt;=60,"31-60",IF(H180&lt;=90,"61-90","90+"))))))</f>
        <v/>
      </c>
      <c r="J180" s="10" t="n"/>
      <c r="K180" s="14" t="n"/>
      <c r="L180" s="10" t="n"/>
    </row>
    <row r="181">
      <c r="A181" s="10" t="n"/>
      <c r="B181" s="10" t="n"/>
      <c r="C181" s="14" t="n"/>
      <c r="D181" s="14" t="n"/>
      <c r="E181" s="11" t="n"/>
      <c r="F181" s="11" t="n"/>
      <c r="G181" s="12">
        <f>IF(E181="","",E181-F181)</f>
        <v/>
      </c>
      <c r="H181" s="16">
        <f>IF(OR(G181="",G181&lt;=0),"",MAX(0,$B$5-D181))</f>
        <v/>
      </c>
      <c r="I181" s="16">
        <f>IF(G181="","",IF(G181&lt;=0,"Kapandı",IF(H181=0,"Vadesi gelmedi",IF(H181&lt;=30,"1-30",IF(H181&lt;=60,"31-60",IF(H181&lt;=90,"61-90","90+"))))))</f>
        <v/>
      </c>
      <c r="J181" s="10" t="n"/>
      <c r="K181" s="14" t="n"/>
      <c r="L181" s="10" t="n"/>
    </row>
    <row r="182">
      <c r="A182" s="10" t="n"/>
      <c r="B182" s="10" t="n"/>
      <c r="C182" s="14" t="n"/>
      <c r="D182" s="14" t="n"/>
      <c r="E182" s="11" t="n"/>
      <c r="F182" s="11" t="n"/>
      <c r="G182" s="12">
        <f>IF(E182="","",E182-F182)</f>
        <v/>
      </c>
      <c r="H182" s="16">
        <f>IF(OR(G182="",G182&lt;=0),"",MAX(0,$B$5-D182))</f>
        <v/>
      </c>
      <c r="I182" s="16">
        <f>IF(G182="","",IF(G182&lt;=0,"Kapandı",IF(H182=0,"Vadesi gelmedi",IF(H182&lt;=30,"1-30",IF(H182&lt;=60,"31-60",IF(H182&lt;=90,"61-90","90+"))))))</f>
        <v/>
      </c>
      <c r="J182" s="10" t="n"/>
      <c r="K182" s="14" t="n"/>
      <c r="L182" s="10" t="n"/>
    </row>
    <row r="183">
      <c r="A183" s="10" t="n"/>
      <c r="B183" s="10" t="n"/>
      <c r="C183" s="14" t="n"/>
      <c r="D183" s="14" t="n"/>
      <c r="E183" s="11" t="n"/>
      <c r="F183" s="11" t="n"/>
      <c r="G183" s="12">
        <f>IF(E183="","",E183-F183)</f>
        <v/>
      </c>
      <c r="H183" s="16">
        <f>IF(OR(G183="",G183&lt;=0),"",MAX(0,$B$5-D183))</f>
        <v/>
      </c>
      <c r="I183" s="16">
        <f>IF(G183="","",IF(G183&lt;=0,"Kapandı",IF(H183=0,"Vadesi gelmedi",IF(H183&lt;=30,"1-30",IF(H183&lt;=60,"31-60",IF(H183&lt;=90,"61-90","90+"))))))</f>
        <v/>
      </c>
      <c r="J183" s="10" t="n"/>
      <c r="K183" s="14" t="n"/>
      <c r="L183" s="10" t="n"/>
    </row>
    <row r="184">
      <c r="A184" s="10" t="n"/>
      <c r="B184" s="10" t="n"/>
      <c r="C184" s="14" t="n"/>
      <c r="D184" s="14" t="n"/>
      <c r="E184" s="11" t="n"/>
      <c r="F184" s="11" t="n"/>
      <c r="G184" s="12">
        <f>IF(E184="","",E184-F184)</f>
        <v/>
      </c>
      <c r="H184" s="16">
        <f>IF(OR(G184="",G184&lt;=0),"",MAX(0,$B$5-D184))</f>
        <v/>
      </c>
      <c r="I184" s="16">
        <f>IF(G184="","",IF(G184&lt;=0,"Kapandı",IF(H184=0,"Vadesi gelmedi",IF(H184&lt;=30,"1-30",IF(H184&lt;=60,"31-60",IF(H184&lt;=90,"61-90","90+"))))))</f>
        <v/>
      </c>
      <c r="J184" s="10" t="n"/>
      <c r="K184" s="14" t="n"/>
      <c r="L184" s="10" t="n"/>
    </row>
    <row r="185">
      <c r="A185" s="10" t="n"/>
      <c r="B185" s="10" t="n"/>
      <c r="C185" s="14" t="n"/>
      <c r="D185" s="14" t="n"/>
      <c r="E185" s="11" t="n"/>
      <c r="F185" s="11" t="n"/>
      <c r="G185" s="12">
        <f>IF(E185="","",E185-F185)</f>
        <v/>
      </c>
      <c r="H185" s="16">
        <f>IF(OR(G185="",G185&lt;=0),"",MAX(0,$B$5-D185))</f>
        <v/>
      </c>
      <c r="I185" s="16">
        <f>IF(G185="","",IF(G185&lt;=0,"Kapandı",IF(H185=0,"Vadesi gelmedi",IF(H185&lt;=30,"1-30",IF(H185&lt;=60,"31-60",IF(H185&lt;=90,"61-90","90+"))))))</f>
        <v/>
      </c>
      <c r="J185" s="10" t="n"/>
      <c r="K185" s="14" t="n"/>
      <c r="L185" s="10" t="n"/>
    </row>
    <row r="186">
      <c r="A186" s="10" t="n"/>
      <c r="B186" s="10" t="n"/>
      <c r="C186" s="14" t="n"/>
      <c r="D186" s="14" t="n"/>
      <c r="E186" s="11" t="n"/>
      <c r="F186" s="11" t="n"/>
      <c r="G186" s="12">
        <f>IF(E186="","",E186-F186)</f>
        <v/>
      </c>
      <c r="H186" s="16">
        <f>IF(OR(G186="",G186&lt;=0),"",MAX(0,$B$5-D186))</f>
        <v/>
      </c>
      <c r="I186" s="16">
        <f>IF(G186="","",IF(G186&lt;=0,"Kapandı",IF(H186=0,"Vadesi gelmedi",IF(H186&lt;=30,"1-30",IF(H186&lt;=60,"31-60",IF(H186&lt;=90,"61-90","90+"))))))</f>
        <v/>
      </c>
      <c r="J186" s="10" t="n"/>
      <c r="K186" s="14" t="n"/>
      <c r="L186" s="10" t="n"/>
    </row>
    <row r="187">
      <c r="A187" s="10" t="n"/>
      <c r="B187" s="10" t="n"/>
      <c r="C187" s="14" t="n"/>
      <c r="D187" s="14" t="n"/>
      <c r="E187" s="11" t="n"/>
      <c r="F187" s="11" t="n"/>
      <c r="G187" s="12">
        <f>IF(E187="","",E187-F187)</f>
        <v/>
      </c>
      <c r="H187" s="16">
        <f>IF(OR(G187="",G187&lt;=0),"",MAX(0,$B$5-D187))</f>
        <v/>
      </c>
      <c r="I187" s="16">
        <f>IF(G187="","",IF(G187&lt;=0,"Kapandı",IF(H187=0,"Vadesi gelmedi",IF(H187&lt;=30,"1-30",IF(H187&lt;=60,"31-60",IF(H187&lt;=90,"61-90","90+"))))))</f>
        <v/>
      </c>
      <c r="J187" s="10" t="n"/>
      <c r="K187" s="14" t="n"/>
      <c r="L187" s="10" t="n"/>
    </row>
    <row r="188">
      <c r="A188" s="10" t="n"/>
      <c r="B188" s="10" t="n"/>
      <c r="C188" s="14" t="n"/>
      <c r="D188" s="14" t="n"/>
      <c r="E188" s="11" t="n"/>
      <c r="F188" s="11" t="n"/>
      <c r="G188" s="12">
        <f>IF(E188="","",E188-F188)</f>
        <v/>
      </c>
      <c r="H188" s="16">
        <f>IF(OR(G188="",G188&lt;=0),"",MAX(0,$B$5-D188))</f>
        <v/>
      </c>
      <c r="I188" s="16">
        <f>IF(G188="","",IF(G188&lt;=0,"Kapandı",IF(H188=0,"Vadesi gelmedi",IF(H188&lt;=30,"1-30",IF(H188&lt;=60,"31-60",IF(H188&lt;=90,"61-90","90+"))))))</f>
        <v/>
      </c>
      <c r="J188" s="10" t="n"/>
      <c r="K188" s="14" t="n"/>
      <c r="L188" s="10" t="n"/>
    </row>
    <row r="189">
      <c r="A189" s="10" t="n"/>
      <c r="B189" s="10" t="n"/>
      <c r="C189" s="14" t="n"/>
      <c r="D189" s="14" t="n"/>
      <c r="E189" s="11" t="n"/>
      <c r="F189" s="11" t="n"/>
      <c r="G189" s="12">
        <f>IF(E189="","",E189-F189)</f>
        <v/>
      </c>
      <c r="H189" s="16">
        <f>IF(OR(G189="",G189&lt;=0),"",MAX(0,$B$5-D189))</f>
        <v/>
      </c>
      <c r="I189" s="16">
        <f>IF(G189="","",IF(G189&lt;=0,"Kapandı",IF(H189=0,"Vadesi gelmedi",IF(H189&lt;=30,"1-30",IF(H189&lt;=60,"31-60",IF(H189&lt;=90,"61-90","90+"))))))</f>
        <v/>
      </c>
      <c r="J189" s="10" t="n"/>
      <c r="K189" s="14" t="n"/>
      <c r="L189" s="10" t="n"/>
    </row>
    <row r="190">
      <c r="A190" s="10" t="n"/>
      <c r="B190" s="10" t="n"/>
      <c r="C190" s="14" t="n"/>
      <c r="D190" s="14" t="n"/>
      <c r="E190" s="11" t="n"/>
      <c r="F190" s="11" t="n"/>
      <c r="G190" s="12">
        <f>IF(E190="","",E190-F190)</f>
        <v/>
      </c>
      <c r="H190" s="16">
        <f>IF(OR(G190="",G190&lt;=0),"",MAX(0,$B$5-D190))</f>
        <v/>
      </c>
      <c r="I190" s="16">
        <f>IF(G190="","",IF(G190&lt;=0,"Kapandı",IF(H190=0,"Vadesi gelmedi",IF(H190&lt;=30,"1-30",IF(H190&lt;=60,"31-60",IF(H190&lt;=90,"61-90","90+"))))))</f>
        <v/>
      </c>
      <c r="J190" s="10" t="n"/>
      <c r="K190" s="14" t="n"/>
      <c r="L190" s="10" t="n"/>
    </row>
    <row r="191">
      <c r="A191" s="10" t="n"/>
      <c r="B191" s="10" t="n"/>
      <c r="C191" s="14" t="n"/>
      <c r="D191" s="14" t="n"/>
      <c r="E191" s="11" t="n"/>
      <c r="F191" s="11" t="n"/>
      <c r="G191" s="12">
        <f>IF(E191="","",E191-F191)</f>
        <v/>
      </c>
      <c r="H191" s="16">
        <f>IF(OR(G191="",G191&lt;=0),"",MAX(0,$B$5-D191))</f>
        <v/>
      </c>
      <c r="I191" s="16">
        <f>IF(G191="","",IF(G191&lt;=0,"Kapandı",IF(H191=0,"Vadesi gelmedi",IF(H191&lt;=30,"1-30",IF(H191&lt;=60,"31-60",IF(H191&lt;=90,"61-90","90+"))))))</f>
        <v/>
      </c>
      <c r="J191" s="10" t="n"/>
      <c r="K191" s="14" t="n"/>
      <c r="L191" s="10" t="n"/>
    </row>
    <row r="192">
      <c r="A192" s="10" t="n"/>
      <c r="B192" s="10" t="n"/>
      <c r="C192" s="14" t="n"/>
      <c r="D192" s="14" t="n"/>
      <c r="E192" s="11" t="n"/>
      <c r="F192" s="11" t="n"/>
      <c r="G192" s="12">
        <f>IF(E192="","",E192-F192)</f>
        <v/>
      </c>
      <c r="H192" s="16">
        <f>IF(OR(G192="",G192&lt;=0),"",MAX(0,$B$5-D192))</f>
        <v/>
      </c>
      <c r="I192" s="16">
        <f>IF(G192="","",IF(G192&lt;=0,"Kapandı",IF(H192=0,"Vadesi gelmedi",IF(H192&lt;=30,"1-30",IF(H192&lt;=60,"31-60",IF(H192&lt;=90,"61-90","90+"))))))</f>
        <v/>
      </c>
      <c r="J192" s="10" t="n"/>
      <c r="K192" s="14" t="n"/>
      <c r="L192" s="10" t="n"/>
    </row>
    <row r="193">
      <c r="A193" s="10" t="n"/>
      <c r="B193" s="10" t="n"/>
      <c r="C193" s="14" t="n"/>
      <c r="D193" s="14" t="n"/>
      <c r="E193" s="11" t="n"/>
      <c r="F193" s="11" t="n"/>
      <c r="G193" s="12">
        <f>IF(E193="","",E193-F193)</f>
        <v/>
      </c>
      <c r="H193" s="16">
        <f>IF(OR(G193="",G193&lt;=0),"",MAX(0,$B$5-D193))</f>
        <v/>
      </c>
      <c r="I193" s="16">
        <f>IF(G193="","",IF(G193&lt;=0,"Kapandı",IF(H193=0,"Vadesi gelmedi",IF(H193&lt;=30,"1-30",IF(H193&lt;=60,"31-60",IF(H193&lt;=90,"61-90","90+"))))))</f>
        <v/>
      </c>
      <c r="J193" s="10" t="n"/>
      <c r="K193" s="14" t="n"/>
      <c r="L193" s="10" t="n"/>
    </row>
    <row r="194">
      <c r="A194" s="10" t="n"/>
      <c r="B194" s="10" t="n"/>
      <c r="C194" s="14" t="n"/>
      <c r="D194" s="14" t="n"/>
      <c r="E194" s="11" t="n"/>
      <c r="F194" s="11" t="n"/>
      <c r="G194" s="12">
        <f>IF(E194="","",E194-F194)</f>
        <v/>
      </c>
      <c r="H194" s="16">
        <f>IF(OR(G194="",G194&lt;=0),"",MAX(0,$B$5-D194))</f>
        <v/>
      </c>
      <c r="I194" s="16">
        <f>IF(G194="","",IF(G194&lt;=0,"Kapandı",IF(H194=0,"Vadesi gelmedi",IF(H194&lt;=30,"1-30",IF(H194&lt;=60,"31-60",IF(H194&lt;=90,"61-90","90+"))))))</f>
        <v/>
      </c>
      <c r="J194" s="10" t="n"/>
      <c r="K194" s="14" t="n"/>
      <c r="L194" s="10" t="n"/>
    </row>
    <row r="195">
      <c r="A195" s="10" t="n"/>
      <c r="B195" s="10" t="n"/>
      <c r="C195" s="14" t="n"/>
      <c r="D195" s="14" t="n"/>
      <c r="E195" s="11" t="n"/>
      <c r="F195" s="11" t="n"/>
      <c r="G195" s="12">
        <f>IF(E195="","",E195-F195)</f>
        <v/>
      </c>
      <c r="H195" s="16">
        <f>IF(OR(G195="",G195&lt;=0),"",MAX(0,$B$5-D195))</f>
        <v/>
      </c>
      <c r="I195" s="16">
        <f>IF(G195="","",IF(G195&lt;=0,"Kapandı",IF(H195=0,"Vadesi gelmedi",IF(H195&lt;=30,"1-30",IF(H195&lt;=60,"31-60",IF(H195&lt;=90,"61-90","90+"))))))</f>
        <v/>
      </c>
      <c r="J195" s="10" t="n"/>
      <c r="K195" s="14" t="n"/>
      <c r="L195" s="10" t="n"/>
    </row>
    <row r="196">
      <c r="A196" s="10" t="n"/>
      <c r="B196" s="10" t="n"/>
      <c r="C196" s="14" t="n"/>
      <c r="D196" s="14" t="n"/>
      <c r="E196" s="11" t="n"/>
      <c r="F196" s="11" t="n"/>
      <c r="G196" s="12">
        <f>IF(E196="","",E196-F196)</f>
        <v/>
      </c>
      <c r="H196" s="16">
        <f>IF(OR(G196="",G196&lt;=0),"",MAX(0,$B$5-D196))</f>
        <v/>
      </c>
      <c r="I196" s="16">
        <f>IF(G196="","",IF(G196&lt;=0,"Kapandı",IF(H196=0,"Vadesi gelmedi",IF(H196&lt;=30,"1-30",IF(H196&lt;=60,"31-60",IF(H196&lt;=90,"61-90","90+"))))))</f>
        <v/>
      </c>
      <c r="J196" s="10" t="n"/>
      <c r="K196" s="14" t="n"/>
      <c r="L196" s="10" t="n"/>
    </row>
    <row r="197">
      <c r="A197" s="10" t="n"/>
      <c r="B197" s="10" t="n"/>
      <c r="C197" s="14" t="n"/>
      <c r="D197" s="14" t="n"/>
      <c r="E197" s="11" t="n"/>
      <c r="F197" s="11" t="n"/>
      <c r="G197" s="12">
        <f>IF(E197="","",E197-F197)</f>
        <v/>
      </c>
      <c r="H197" s="16">
        <f>IF(OR(G197="",G197&lt;=0),"",MAX(0,$B$5-D197))</f>
        <v/>
      </c>
      <c r="I197" s="16">
        <f>IF(G197="","",IF(G197&lt;=0,"Kapandı",IF(H197=0,"Vadesi gelmedi",IF(H197&lt;=30,"1-30",IF(H197&lt;=60,"31-60",IF(H197&lt;=90,"61-90","90+"))))))</f>
        <v/>
      </c>
      <c r="J197" s="10" t="n"/>
      <c r="K197" s="14" t="n"/>
      <c r="L197" s="10" t="n"/>
    </row>
    <row r="198">
      <c r="A198" s="10" t="n"/>
      <c r="B198" s="10" t="n"/>
      <c r="C198" s="14" t="n"/>
      <c r="D198" s="14" t="n"/>
      <c r="E198" s="11" t="n"/>
      <c r="F198" s="11" t="n"/>
      <c r="G198" s="12">
        <f>IF(E198="","",E198-F198)</f>
        <v/>
      </c>
      <c r="H198" s="16">
        <f>IF(OR(G198="",G198&lt;=0),"",MAX(0,$B$5-D198))</f>
        <v/>
      </c>
      <c r="I198" s="16">
        <f>IF(G198="","",IF(G198&lt;=0,"Kapandı",IF(H198=0,"Vadesi gelmedi",IF(H198&lt;=30,"1-30",IF(H198&lt;=60,"31-60",IF(H198&lt;=90,"61-90","90+"))))))</f>
        <v/>
      </c>
      <c r="J198" s="10" t="n"/>
      <c r="K198" s="14" t="n"/>
      <c r="L198" s="10" t="n"/>
    </row>
    <row r="199">
      <c r="A199" s="10" t="n"/>
      <c r="B199" s="10" t="n"/>
      <c r="C199" s="14" t="n"/>
      <c r="D199" s="14" t="n"/>
      <c r="E199" s="11" t="n"/>
      <c r="F199" s="11" t="n"/>
      <c r="G199" s="12">
        <f>IF(E199="","",E199-F199)</f>
        <v/>
      </c>
      <c r="H199" s="16">
        <f>IF(OR(G199="",G199&lt;=0),"",MAX(0,$B$5-D199))</f>
        <v/>
      </c>
      <c r="I199" s="16">
        <f>IF(G199="","",IF(G199&lt;=0,"Kapandı",IF(H199=0,"Vadesi gelmedi",IF(H199&lt;=30,"1-30",IF(H199&lt;=60,"31-60",IF(H199&lt;=90,"61-90","90+"))))))</f>
        <v/>
      </c>
      <c r="J199" s="10" t="n"/>
      <c r="K199" s="14" t="n"/>
      <c r="L199" s="10" t="n"/>
    </row>
    <row r="200">
      <c r="A200" s="10" t="n"/>
      <c r="B200" s="10" t="n"/>
      <c r="C200" s="14" t="n"/>
      <c r="D200" s="14" t="n"/>
      <c r="E200" s="11" t="n"/>
      <c r="F200" s="11" t="n"/>
      <c r="G200" s="12">
        <f>IF(E200="","",E200-F200)</f>
        <v/>
      </c>
      <c r="H200" s="16">
        <f>IF(OR(G200="",G200&lt;=0),"",MAX(0,$B$5-D200))</f>
        <v/>
      </c>
      <c r="I200" s="16">
        <f>IF(G200="","",IF(G200&lt;=0,"Kapandı",IF(H200=0,"Vadesi gelmedi",IF(H200&lt;=30,"1-30",IF(H200&lt;=60,"31-60",IF(H200&lt;=90,"61-90","90+"))))))</f>
        <v/>
      </c>
      <c r="J200" s="10" t="n"/>
      <c r="K200" s="14" t="n"/>
      <c r="L200" s="10" t="n"/>
    </row>
    <row r="201">
      <c r="A201" s="10" t="n"/>
      <c r="B201" s="10" t="n"/>
      <c r="C201" s="14" t="n"/>
      <c r="D201" s="14" t="n"/>
      <c r="E201" s="11" t="n"/>
      <c r="F201" s="11" t="n"/>
      <c r="G201" s="12">
        <f>IF(E201="","",E201-F201)</f>
        <v/>
      </c>
      <c r="H201" s="16">
        <f>IF(OR(G201="",G201&lt;=0),"",MAX(0,$B$5-D201))</f>
        <v/>
      </c>
      <c r="I201" s="16">
        <f>IF(G201="","",IF(G201&lt;=0,"Kapandı",IF(H201=0,"Vadesi gelmedi",IF(H201&lt;=30,"1-30",IF(H201&lt;=60,"31-60",IF(H201&lt;=90,"61-90","90+"))))))</f>
        <v/>
      </c>
      <c r="J201" s="10" t="n"/>
      <c r="K201" s="14" t="n"/>
      <c r="L201" s="10" t="n"/>
    </row>
    <row r="202">
      <c r="A202" s="10" t="n"/>
      <c r="B202" s="10" t="n"/>
      <c r="C202" s="14" t="n"/>
      <c r="D202" s="14" t="n"/>
      <c r="E202" s="11" t="n"/>
      <c r="F202" s="11" t="n"/>
      <c r="G202" s="12">
        <f>IF(E202="","",E202-F202)</f>
        <v/>
      </c>
      <c r="H202" s="16">
        <f>IF(OR(G202="",G202&lt;=0),"",MAX(0,$B$5-D202))</f>
        <v/>
      </c>
      <c r="I202" s="16">
        <f>IF(G202="","",IF(G202&lt;=0,"Kapandı",IF(H202=0,"Vadesi gelmedi",IF(H202&lt;=30,"1-30",IF(H202&lt;=60,"31-60",IF(H202&lt;=90,"61-90","90+"))))))</f>
        <v/>
      </c>
      <c r="J202" s="10" t="n"/>
      <c r="K202" s="14" t="n"/>
      <c r="L202" s="10" t="n"/>
    </row>
    <row r="203">
      <c r="A203" s="10" t="n"/>
      <c r="B203" s="10" t="n"/>
      <c r="C203" s="14" t="n"/>
      <c r="D203" s="14" t="n"/>
      <c r="E203" s="11" t="n"/>
      <c r="F203" s="11" t="n"/>
      <c r="G203" s="12">
        <f>IF(E203="","",E203-F203)</f>
        <v/>
      </c>
      <c r="H203" s="16">
        <f>IF(OR(G203="",G203&lt;=0),"",MAX(0,$B$5-D203))</f>
        <v/>
      </c>
      <c r="I203" s="16">
        <f>IF(G203="","",IF(G203&lt;=0,"Kapandı",IF(H203=0,"Vadesi gelmedi",IF(H203&lt;=30,"1-30",IF(H203&lt;=60,"31-60",IF(H203&lt;=90,"61-90","90+"))))))</f>
        <v/>
      </c>
      <c r="J203" s="10" t="n"/>
      <c r="K203" s="14" t="n"/>
      <c r="L203" s="10" t="n"/>
    </row>
    <row r="204">
      <c r="A204" s="10" t="n"/>
      <c r="B204" s="10" t="n"/>
      <c r="C204" s="14" t="n"/>
      <c r="D204" s="14" t="n"/>
      <c r="E204" s="11" t="n"/>
      <c r="F204" s="11" t="n"/>
      <c r="G204" s="12">
        <f>IF(E204="","",E204-F204)</f>
        <v/>
      </c>
      <c r="H204" s="16">
        <f>IF(OR(G204="",G204&lt;=0),"",MAX(0,$B$5-D204))</f>
        <v/>
      </c>
      <c r="I204" s="16">
        <f>IF(G204="","",IF(G204&lt;=0,"Kapandı",IF(H204=0,"Vadesi gelmedi",IF(H204&lt;=30,"1-30",IF(H204&lt;=60,"31-60",IF(H204&lt;=90,"61-90","90+"))))))</f>
        <v/>
      </c>
      <c r="J204" s="10" t="n"/>
      <c r="K204" s="14" t="n"/>
      <c r="L204" s="10" t="n"/>
    </row>
    <row r="205">
      <c r="A205" s="10" t="n"/>
      <c r="B205" s="10" t="n"/>
      <c r="C205" s="14" t="n"/>
      <c r="D205" s="14" t="n"/>
      <c r="E205" s="11" t="n"/>
      <c r="F205" s="11" t="n"/>
      <c r="G205" s="12">
        <f>IF(E205="","",E205-F205)</f>
        <v/>
      </c>
      <c r="H205" s="16">
        <f>IF(OR(G205="",G205&lt;=0),"",MAX(0,$B$5-D205))</f>
        <v/>
      </c>
      <c r="I205" s="16">
        <f>IF(G205="","",IF(G205&lt;=0,"Kapandı",IF(H205=0,"Vadesi gelmedi",IF(H205&lt;=30,"1-30",IF(H205&lt;=60,"31-60",IF(H205&lt;=90,"61-90","90+"))))))</f>
        <v/>
      </c>
      <c r="J205" s="10" t="n"/>
      <c r="K205" s="14" t="n"/>
      <c r="L205" s="10" t="n"/>
    </row>
    <row r="206">
      <c r="A206" s="10" t="n"/>
      <c r="B206" s="10" t="n"/>
      <c r="C206" s="14" t="n"/>
      <c r="D206" s="14" t="n"/>
      <c r="E206" s="11" t="n"/>
      <c r="F206" s="11" t="n"/>
      <c r="G206" s="12">
        <f>IF(E206="","",E206-F206)</f>
        <v/>
      </c>
      <c r="H206" s="16">
        <f>IF(OR(G206="",G206&lt;=0),"",MAX(0,$B$5-D206))</f>
        <v/>
      </c>
      <c r="I206" s="16">
        <f>IF(G206="","",IF(G206&lt;=0,"Kapandı",IF(H206=0,"Vadesi gelmedi",IF(H206&lt;=30,"1-30",IF(H206&lt;=60,"31-60",IF(H206&lt;=90,"61-90","90+"))))))</f>
        <v/>
      </c>
      <c r="J206" s="10" t="n"/>
      <c r="K206" s="14" t="n"/>
      <c r="L206" s="10" t="n"/>
    </row>
    <row r="207">
      <c r="A207" s="10" t="n"/>
      <c r="B207" s="10" t="n"/>
      <c r="C207" s="14" t="n"/>
      <c r="D207" s="14" t="n"/>
      <c r="E207" s="11" t="n"/>
      <c r="F207" s="11" t="n"/>
      <c r="G207" s="12">
        <f>IF(E207="","",E207-F207)</f>
        <v/>
      </c>
      <c r="H207" s="16">
        <f>IF(OR(G207="",G207&lt;=0),"",MAX(0,$B$5-D207))</f>
        <v/>
      </c>
      <c r="I207" s="16">
        <f>IF(G207="","",IF(G207&lt;=0,"Kapandı",IF(H207=0,"Vadesi gelmedi",IF(H207&lt;=30,"1-30",IF(H207&lt;=60,"31-60",IF(H207&lt;=90,"61-90","90+"))))))</f>
        <v/>
      </c>
      <c r="J207" s="10" t="n"/>
      <c r="K207" s="14" t="n"/>
      <c r="L207" s="10" t="n"/>
    </row>
    <row r="208">
      <c r="A208" s="10" t="n"/>
      <c r="B208" s="10" t="n"/>
      <c r="C208" s="14" t="n"/>
      <c r="D208" s="14" t="n"/>
      <c r="E208" s="11" t="n"/>
      <c r="F208" s="11" t="n"/>
      <c r="G208" s="12">
        <f>IF(E208="","",E208-F208)</f>
        <v/>
      </c>
      <c r="H208" s="16">
        <f>IF(OR(G208="",G208&lt;=0),"",MAX(0,$B$5-D208))</f>
        <v/>
      </c>
      <c r="I208" s="16">
        <f>IF(G208="","",IF(G208&lt;=0,"Kapandı",IF(H208=0,"Vadesi gelmedi",IF(H208&lt;=30,"1-30",IF(H208&lt;=60,"31-60",IF(H208&lt;=90,"61-90","90+"))))))</f>
        <v/>
      </c>
      <c r="J208" s="10" t="n"/>
      <c r="K208" s="14" t="n"/>
      <c r="L208" s="10" t="n"/>
    </row>
    <row r="209">
      <c r="A209" s="10" t="n"/>
      <c r="B209" s="10" t="n"/>
      <c r="C209" s="14" t="n"/>
      <c r="D209" s="14" t="n"/>
      <c r="E209" s="11" t="n"/>
      <c r="F209" s="11" t="n"/>
      <c r="G209" s="12">
        <f>IF(E209="","",E209-F209)</f>
        <v/>
      </c>
      <c r="H209" s="16">
        <f>IF(OR(G209="",G209&lt;=0),"",MAX(0,$B$5-D209))</f>
        <v/>
      </c>
      <c r="I209" s="16">
        <f>IF(G209="","",IF(G209&lt;=0,"Kapandı",IF(H209=0,"Vadesi gelmedi",IF(H209&lt;=30,"1-30",IF(H209&lt;=60,"31-60",IF(H209&lt;=90,"61-90","90+"))))))</f>
        <v/>
      </c>
      <c r="J209" s="10" t="n"/>
      <c r="K209" s="14" t="n"/>
      <c r="L209" s="10" t="n"/>
    </row>
    <row r="210">
      <c r="A210" s="10" t="n"/>
      <c r="B210" s="10" t="n"/>
      <c r="C210" s="14" t="n"/>
      <c r="D210" s="14" t="n"/>
      <c r="E210" s="11" t="n"/>
      <c r="F210" s="11" t="n"/>
      <c r="G210" s="12">
        <f>IF(E210="","",E210-F210)</f>
        <v/>
      </c>
      <c r="H210" s="16">
        <f>IF(OR(G210="",G210&lt;=0),"",MAX(0,$B$5-D210))</f>
        <v/>
      </c>
      <c r="I210" s="16">
        <f>IF(G210="","",IF(G210&lt;=0,"Kapandı",IF(H210=0,"Vadesi gelmedi",IF(H210&lt;=30,"1-30",IF(H210&lt;=60,"31-60",IF(H210&lt;=90,"61-90","90+"))))))</f>
        <v/>
      </c>
      <c r="J210" s="10" t="n"/>
      <c r="K210" s="14" t="n"/>
      <c r="L210" s="10" t="n"/>
    </row>
    <row r="211">
      <c r="A211" s="10" t="n"/>
      <c r="B211" s="10" t="n"/>
      <c r="C211" s="14" t="n"/>
      <c r="D211" s="14" t="n"/>
      <c r="E211" s="11" t="n"/>
      <c r="F211" s="11" t="n"/>
      <c r="G211" s="12">
        <f>IF(E211="","",E211-F211)</f>
        <v/>
      </c>
      <c r="H211" s="16">
        <f>IF(OR(G211="",G211&lt;=0),"",MAX(0,$B$5-D211))</f>
        <v/>
      </c>
      <c r="I211" s="16">
        <f>IF(G211="","",IF(G211&lt;=0,"Kapandı",IF(H211=0,"Vadesi gelmedi",IF(H211&lt;=30,"1-30",IF(H211&lt;=60,"31-60",IF(H211&lt;=90,"61-90","90+"))))))</f>
        <v/>
      </c>
      <c r="J211" s="10" t="n"/>
      <c r="K211" s="14" t="n"/>
      <c r="L211" s="10" t="n"/>
    </row>
    <row r="212">
      <c r="A212" s="10" t="n"/>
      <c r="B212" s="10" t="n"/>
      <c r="C212" s="14" t="n"/>
      <c r="D212" s="14" t="n"/>
      <c r="E212" s="11" t="n"/>
      <c r="F212" s="11" t="n"/>
      <c r="G212" s="12">
        <f>IF(E212="","",E212-F212)</f>
        <v/>
      </c>
      <c r="H212" s="16">
        <f>IF(OR(G212="",G212&lt;=0),"",MAX(0,$B$5-D212))</f>
        <v/>
      </c>
      <c r="I212" s="16">
        <f>IF(G212="","",IF(G212&lt;=0,"Kapandı",IF(H212=0,"Vadesi gelmedi",IF(H212&lt;=30,"1-30",IF(H212&lt;=60,"31-60",IF(H212&lt;=90,"61-90","90+"))))))</f>
        <v/>
      </c>
      <c r="J212" s="10" t="n"/>
      <c r="K212" s="14" t="n"/>
      <c r="L212" s="10" t="n"/>
    </row>
    <row r="213">
      <c r="A213" s="10" t="n"/>
      <c r="B213" s="10" t="n"/>
      <c r="C213" s="14" t="n"/>
      <c r="D213" s="14" t="n"/>
      <c r="E213" s="11" t="n"/>
      <c r="F213" s="11" t="n"/>
      <c r="G213" s="12">
        <f>IF(E213="","",E213-F213)</f>
        <v/>
      </c>
      <c r="H213" s="16">
        <f>IF(OR(G213="",G213&lt;=0),"",MAX(0,$B$5-D213))</f>
        <v/>
      </c>
      <c r="I213" s="16">
        <f>IF(G213="","",IF(G213&lt;=0,"Kapandı",IF(H213=0,"Vadesi gelmedi",IF(H213&lt;=30,"1-30",IF(H213&lt;=60,"31-60",IF(H213&lt;=90,"61-90","90+"))))))</f>
        <v/>
      </c>
      <c r="J213" s="10" t="n"/>
      <c r="K213" s="14" t="n"/>
      <c r="L213" s="10" t="n"/>
    </row>
    <row r="214">
      <c r="A214" s="10" t="n"/>
      <c r="B214" s="10" t="n"/>
      <c r="C214" s="14" t="n"/>
      <c r="D214" s="14" t="n"/>
      <c r="E214" s="11" t="n"/>
      <c r="F214" s="11" t="n"/>
      <c r="G214" s="12">
        <f>IF(E214="","",E214-F214)</f>
        <v/>
      </c>
      <c r="H214" s="16">
        <f>IF(OR(G214="",G214&lt;=0),"",MAX(0,$B$5-D214))</f>
        <v/>
      </c>
      <c r="I214" s="16">
        <f>IF(G214="","",IF(G214&lt;=0,"Kapandı",IF(H214=0,"Vadesi gelmedi",IF(H214&lt;=30,"1-30",IF(H214&lt;=60,"31-60",IF(H214&lt;=90,"61-90","90+"))))))</f>
        <v/>
      </c>
      <c r="J214" s="10" t="n"/>
      <c r="K214" s="14" t="n"/>
      <c r="L214" s="10" t="n"/>
    </row>
    <row r="215">
      <c r="A215" s="10" t="n"/>
      <c r="B215" s="10" t="n"/>
      <c r="C215" s="14" t="n"/>
      <c r="D215" s="14" t="n"/>
      <c r="E215" s="11" t="n"/>
      <c r="F215" s="11" t="n"/>
      <c r="G215" s="12">
        <f>IF(E215="","",E215-F215)</f>
        <v/>
      </c>
      <c r="H215" s="16">
        <f>IF(OR(G215="",G215&lt;=0),"",MAX(0,$B$5-D215))</f>
        <v/>
      </c>
      <c r="I215" s="16">
        <f>IF(G215="","",IF(G215&lt;=0,"Kapandı",IF(H215=0,"Vadesi gelmedi",IF(H215&lt;=30,"1-30",IF(H215&lt;=60,"31-60",IF(H215&lt;=90,"61-90","90+"))))))</f>
        <v/>
      </c>
      <c r="J215" s="10" t="n"/>
      <c r="K215" s="14" t="n"/>
      <c r="L215" s="10" t="n"/>
    </row>
    <row r="216">
      <c r="A216" s="10" t="n"/>
      <c r="B216" s="10" t="n"/>
      <c r="C216" s="14" t="n"/>
      <c r="D216" s="14" t="n"/>
      <c r="E216" s="11" t="n"/>
      <c r="F216" s="11" t="n"/>
      <c r="G216" s="12">
        <f>IF(E216="","",E216-F216)</f>
        <v/>
      </c>
      <c r="H216" s="16">
        <f>IF(OR(G216="",G216&lt;=0),"",MAX(0,$B$5-D216))</f>
        <v/>
      </c>
      <c r="I216" s="16">
        <f>IF(G216="","",IF(G216&lt;=0,"Kapandı",IF(H216=0,"Vadesi gelmedi",IF(H216&lt;=30,"1-30",IF(H216&lt;=60,"31-60",IF(H216&lt;=90,"61-90","90+"))))))</f>
        <v/>
      </c>
      <c r="J216" s="10" t="n"/>
      <c r="K216" s="14" t="n"/>
      <c r="L216" s="10" t="n"/>
    </row>
    <row r="217">
      <c r="A217" s="10" t="n"/>
      <c r="B217" s="10" t="n"/>
      <c r="C217" s="14" t="n"/>
      <c r="D217" s="14" t="n"/>
      <c r="E217" s="11" t="n"/>
      <c r="F217" s="11" t="n"/>
      <c r="G217" s="12">
        <f>IF(E217="","",E217-F217)</f>
        <v/>
      </c>
      <c r="H217" s="16">
        <f>IF(OR(G217="",G217&lt;=0),"",MAX(0,$B$5-D217))</f>
        <v/>
      </c>
      <c r="I217" s="16">
        <f>IF(G217="","",IF(G217&lt;=0,"Kapandı",IF(H217=0,"Vadesi gelmedi",IF(H217&lt;=30,"1-30",IF(H217&lt;=60,"31-60",IF(H217&lt;=90,"61-90","90+"))))))</f>
        <v/>
      </c>
      <c r="J217" s="10" t="n"/>
      <c r="K217" s="14" t="n"/>
      <c r="L217" s="10" t="n"/>
    </row>
    <row r="218">
      <c r="A218" s="10" t="n"/>
      <c r="B218" s="10" t="n"/>
      <c r="C218" s="14" t="n"/>
      <c r="D218" s="14" t="n"/>
      <c r="E218" s="11" t="n"/>
      <c r="F218" s="11" t="n"/>
      <c r="G218" s="12">
        <f>IF(E218="","",E218-F218)</f>
        <v/>
      </c>
      <c r="H218" s="16">
        <f>IF(OR(G218="",G218&lt;=0),"",MAX(0,$B$5-D218))</f>
        <v/>
      </c>
      <c r="I218" s="16">
        <f>IF(G218="","",IF(G218&lt;=0,"Kapandı",IF(H218=0,"Vadesi gelmedi",IF(H218&lt;=30,"1-30",IF(H218&lt;=60,"31-60",IF(H218&lt;=90,"61-90","90+"))))))</f>
        <v/>
      </c>
      <c r="J218" s="10" t="n"/>
      <c r="K218" s="14" t="n"/>
      <c r="L218" s="10" t="n"/>
    </row>
    <row r="219">
      <c r="A219" s="10" t="n"/>
      <c r="B219" s="10" t="n"/>
      <c r="C219" s="14" t="n"/>
      <c r="D219" s="14" t="n"/>
      <c r="E219" s="11" t="n"/>
      <c r="F219" s="11" t="n"/>
      <c r="G219" s="12">
        <f>IF(E219="","",E219-F219)</f>
        <v/>
      </c>
      <c r="H219" s="16">
        <f>IF(OR(G219="",G219&lt;=0),"",MAX(0,$B$5-D219))</f>
        <v/>
      </c>
      <c r="I219" s="16">
        <f>IF(G219="","",IF(G219&lt;=0,"Kapandı",IF(H219=0,"Vadesi gelmedi",IF(H219&lt;=30,"1-30",IF(H219&lt;=60,"31-60",IF(H219&lt;=90,"61-90","90+"))))))</f>
        <v/>
      </c>
      <c r="J219" s="10" t="n"/>
      <c r="K219" s="14" t="n"/>
      <c r="L219" s="10" t="n"/>
    </row>
    <row r="220">
      <c r="A220" s="10" t="n"/>
      <c r="B220" s="10" t="n"/>
      <c r="C220" s="14" t="n"/>
      <c r="D220" s="14" t="n"/>
      <c r="E220" s="11" t="n"/>
      <c r="F220" s="11" t="n"/>
      <c r="G220" s="12">
        <f>IF(E220="","",E220-F220)</f>
        <v/>
      </c>
      <c r="H220" s="16">
        <f>IF(OR(G220="",G220&lt;=0),"",MAX(0,$B$5-D220))</f>
        <v/>
      </c>
      <c r="I220" s="16">
        <f>IF(G220="","",IF(G220&lt;=0,"Kapandı",IF(H220=0,"Vadesi gelmedi",IF(H220&lt;=30,"1-30",IF(H220&lt;=60,"31-60",IF(H220&lt;=90,"61-90","90+"))))))</f>
        <v/>
      </c>
      <c r="J220" s="10" t="n"/>
      <c r="K220" s="14" t="n"/>
      <c r="L220" s="10" t="n"/>
    </row>
    <row r="221">
      <c r="A221" s="10" t="n"/>
      <c r="B221" s="10" t="n"/>
      <c r="C221" s="14" t="n"/>
      <c r="D221" s="14" t="n"/>
      <c r="E221" s="11" t="n"/>
      <c r="F221" s="11" t="n"/>
      <c r="G221" s="12">
        <f>IF(E221="","",E221-F221)</f>
        <v/>
      </c>
      <c r="H221" s="16">
        <f>IF(OR(G221="",G221&lt;=0),"",MAX(0,$B$5-D221))</f>
        <v/>
      </c>
      <c r="I221" s="16">
        <f>IF(G221="","",IF(G221&lt;=0,"Kapandı",IF(H221=0,"Vadesi gelmedi",IF(H221&lt;=30,"1-30",IF(H221&lt;=60,"31-60",IF(H221&lt;=90,"61-90","90+"))))))</f>
        <v/>
      </c>
      <c r="J221" s="10" t="n"/>
      <c r="K221" s="14" t="n"/>
      <c r="L221" s="10" t="n"/>
    </row>
    <row r="222">
      <c r="A222" s="10" t="n"/>
      <c r="B222" s="10" t="n"/>
      <c r="C222" s="14" t="n"/>
      <c r="D222" s="14" t="n"/>
      <c r="E222" s="11" t="n"/>
      <c r="F222" s="11" t="n"/>
      <c r="G222" s="12">
        <f>IF(E222="","",E222-F222)</f>
        <v/>
      </c>
      <c r="H222" s="16">
        <f>IF(OR(G222="",G222&lt;=0),"",MAX(0,$B$5-D222))</f>
        <v/>
      </c>
      <c r="I222" s="16">
        <f>IF(G222="","",IF(G222&lt;=0,"Kapandı",IF(H222=0,"Vadesi gelmedi",IF(H222&lt;=30,"1-30",IF(H222&lt;=60,"31-60",IF(H222&lt;=90,"61-90","90+"))))))</f>
        <v/>
      </c>
      <c r="J222" s="10" t="n"/>
      <c r="K222" s="14" t="n"/>
      <c r="L222" s="10" t="n"/>
    </row>
    <row r="223">
      <c r="A223" s="10" t="n"/>
      <c r="B223" s="10" t="n"/>
      <c r="C223" s="14" t="n"/>
      <c r="D223" s="14" t="n"/>
      <c r="E223" s="11" t="n"/>
      <c r="F223" s="11" t="n"/>
      <c r="G223" s="12">
        <f>IF(E223="","",E223-F223)</f>
        <v/>
      </c>
      <c r="H223" s="16">
        <f>IF(OR(G223="",G223&lt;=0),"",MAX(0,$B$5-D223))</f>
        <v/>
      </c>
      <c r="I223" s="16">
        <f>IF(G223="","",IF(G223&lt;=0,"Kapandı",IF(H223=0,"Vadesi gelmedi",IF(H223&lt;=30,"1-30",IF(H223&lt;=60,"31-60",IF(H223&lt;=90,"61-90","90+"))))))</f>
        <v/>
      </c>
      <c r="J223" s="10" t="n"/>
      <c r="K223" s="14" t="n"/>
      <c r="L223" s="10" t="n"/>
    </row>
    <row r="224">
      <c r="A224" s="10" t="n"/>
      <c r="B224" s="10" t="n"/>
      <c r="C224" s="14" t="n"/>
      <c r="D224" s="14" t="n"/>
      <c r="E224" s="11" t="n"/>
      <c r="F224" s="11" t="n"/>
      <c r="G224" s="12">
        <f>IF(E224="","",E224-F224)</f>
        <v/>
      </c>
      <c r="H224" s="16">
        <f>IF(OR(G224="",G224&lt;=0),"",MAX(0,$B$5-D224))</f>
        <v/>
      </c>
      <c r="I224" s="16">
        <f>IF(G224="","",IF(G224&lt;=0,"Kapandı",IF(H224=0,"Vadesi gelmedi",IF(H224&lt;=30,"1-30",IF(H224&lt;=60,"31-60",IF(H224&lt;=90,"61-90","90+"))))))</f>
        <v/>
      </c>
      <c r="J224" s="10" t="n"/>
      <c r="K224" s="14" t="n"/>
      <c r="L224" s="10" t="n"/>
    </row>
    <row r="225">
      <c r="A225" s="10" t="n"/>
      <c r="B225" s="10" t="n"/>
      <c r="C225" s="14" t="n"/>
      <c r="D225" s="14" t="n"/>
      <c r="E225" s="11" t="n"/>
      <c r="F225" s="11" t="n"/>
      <c r="G225" s="12">
        <f>IF(E225="","",E225-F225)</f>
        <v/>
      </c>
      <c r="H225" s="16">
        <f>IF(OR(G225="",G225&lt;=0),"",MAX(0,$B$5-D225))</f>
        <v/>
      </c>
      <c r="I225" s="16">
        <f>IF(G225="","",IF(G225&lt;=0,"Kapandı",IF(H225=0,"Vadesi gelmedi",IF(H225&lt;=30,"1-30",IF(H225&lt;=60,"31-60",IF(H225&lt;=90,"61-90","90+"))))))</f>
        <v/>
      </c>
      <c r="J225" s="10" t="n"/>
      <c r="K225" s="14" t="n"/>
      <c r="L225" s="10" t="n"/>
    </row>
    <row r="226">
      <c r="A226" s="10" t="n"/>
      <c r="B226" s="10" t="n"/>
      <c r="C226" s="14" t="n"/>
      <c r="D226" s="14" t="n"/>
      <c r="E226" s="11" t="n"/>
      <c r="F226" s="11" t="n"/>
      <c r="G226" s="12">
        <f>IF(E226="","",E226-F226)</f>
        <v/>
      </c>
      <c r="H226" s="16">
        <f>IF(OR(G226="",G226&lt;=0),"",MAX(0,$B$5-D226))</f>
        <v/>
      </c>
      <c r="I226" s="16">
        <f>IF(G226="","",IF(G226&lt;=0,"Kapandı",IF(H226=0,"Vadesi gelmedi",IF(H226&lt;=30,"1-30",IF(H226&lt;=60,"31-60",IF(H226&lt;=90,"61-90","90+"))))))</f>
        <v/>
      </c>
      <c r="J226" s="10" t="n"/>
      <c r="K226" s="14" t="n"/>
      <c r="L226" s="10" t="n"/>
    </row>
    <row r="227">
      <c r="A227" s="10" t="n"/>
      <c r="B227" s="10" t="n"/>
      <c r="C227" s="14" t="n"/>
      <c r="D227" s="14" t="n"/>
      <c r="E227" s="11" t="n"/>
      <c r="F227" s="11" t="n"/>
      <c r="G227" s="12">
        <f>IF(E227="","",E227-F227)</f>
        <v/>
      </c>
      <c r="H227" s="16">
        <f>IF(OR(G227="",G227&lt;=0),"",MAX(0,$B$5-D227))</f>
        <v/>
      </c>
      <c r="I227" s="16">
        <f>IF(G227="","",IF(G227&lt;=0,"Kapandı",IF(H227=0,"Vadesi gelmedi",IF(H227&lt;=30,"1-30",IF(H227&lt;=60,"31-60",IF(H227&lt;=90,"61-90","90+"))))))</f>
        <v/>
      </c>
      <c r="J227" s="10" t="n"/>
      <c r="K227" s="14" t="n"/>
      <c r="L227" s="10" t="n"/>
    </row>
    <row r="228">
      <c r="A228" s="10" t="n"/>
      <c r="B228" s="10" t="n"/>
      <c r="C228" s="14" t="n"/>
      <c r="D228" s="14" t="n"/>
      <c r="E228" s="11" t="n"/>
      <c r="F228" s="11" t="n"/>
      <c r="G228" s="12">
        <f>IF(E228="","",E228-F228)</f>
        <v/>
      </c>
      <c r="H228" s="16">
        <f>IF(OR(G228="",G228&lt;=0),"",MAX(0,$B$5-D228))</f>
        <v/>
      </c>
      <c r="I228" s="16">
        <f>IF(G228="","",IF(G228&lt;=0,"Kapandı",IF(H228=0,"Vadesi gelmedi",IF(H228&lt;=30,"1-30",IF(H228&lt;=60,"31-60",IF(H228&lt;=90,"61-90","90+"))))))</f>
        <v/>
      </c>
      <c r="J228" s="10" t="n"/>
      <c r="K228" s="14" t="n"/>
      <c r="L228" s="10" t="n"/>
    </row>
    <row r="229">
      <c r="A229" s="10" t="n"/>
      <c r="B229" s="10" t="n"/>
      <c r="C229" s="14" t="n"/>
      <c r="D229" s="14" t="n"/>
      <c r="E229" s="11" t="n"/>
      <c r="F229" s="11" t="n"/>
      <c r="G229" s="12">
        <f>IF(E229="","",E229-F229)</f>
        <v/>
      </c>
      <c r="H229" s="16">
        <f>IF(OR(G229="",G229&lt;=0),"",MAX(0,$B$5-D229))</f>
        <v/>
      </c>
      <c r="I229" s="16">
        <f>IF(G229="","",IF(G229&lt;=0,"Kapandı",IF(H229=0,"Vadesi gelmedi",IF(H229&lt;=30,"1-30",IF(H229&lt;=60,"31-60",IF(H229&lt;=90,"61-90","90+"))))))</f>
        <v/>
      </c>
      <c r="J229" s="10" t="n"/>
      <c r="K229" s="14" t="n"/>
      <c r="L229" s="10" t="n"/>
    </row>
    <row r="230">
      <c r="A230" s="10" t="n"/>
      <c r="B230" s="10" t="n"/>
      <c r="C230" s="14" t="n"/>
      <c r="D230" s="14" t="n"/>
      <c r="E230" s="11" t="n"/>
      <c r="F230" s="11" t="n"/>
      <c r="G230" s="12">
        <f>IF(E230="","",E230-F230)</f>
        <v/>
      </c>
      <c r="H230" s="16">
        <f>IF(OR(G230="",G230&lt;=0),"",MAX(0,$B$5-D230))</f>
        <v/>
      </c>
      <c r="I230" s="16">
        <f>IF(G230="","",IF(G230&lt;=0,"Kapandı",IF(H230=0,"Vadesi gelmedi",IF(H230&lt;=30,"1-30",IF(H230&lt;=60,"31-60",IF(H230&lt;=90,"61-90","90+"))))))</f>
        <v/>
      </c>
      <c r="J230" s="10" t="n"/>
      <c r="K230" s="14" t="n"/>
      <c r="L230" s="10" t="n"/>
    </row>
    <row r="231">
      <c r="A231" s="10" t="n"/>
      <c r="B231" s="10" t="n"/>
      <c r="C231" s="14" t="n"/>
      <c r="D231" s="14" t="n"/>
      <c r="E231" s="11" t="n"/>
      <c r="F231" s="11" t="n"/>
      <c r="G231" s="12">
        <f>IF(E231="","",E231-F231)</f>
        <v/>
      </c>
      <c r="H231" s="16">
        <f>IF(OR(G231="",G231&lt;=0),"",MAX(0,$B$5-D231))</f>
        <v/>
      </c>
      <c r="I231" s="16">
        <f>IF(G231="","",IF(G231&lt;=0,"Kapandı",IF(H231=0,"Vadesi gelmedi",IF(H231&lt;=30,"1-30",IF(H231&lt;=60,"31-60",IF(H231&lt;=90,"61-90","90+"))))))</f>
        <v/>
      </c>
      <c r="J231" s="10" t="n"/>
      <c r="K231" s="14" t="n"/>
      <c r="L231" s="10" t="n"/>
    </row>
    <row r="232">
      <c r="A232" s="10" t="n"/>
      <c r="B232" s="10" t="n"/>
      <c r="C232" s="14" t="n"/>
      <c r="D232" s="14" t="n"/>
      <c r="E232" s="11" t="n"/>
      <c r="F232" s="11" t="n"/>
      <c r="G232" s="12">
        <f>IF(E232="","",E232-F232)</f>
        <v/>
      </c>
      <c r="H232" s="16">
        <f>IF(OR(G232="",G232&lt;=0),"",MAX(0,$B$5-D232))</f>
        <v/>
      </c>
      <c r="I232" s="16">
        <f>IF(G232="","",IF(G232&lt;=0,"Kapandı",IF(H232=0,"Vadesi gelmedi",IF(H232&lt;=30,"1-30",IF(H232&lt;=60,"31-60",IF(H232&lt;=90,"61-90","90+"))))))</f>
        <v/>
      </c>
      <c r="J232" s="10" t="n"/>
      <c r="K232" s="14" t="n"/>
      <c r="L232" s="10" t="n"/>
    </row>
    <row r="233">
      <c r="A233" s="10" t="n"/>
      <c r="B233" s="10" t="n"/>
      <c r="C233" s="14" t="n"/>
      <c r="D233" s="14" t="n"/>
      <c r="E233" s="11" t="n"/>
      <c r="F233" s="11" t="n"/>
      <c r="G233" s="12">
        <f>IF(E233="","",E233-F233)</f>
        <v/>
      </c>
      <c r="H233" s="16">
        <f>IF(OR(G233="",G233&lt;=0),"",MAX(0,$B$5-D233))</f>
        <v/>
      </c>
      <c r="I233" s="16">
        <f>IF(G233="","",IF(G233&lt;=0,"Kapandı",IF(H233=0,"Vadesi gelmedi",IF(H233&lt;=30,"1-30",IF(H233&lt;=60,"31-60",IF(H233&lt;=90,"61-90","90+"))))))</f>
        <v/>
      </c>
      <c r="J233" s="10" t="n"/>
      <c r="K233" s="14" t="n"/>
      <c r="L233" s="10" t="n"/>
    </row>
    <row r="234">
      <c r="A234" s="10" t="n"/>
      <c r="B234" s="10" t="n"/>
      <c r="C234" s="14" t="n"/>
      <c r="D234" s="14" t="n"/>
      <c r="E234" s="11" t="n"/>
      <c r="F234" s="11" t="n"/>
      <c r="G234" s="12">
        <f>IF(E234="","",E234-F234)</f>
        <v/>
      </c>
      <c r="H234" s="16">
        <f>IF(OR(G234="",G234&lt;=0),"",MAX(0,$B$5-D234))</f>
        <v/>
      </c>
      <c r="I234" s="16">
        <f>IF(G234="","",IF(G234&lt;=0,"Kapandı",IF(H234=0,"Vadesi gelmedi",IF(H234&lt;=30,"1-30",IF(H234&lt;=60,"31-60",IF(H234&lt;=90,"61-90","90+"))))))</f>
        <v/>
      </c>
      <c r="J234" s="10" t="n"/>
      <c r="K234" s="14" t="n"/>
      <c r="L234" s="10" t="n"/>
    </row>
    <row r="235">
      <c r="A235" s="10" t="n"/>
      <c r="B235" s="10" t="n"/>
      <c r="C235" s="14" t="n"/>
      <c r="D235" s="14" t="n"/>
      <c r="E235" s="11" t="n"/>
      <c r="F235" s="11" t="n"/>
      <c r="G235" s="12">
        <f>IF(E235="","",E235-F235)</f>
        <v/>
      </c>
      <c r="H235" s="16">
        <f>IF(OR(G235="",G235&lt;=0),"",MAX(0,$B$5-D235))</f>
        <v/>
      </c>
      <c r="I235" s="16">
        <f>IF(G235="","",IF(G235&lt;=0,"Kapandı",IF(H235=0,"Vadesi gelmedi",IF(H235&lt;=30,"1-30",IF(H235&lt;=60,"31-60",IF(H235&lt;=90,"61-90","90+"))))))</f>
        <v/>
      </c>
      <c r="J235" s="10" t="n"/>
      <c r="K235" s="14" t="n"/>
      <c r="L235" s="10" t="n"/>
    </row>
    <row r="236">
      <c r="A236" s="10" t="n"/>
      <c r="B236" s="10" t="n"/>
      <c r="C236" s="14" t="n"/>
      <c r="D236" s="14" t="n"/>
      <c r="E236" s="11" t="n"/>
      <c r="F236" s="11" t="n"/>
      <c r="G236" s="12">
        <f>IF(E236="","",E236-F236)</f>
        <v/>
      </c>
      <c r="H236" s="16">
        <f>IF(OR(G236="",G236&lt;=0),"",MAX(0,$B$5-D236))</f>
        <v/>
      </c>
      <c r="I236" s="16">
        <f>IF(G236="","",IF(G236&lt;=0,"Kapandı",IF(H236=0,"Vadesi gelmedi",IF(H236&lt;=30,"1-30",IF(H236&lt;=60,"31-60",IF(H236&lt;=90,"61-90","90+"))))))</f>
        <v/>
      </c>
      <c r="J236" s="10" t="n"/>
      <c r="K236" s="14" t="n"/>
      <c r="L236" s="10" t="n"/>
    </row>
    <row r="237">
      <c r="A237" s="10" t="n"/>
      <c r="B237" s="10" t="n"/>
      <c r="C237" s="14" t="n"/>
      <c r="D237" s="14" t="n"/>
      <c r="E237" s="11" t="n"/>
      <c r="F237" s="11" t="n"/>
      <c r="G237" s="12">
        <f>IF(E237="","",E237-F237)</f>
        <v/>
      </c>
      <c r="H237" s="16">
        <f>IF(OR(G237="",G237&lt;=0),"",MAX(0,$B$5-D237))</f>
        <v/>
      </c>
      <c r="I237" s="16">
        <f>IF(G237="","",IF(G237&lt;=0,"Kapandı",IF(H237=0,"Vadesi gelmedi",IF(H237&lt;=30,"1-30",IF(H237&lt;=60,"31-60",IF(H237&lt;=90,"61-90","90+"))))))</f>
        <v/>
      </c>
      <c r="J237" s="10" t="n"/>
      <c r="K237" s="14" t="n"/>
      <c r="L237" s="10" t="n"/>
    </row>
    <row r="238">
      <c r="A238" s="10" t="n"/>
      <c r="B238" s="10" t="n"/>
      <c r="C238" s="14" t="n"/>
      <c r="D238" s="14" t="n"/>
      <c r="E238" s="11" t="n"/>
      <c r="F238" s="11" t="n"/>
      <c r="G238" s="12">
        <f>IF(E238="","",E238-F238)</f>
        <v/>
      </c>
      <c r="H238" s="16">
        <f>IF(OR(G238="",G238&lt;=0),"",MAX(0,$B$5-D238))</f>
        <v/>
      </c>
      <c r="I238" s="16">
        <f>IF(G238="","",IF(G238&lt;=0,"Kapandı",IF(H238=0,"Vadesi gelmedi",IF(H238&lt;=30,"1-30",IF(H238&lt;=60,"31-60",IF(H238&lt;=90,"61-90","90+"))))))</f>
        <v/>
      </c>
      <c r="J238" s="10" t="n"/>
      <c r="K238" s="14" t="n"/>
      <c r="L238" s="10" t="n"/>
    </row>
    <row r="239">
      <c r="A239" s="10" t="n"/>
      <c r="B239" s="10" t="n"/>
      <c r="C239" s="14" t="n"/>
      <c r="D239" s="14" t="n"/>
      <c r="E239" s="11" t="n"/>
      <c r="F239" s="11" t="n"/>
      <c r="G239" s="12">
        <f>IF(E239="","",E239-F239)</f>
        <v/>
      </c>
      <c r="H239" s="16">
        <f>IF(OR(G239="",G239&lt;=0),"",MAX(0,$B$5-D239))</f>
        <v/>
      </c>
      <c r="I239" s="16">
        <f>IF(G239="","",IF(G239&lt;=0,"Kapandı",IF(H239=0,"Vadesi gelmedi",IF(H239&lt;=30,"1-30",IF(H239&lt;=60,"31-60",IF(H239&lt;=90,"61-90","90+"))))))</f>
        <v/>
      </c>
      <c r="J239" s="10" t="n"/>
      <c r="K239" s="14" t="n"/>
      <c r="L239" s="10" t="n"/>
    </row>
    <row r="240">
      <c r="A240" s="10" t="n"/>
      <c r="B240" s="10" t="n"/>
      <c r="C240" s="14" t="n"/>
      <c r="D240" s="14" t="n"/>
      <c r="E240" s="11" t="n"/>
      <c r="F240" s="11" t="n"/>
      <c r="G240" s="12">
        <f>IF(E240="","",E240-F240)</f>
        <v/>
      </c>
      <c r="H240" s="16">
        <f>IF(OR(G240="",G240&lt;=0),"",MAX(0,$B$5-D240))</f>
        <v/>
      </c>
      <c r="I240" s="16">
        <f>IF(G240="","",IF(G240&lt;=0,"Kapandı",IF(H240=0,"Vadesi gelmedi",IF(H240&lt;=30,"1-30",IF(H240&lt;=60,"31-60",IF(H240&lt;=90,"61-90","90+"))))))</f>
        <v/>
      </c>
      <c r="J240" s="10" t="n"/>
      <c r="K240" s="14" t="n"/>
      <c r="L240" s="10" t="n"/>
    </row>
    <row r="241">
      <c r="A241" s="10" t="n"/>
      <c r="B241" s="10" t="n"/>
      <c r="C241" s="14" t="n"/>
      <c r="D241" s="14" t="n"/>
      <c r="E241" s="11" t="n"/>
      <c r="F241" s="11" t="n"/>
      <c r="G241" s="12">
        <f>IF(E241="","",E241-F241)</f>
        <v/>
      </c>
      <c r="H241" s="16">
        <f>IF(OR(G241="",G241&lt;=0),"",MAX(0,$B$5-D241))</f>
        <v/>
      </c>
      <c r="I241" s="16">
        <f>IF(G241="","",IF(G241&lt;=0,"Kapandı",IF(H241=0,"Vadesi gelmedi",IF(H241&lt;=30,"1-30",IF(H241&lt;=60,"31-60",IF(H241&lt;=90,"61-90","90+"))))))</f>
        <v/>
      </c>
      <c r="J241" s="10" t="n"/>
      <c r="K241" s="14" t="n"/>
      <c r="L241" s="10" t="n"/>
    </row>
    <row r="242">
      <c r="A242" s="10" t="n"/>
      <c r="B242" s="10" t="n"/>
      <c r="C242" s="14" t="n"/>
      <c r="D242" s="14" t="n"/>
      <c r="E242" s="11" t="n"/>
      <c r="F242" s="11" t="n"/>
      <c r="G242" s="12">
        <f>IF(E242="","",E242-F242)</f>
        <v/>
      </c>
      <c r="H242" s="16">
        <f>IF(OR(G242="",G242&lt;=0),"",MAX(0,$B$5-D242))</f>
        <v/>
      </c>
      <c r="I242" s="16">
        <f>IF(G242="","",IF(G242&lt;=0,"Kapandı",IF(H242=0,"Vadesi gelmedi",IF(H242&lt;=30,"1-30",IF(H242&lt;=60,"31-60",IF(H242&lt;=90,"61-90","90+"))))))</f>
        <v/>
      </c>
      <c r="J242" s="10" t="n"/>
      <c r="K242" s="14" t="n"/>
      <c r="L242" s="10" t="n"/>
    </row>
    <row r="243">
      <c r="A243" s="10" t="n"/>
      <c r="B243" s="10" t="n"/>
      <c r="C243" s="14" t="n"/>
      <c r="D243" s="14" t="n"/>
      <c r="E243" s="11" t="n"/>
      <c r="F243" s="11" t="n"/>
      <c r="G243" s="12">
        <f>IF(E243="","",E243-F243)</f>
        <v/>
      </c>
      <c r="H243" s="16">
        <f>IF(OR(G243="",G243&lt;=0),"",MAX(0,$B$5-D243))</f>
        <v/>
      </c>
      <c r="I243" s="16">
        <f>IF(G243="","",IF(G243&lt;=0,"Kapandı",IF(H243=0,"Vadesi gelmedi",IF(H243&lt;=30,"1-30",IF(H243&lt;=60,"31-60",IF(H243&lt;=90,"61-90","90+"))))))</f>
        <v/>
      </c>
      <c r="J243" s="10" t="n"/>
      <c r="K243" s="14" t="n"/>
      <c r="L243" s="10" t="n"/>
    </row>
    <row r="244">
      <c r="A244" s="10" t="n"/>
      <c r="B244" s="10" t="n"/>
      <c r="C244" s="14" t="n"/>
      <c r="D244" s="14" t="n"/>
      <c r="E244" s="11" t="n"/>
      <c r="F244" s="11" t="n"/>
      <c r="G244" s="12">
        <f>IF(E244="","",E244-F244)</f>
        <v/>
      </c>
      <c r="H244" s="16">
        <f>IF(OR(G244="",G244&lt;=0),"",MAX(0,$B$5-D244))</f>
        <v/>
      </c>
      <c r="I244" s="16">
        <f>IF(G244="","",IF(G244&lt;=0,"Kapandı",IF(H244=0,"Vadesi gelmedi",IF(H244&lt;=30,"1-30",IF(H244&lt;=60,"31-60",IF(H244&lt;=90,"61-90","90+"))))))</f>
        <v/>
      </c>
      <c r="J244" s="10" t="n"/>
      <c r="K244" s="14" t="n"/>
      <c r="L244" s="10" t="n"/>
    </row>
    <row r="245">
      <c r="A245" s="10" t="n"/>
      <c r="B245" s="10" t="n"/>
      <c r="C245" s="14" t="n"/>
      <c r="D245" s="14" t="n"/>
      <c r="E245" s="11" t="n"/>
      <c r="F245" s="11" t="n"/>
      <c r="G245" s="12">
        <f>IF(E245="","",E245-F245)</f>
        <v/>
      </c>
      <c r="H245" s="16">
        <f>IF(OR(G245="",G245&lt;=0),"",MAX(0,$B$5-D245))</f>
        <v/>
      </c>
      <c r="I245" s="16">
        <f>IF(G245="","",IF(G245&lt;=0,"Kapandı",IF(H245=0,"Vadesi gelmedi",IF(H245&lt;=30,"1-30",IF(H245&lt;=60,"31-60",IF(H245&lt;=90,"61-90","90+"))))))</f>
        <v/>
      </c>
      <c r="J245" s="10" t="n"/>
      <c r="K245" s="14" t="n"/>
      <c r="L245" s="10" t="n"/>
    </row>
    <row r="246">
      <c r="A246" s="10" t="n"/>
      <c r="B246" s="10" t="n"/>
      <c r="C246" s="14" t="n"/>
      <c r="D246" s="14" t="n"/>
      <c r="E246" s="11" t="n"/>
      <c r="F246" s="11" t="n"/>
      <c r="G246" s="12">
        <f>IF(E246="","",E246-F246)</f>
        <v/>
      </c>
      <c r="H246" s="16">
        <f>IF(OR(G246="",G246&lt;=0),"",MAX(0,$B$5-D246))</f>
        <v/>
      </c>
      <c r="I246" s="16">
        <f>IF(G246="","",IF(G246&lt;=0,"Kapandı",IF(H246=0,"Vadesi gelmedi",IF(H246&lt;=30,"1-30",IF(H246&lt;=60,"31-60",IF(H246&lt;=90,"61-90","90+"))))))</f>
        <v/>
      </c>
      <c r="J246" s="10" t="n"/>
      <c r="K246" s="14" t="n"/>
      <c r="L246" s="10" t="n"/>
    </row>
    <row r="247">
      <c r="A247" s="10" t="n"/>
      <c r="B247" s="10" t="n"/>
      <c r="C247" s="14" t="n"/>
      <c r="D247" s="14" t="n"/>
      <c r="E247" s="11" t="n"/>
      <c r="F247" s="11" t="n"/>
      <c r="G247" s="12">
        <f>IF(E247="","",E247-F247)</f>
        <v/>
      </c>
      <c r="H247" s="16">
        <f>IF(OR(G247="",G247&lt;=0),"",MAX(0,$B$5-D247))</f>
        <v/>
      </c>
      <c r="I247" s="16">
        <f>IF(G247="","",IF(G247&lt;=0,"Kapandı",IF(H247=0,"Vadesi gelmedi",IF(H247&lt;=30,"1-30",IF(H247&lt;=60,"31-60",IF(H247&lt;=90,"61-90","90+"))))))</f>
        <v/>
      </c>
      <c r="J247" s="10" t="n"/>
      <c r="K247" s="14" t="n"/>
      <c r="L247" s="10" t="n"/>
    </row>
    <row r="248">
      <c r="A248" s="10" t="n"/>
      <c r="B248" s="10" t="n"/>
      <c r="C248" s="14" t="n"/>
      <c r="D248" s="14" t="n"/>
      <c r="E248" s="11" t="n"/>
      <c r="F248" s="11" t="n"/>
      <c r="G248" s="12">
        <f>IF(E248="","",E248-F248)</f>
        <v/>
      </c>
      <c r="H248" s="16">
        <f>IF(OR(G248="",G248&lt;=0),"",MAX(0,$B$5-D248))</f>
        <v/>
      </c>
      <c r="I248" s="16">
        <f>IF(G248="","",IF(G248&lt;=0,"Kapandı",IF(H248=0,"Vadesi gelmedi",IF(H248&lt;=30,"1-30",IF(H248&lt;=60,"31-60",IF(H248&lt;=90,"61-90","90+"))))))</f>
        <v/>
      </c>
      <c r="J248" s="10" t="n"/>
      <c r="K248" s="14" t="n"/>
      <c r="L248" s="10" t="n"/>
    </row>
    <row r="249">
      <c r="A249" s="10" t="n"/>
      <c r="B249" s="10" t="n"/>
      <c r="C249" s="14" t="n"/>
      <c r="D249" s="14" t="n"/>
      <c r="E249" s="11" t="n"/>
      <c r="F249" s="11" t="n"/>
      <c r="G249" s="12">
        <f>IF(E249="","",E249-F249)</f>
        <v/>
      </c>
      <c r="H249" s="16">
        <f>IF(OR(G249="",G249&lt;=0),"",MAX(0,$B$5-D249))</f>
        <v/>
      </c>
      <c r="I249" s="16">
        <f>IF(G249="","",IF(G249&lt;=0,"Kapandı",IF(H249=0,"Vadesi gelmedi",IF(H249&lt;=30,"1-30",IF(H249&lt;=60,"31-60",IF(H249&lt;=90,"61-90","90+"))))))</f>
        <v/>
      </c>
      <c r="J249" s="10" t="n"/>
      <c r="K249" s="14" t="n"/>
      <c r="L249" s="10" t="n"/>
    </row>
    <row r="250">
      <c r="A250" s="10" t="n"/>
      <c r="B250" s="10" t="n"/>
      <c r="C250" s="14" t="n"/>
      <c r="D250" s="14" t="n"/>
      <c r="E250" s="11" t="n"/>
      <c r="F250" s="11" t="n"/>
      <c r="G250" s="12">
        <f>IF(E250="","",E250-F250)</f>
        <v/>
      </c>
      <c r="H250" s="16">
        <f>IF(OR(G250="",G250&lt;=0),"",MAX(0,$B$5-D250))</f>
        <v/>
      </c>
      <c r="I250" s="16">
        <f>IF(G250="","",IF(G250&lt;=0,"Kapandı",IF(H250=0,"Vadesi gelmedi",IF(H250&lt;=30,"1-30",IF(H250&lt;=60,"31-60",IF(H250&lt;=90,"61-90","90+"))))))</f>
        <v/>
      </c>
      <c r="J250" s="10" t="n"/>
      <c r="K250" s="14" t="n"/>
      <c r="L250" s="10" t="n"/>
    </row>
    <row r="251">
      <c r="A251" s="10" t="n"/>
      <c r="B251" s="10" t="n"/>
      <c r="C251" s="14" t="n"/>
      <c r="D251" s="14" t="n"/>
      <c r="E251" s="11" t="n"/>
      <c r="F251" s="11" t="n"/>
      <c r="G251" s="12">
        <f>IF(E251="","",E251-F251)</f>
        <v/>
      </c>
      <c r="H251" s="16">
        <f>IF(OR(G251="",G251&lt;=0),"",MAX(0,$B$5-D251))</f>
        <v/>
      </c>
      <c r="I251" s="16">
        <f>IF(G251="","",IF(G251&lt;=0,"Kapandı",IF(H251=0,"Vadesi gelmedi",IF(H251&lt;=30,"1-30",IF(H251&lt;=60,"31-60",IF(H251&lt;=90,"61-90","90+"))))))</f>
        <v/>
      </c>
      <c r="J251" s="10" t="n"/>
      <c r="K251" s="14" t="n"/>
      <c r="L251" s="10" t="n"/>
    </row>
    <row r="252">
      <c r="A252" s="10" t="n"/>
      <c r="B252" s="10" t="n"/>
      <c r="C252" s="14" t="n"/>
      <c r="D252" s="14" t="n"/>
      <c r="E252" s="11" t="n"/>
      <c r="F252" s="11" t="n"/>
      <c r="G252" s="12">
        <f>IF(E252="","",E252-F252)</f>
        <v/>
      </c>
      <c r="H252" s="16">
        <f>IF(OR(G252="",G252&lt;=0),"",MAX(0,$B$5-D252))</f>
        <v/>
      </c>
      <c r="I252" s="16">
        <f>IF(G252="","",IF(G252&lt;=0,"Kapandı",IF(H252=0,"Vadesi gelmedi",IF(H252&lt;=30,"1-30",IF(H252&lt;=60,"31-60",IF(H252&lt;=90,"61-90","90+"))))))</f>
        <v/>
      </c>
      <c r="J252" s="10" t="n"/>
      <c r="K252" s="14" t="n"/>
      <c r="L252" s="10" t="n"/>
    </row>
    <row r="253">
      <c r="A253" s="10" t="n"/>
      <c r="B253" s="10" t="n"/>
      <c r="C253" s="14" t="n"/>
      <c r="D253" s="14" t="n"/>
      <c r="E253" s="11" t="n"/>
      <c r="F253" s="11" t="n"/>
      <c r="G253" s="12">
        <f>IF(E253="","",E253-F253)</f>
        <v/>
      </c>
      <c r="H253" s="16">
        <f>IF(OR(G253="",G253&lt;=0),"",MAX(0,$B$5-D253))</f>
        <v/>
      </c>
      <c r="I253" s="16">
        <f>IF(G253="","",IF(G253&lt;=0,"Kapandı",IF(H253=0,"Vadesi gelmedi",IF(H253&lt;=30,"1-30",IF(H253&lt;=60,"31-60",IF(H253&lt;=90,"61-90","90+"))))))</f>
        <v/>
      </c>
      <c r="J253" s="10" t="n"/>
      <c r="K253" s="14" t="n"/>
      <c r="L253" s="10" t="n"/>
    </row>
    <row r="254">
      <c r="A254" s="10" t="n"/>
      <c r="B254" s="10" t="n"/>
      <c r="C254" s="14" t="n"/>
      <c r="D254" s="14" t="n"/>
      <c r="E254" s="11" t="n"/>
      <c r="F254" s="11" t="n"/>
      <c r="G254" s="12">
        <f>IF(E254="","",E254-F254)</f>
        <v/>
      </c>
      <c r="H254" s="16">
        <f>IF(OR(G254="",G254&lt;=0),"",MAX(0,$B$5-D254))</f>
        <v/>
      </c>
      <c r="I254" s="16">
        <f>IF(G254="","",IF(G254&lt;=0,"Kapandı",IF(H254=0,"Vadesi gelmedi",IF(H254&lt;=30,"1-30",IF(H254&lt;=60,"31-60",IF(H254&lt;=90,"61-90","90+"))))))</f>
        <v/>
      </c>
      <c r="J254" s="10" t="n"/>
      <c r="K254" s="14" t="n"/>
      <c r="L254" s="10" t="n"/>
    </row>
    <row r="255">
      <c r="A255" s="10" t="n"/>
      <c r="B255" s="10" t="n"/>
      <c r="C255" s="14" t="n"/>
      <c r="D255" s="14" t="n"/>
      <c r="E255" s="11" t="n"/>
      <c r="F255" s="11" t="n"/>
      <c r="G255" s="12">
        <f>IF(E255="","",E255-F255)</f>
        <v/>
      </c>
      <c r="H255" s="16">
        <f>IF(OR(G255="",G255&lt;=0),"",MAX(0,$B$5-D255))</f>
        <v/>
      </c>
      <c r="I255" s="16">
        <f>IF(G255="","",IF(G255&lt;=0,"Kapandı",IF(H255=0,"Vadesi gelmedi",IF(H255&lt;=30,"1-30",IF(H255&lt;=60,"31-60",IF(H255&lt;=90,"61-90","90+"))))))</f>
        <v/>
      </c>
      <c r="J255" s="10" t="n"/>
      <c r="K255" s="14" t="n"/>
      <c r="L255" s="10" t="n"/>
    </row>
    <row r="256">
      <c r="A256" s="10" t="n"/>
      <c r="B256" s="10" t="n"/>
      <c r="C256" s="14" t="n"/>
      <c r="D256" s="14" t="n"/>
      <c r="E256" s="11" t="n"/>
      <c r="F256" s="11" t="n"/>
      <c r="G256" s="12">
        <f>IF(E256="","",E256-F256)</f>
        <v/>
      </c>
      <c r="H256" s="16">
        <f>IF(OR(G256="",G256&lt;=0),"",MAX(0,$B$5-D256))</f>
        <v/>
      </c>
      <c r="I256" s="16">
        <f>IF(G256="","",IF(G256&lt;=0,"Kapandı",IF(H256=0,"Vadesi gelmedi",IF(H256&lt;=30,"1-30",IF(H256&lt;=60,"31-60",IF(H256&lt;=90,"61-90","90+"))))))</f>
        <v/>
      </c>
      <c r="J256" s="10" t="n"/>
      <c r="K256" s="14" t="n"/>
      <c r="L256" s="10" t="n"/>
    </row>
    <row r="257">
      <c r="A257" s="10" t="n"/>
      <c r="B257" s="10" t="n"/>
      <c r="C257" s="14" t="n"/>
      <c r="D257" s="14" t="n"/>
      <c r="E257" s="11" t="n"/>
      <c r="F257" s="11" t="n"/>
      <c r="G257" s="12">
        <f>IF(E257="","",E257-F257)</f>
        <v/>
      </c>
      <c r="H257" s="16">
        <f>IF(OR(G257="",G257&lt;=0),"",MAX(0,$B$5-D257))</f>
        <v/>
      </c>
      <c r="I257" s="16">
        <f>IF(G257="","",IF(G257&lt;=0,"Kapandı",IF(H257=0,"Vadesi gelmedi",IF(H257&lt;=30,"1-30",IF(H257&lt;=60,"31-60",IF(H257&lt;=90,"61-90","90+"))))))</f>
        <v/>
      </c>
      <c r="J257" s="10" t="n"/>
      <c r="K257" s="14" t="n"/>
      <c r="L257" s="10" t="n"/>
    </row>
    <row r="258">
      <c r="A258" s="10" t="n"/>
      <c r="B258" s="10" t="n"/>
      <c r="C258" s="14" t="n"/>
      <c r="D258" s="14" t="n"/>
      <c r="E258" s="11" t="n"/>
      <c r="F258" s="11" t="n"/>
      <c r="G258" s="12">
        <f>IF(E258="","",E258-F258)</f>
        <v/>
      </c>
      <c r="H258" s="16">
        <f>IF(OR(G258="",G258&lt;=0),"",MAX(0,$B$5-D258))</f>
        <v/>
      </c>
      <c r="I258" s="16">
        <f>IF(G258="","",IF(G258&lt;=0,"Kapandı",IF(H258=0,"Vadesi gelmedi",IF(H258&lt;=30,"1-30",IF(H258&lt;=60,"31-60",IF(H258&lt;=90,"61-90","90+"))))))</f>
        <v/>
      </c>
      <c r="J258" s="10" t="n"/>
      <c r="K258" s="14" t="n"/>
      <c r="L258" s="10" t="n"/>
    </row>
    <row r="259">
      <c r="A259" s="10" t="n"/>
      <c r="B259" s="10" t="n"/>
      <c r="C259" s="14" t="n"/>
      <c r="D259" s="14" t="n"/>
      <c r="E259" s="11" t="n"/>
      <c r="F259" s="11" t="n"/>
      <c r="G259" s="12">
        <f>IF(E259="","",E259-F259)</f>
        <v/>
      </c>
      <c r="H259" s="16">
        <f>IF(OR(G259="",G259&lt;=0),"",MAX(0,$B$5-D259))</f>
        <v/>
      </c>
      <c r="I259" s="16">
        <f>IF(G259="","",IF(G259&lt;=0,"Kapandı",IF(H259=0,"Vadesi gelmedi",IF(H259&lt;=30,"1-30",IF(H259&lt;=60,"31-60",IF(H259&lt;=90,"61-90","90+"))))))</f>
        <v/>
      </c>
      <c r="J259" s="10" t="n"/>
      <c r="K259" s="14" t="n"/>
      <c r="L259" s="10" t="n"/>
    </row>
    <row r="260">
      <c r="A260" s="10" t="n"/>
      <c r="B260" s="10" t="n"/>
      <c r="C260" s="14" t="n"/>
      <c r="D260" s="14" t="n"/>
      <c r="E260" s="11" t="n"/>
      <c r="F260" s="11" t="n"/>
      <c r="G260" s="12">
        <f>IF(E260="","",E260-F260)</f>
        <v/>
      </c>
      <c r="H260" s="16">
        <f>IF(OR(G260="",G260&lt;=0),"",MAX(0,$B$5-D260))</f>
        <v/>
      </c>
      <c r="I260" s="16">
        <f>IF(G260="","",IF(G260&lt;=0,"Kapandı",IF(H260=0,"Vadesi gelmedi",IF(H260&lt;=30,"1-30",IF(H260&lt;=60,"31-60",IF(H260&lt;=90,"61-90","90+"))))))</f>
        <v/>
      </c>
      <c r="J260" s="10" t="n"/>
      <c r="K260" s="14" t="n"/>
      <c r="L260" s="10" t="n"/>
    </row>
    <row r="261">
      <c r="A261" s="10" t="n"/>
      <c r="B261" s="10" t="n"/>
      <c r="C261" s="14" t="n"/>
      <c r="D261" s="14" t="n"/>
      <c r="E261" s="11" t="n"/>
      <c r="F261" s="11" t="n"/>
      <c r="G261" s="12">
        <f>IF(E261="","",E261-F261)</f>
        <v/>
      </c>
      <c r="H261" s="16">
        <f>IF(OR(G261="",G261&lt;=0),"",MAX(0,$B$5-D261))</f>
        <v/>
      </c>
      <c r="I261" s="16">
        <f>IF(G261="","",IF(G261&lt;=0,"Kapandı",IF(H261=0,"Vadesi gelmedi",IF(H261&lt;=30,"1-30",IF(H261&lt;=60,"31-60",IF(H261&lt;=90,"61-90","90+"))))))</f>
        <v/>
      </c>
      <c r="J261" s="10" t="n"/>
      <c r="K261" s="14" t="n"/>
      <c r="L261" s="10" t="n"/>
    </row>
    <row r="262">
      <c r="A262" s="10" t="n"/>
      <c r="B262" s="10" t="n"/>
      <c r="C262" s="14" t="n"/>
      <c r="D262" s="14" t="n"/>
      <c r="E262" s="11" t="n"/>
      <c r="F262" s="11" t="n"/>
      <c r="G262" s="12">
        <f>IF(E262="","",E262-F262)</f>
        <v/>
      </c>
      <c r="H262" s="16">
        <f>IF(OR(G262="",G262&lt;=0),"",MAX(0,$B$5-D262))</f>
        <v/>
      </c>
      <c r="I262" s="16">
        <f>IF(G262="","",IF(G262&lt;=0,"Kapandı",IF(H262=0,"Vadesi gelmedi",IF(H262&lt;=30,"1-30",IF(H262&lt;=60,"31-60",IF(H262&lt;=90,"61-90","90+"))))))</f>
        <v/>
      </c>
      <c r="J262" s="10" t="n"/>
      <c r="K262" s="14" t="n"/>
      <c r="L262" s="10" t="n"/>
    </row>
    <row r="263">
      <c r="A263" s="10" t="n"/>
      <c r="B263" s="10" t="n"/>
      <c r="C263" s="14" t="n"/>
      <c r="D263" s="14" t="n"/>
      <c r="E263" s="11" t="n"/>
      <c r="F263" s="11" t="n"/>
      <c r="G263" s="12">
        <f>IF(E263="","",E263-F263)</f>
        <v/>
      </c>
      <c r="H263" s="16">
        <f>IF(OR(G263="",G263&lt;=0),"",MAX(0,$B$5-D263))</f>
        <v/>
      </c>
      <c r="I263" s="16">
        <f>IF(G263="","",IF(G263&lt;=0,"Kapandı",IF(H263=0,"Vadesi gelmedi",IF(H263&lt;=30,"1-30",IF(H263&lt;=60,"31-60",IF(H263&lt;=90,"61-90","90+"))))))</f>
        <v/>
      </c>
      <c r="J263" s="10" t="n"/>
      <c r="K263" s="14" t="n"/>
      <c r="L263" s="10" t="n"/>
    </row>
    <row r="264">
      <c r="A264" s="10" t="n"/>
      <c r="B264" s="10" t="n"/>
      <c r="C264" s="14" t="n"/>
      <c r="D264" s="14" t="n"/>
      <c r="E264" s="11" t="n"/>
      <c r="F264" s="11" t="n"/>
      <c r="G264" s="12">
        <f>IF(E264="","",E264-F264)</f>
        <v/>
      </c>
      <c r="H264" s="16">
        <f>IF(OR(G264="",G264&lt;=0),"",MAX(0,$B$5-D264))</f>
        <v/>
      </c>
      <c r="I264" s="16">
        <f>IF(G264="","",IF(G264&lt;=0,"Kapandı",IF(H264=0,"Vadesi gelmedi",IF(H264&lt;=30,"1-30",IF(H264&lt;=60,"31-60",IF(H264&lt;=90,"61-90","90+"))))))</f>
        <v/>
      </c>
      <c r="J264" s="10" t="n"/>
      <c r="K264" s="14" t="n"/>
      <c r="L264" s="10" t="n"/>
    </row>
    <row r="265">
      <c r="A265" s="10" t="n"/>
      <c r="B265" s="10" t="n"/>
      <c r="C265" s="14" t="n"/>
      <c r="D265" s="14" t="n"/>
      <c r="E265" s="11" t="n"/>
      <c r="F265" s="11" t="n"/>
      <c r="G265" s="12">
        <f>IF(E265="","",E265-F265)</f>
        <v/>
      </c>
      <c r="H265" s="16">
        <f>IF(OR(G265="",G265&lt;=0),"",MAX(0,$B$5-D265))</f>
        <v/>
      </c>
      <c r="I265" s="16">
        <f>IF(G265="","",IF(G265&lt;=0,"Kapandı",IF(H265=0,"Vadesi gelmedi",IF(H265&lt;=30,"1-30",IF(H265&lt;=60,"31-60",IF(H265&lt;=90,"61-90","90+"))))))</f>
        <v/>
      </c>
      <c r="J265" s="10" t="n"/>
      <c r="K265" s="14" t="n"/>
      <c r="L265" s="10" t="n"/>
    </row>
    <row r="266">
      <c r="A266" s="10" t="n"/>
      <c r="B266" s="10" t="n"/>
      <c r="C266" s="14" t="n"/>
      <c r="D266" s="14" t="n"/>
      <c r="E266" s="11" t="n"/>
      <c r="F266" s="11" t="n"/>
      <c r="G266" s="12">
        <f>IF(E266="","",E266-F266)</f>
        <v/>
      </c>
      <c r="H266" s="16">
        <f>IF(OR(G266="",G266&lt;=0),"",MAX(0,$B$5-D266))</f>
        <v/>
      </c>
      <c r="I266" s="16">
        <f>IF(G266="","",IF(G266&lt;=0,"Kapandı",IF(H266=0,"Vadesi gelmedi",IF(H266&lt;=30,"1-30",IF(H266&lt;=60,"31-60",IF(H266&lt;=90,"61-90","90+"))))))</f>
        <v/>
      </c>
      <c r="J266" s="10" t="n"/>
      <c r="K266" s="14" t="n"/>
      <c r="L266" s="10" t="n"/>
    </row>
    <row r="267">
      <c r="A267" s="10" t="n"/>
      <c r="B267" s="10" t="n"/>
      <c r="C267" s="14" t="n"/>
      <c r="D267" s="14" t="n"/>
      <c r="E267" s="11" t="n"/>
      <c r="F267" s="11" t="n"/>
      <c r="G267" s="12">
        <f>IF(E267="","",E267-F267)</f>
        <v/>
      </c>
      <c r="H267" s="16">
        <f>IF(OR(G267="",G267&lt;=0),"",MAX(0,$B$5-D267))</f>
        <v/>
      </c>
      <c r="I267" s="16">
        <f>IF(G267="","",IF(G267&lt;=0,"Kapandı",IF(H267=0,"Vadesi gelmedi",IF(H267&lt;=30,"1-30",IF(H267&lt;=60,"31-60",IF(H267&lt;=90,"61-90","90+"))))))</f>
        <v/>
      </c>
      <c r="J267" s="10" t="n"/>
      <c r="K267" s="14" t="n"/>
      <c r="L267" s="10" t="n"/>
    </row>
    <row r="268">
      <c r="A268" s="10" t="n"/>
      <c r="B268" s="10" t="n"/>
      <c r="C268" s="14" t="n"/>
      <c r="D268" s="14" t="n"/>
      <c r="E268" s="11" t="n"/>
      <c r="F268" s="11" t="n"/>
      <c r="G268" s="12">
        <f>IF(E268="","",E268-F268)</f>
        <v/>
      </c>
      <c r="H268" s="16">
        <f>IF(OR(G268="",G268&lt;=0),"",MAX(0,$B$5-D268))</f>
        <v/>
      </c>
      <c r="I268" s="16">
        <f>IF(G268="","",IF(G268&lt;=0,"Kapandı",IF(H268=0,"Vadesi gelmedi",IF(H268&lt;=30,"1-30",IF(H268&lt;=60,"31-60",IF(H268&lt;=90,"61-90","90+"))))))</f>
        <v/>
      </c>
      <c r="J268" s="10" t="n"/>
      <c r="K268" s="14" t="n"/>
      <c r="L268" s="10" t="n"/>
    </row>
    <row r="269">
      <c r="A269" s="10" t="n"/>
      <c r="B269" s="10" t="n"/>
      <c r="C269" s="14" t="n"/>
      <c r="D269" s="14" t="n"/>
      <c r="E269" s="11" t="n"/>
      <c r="F269" s="11" t="n"/>
      <c r="G269" s="12">
        <f>IF(E269="","",E269-F269)</f>
        <v/>
      </c>
      <c r="H269" s="16">
        <f>IF(OR(G269="",G269&lt;=0),"",MAX(0,$B$5-D269))</f>
        <v/>
      </c>
      <c r="I269" s="16">
        <f>IF(G269="","",IF(G269&lt;=0,"Kapandı",IF(H269=0,"Vadesi gelmedi",IF(H269&lt;=30,"1-30",IF(H269&lt;=60,"31-60",IF(H269&lt;=90,"61-90","90+"))))))</f>
        <v/>
      </c>
      <c r="J269" s="10" t="n"/>
      <c r="K269" s="14" t="n"/>
      <c r="L269" s="10" t="n"/>
    </row>
    <row r="270">
      <c r="A270" s="10" t="n"/>
      <c r="B270" s="10" t="n"/>
      <c r="C270" s="14" t="n"/>
      <c r="D270" s="14" t="n"/>
      <c r="E270" s="11" t="n"/>
      <c r="F270" s="11" t="n"/>
      <c r="G270" s="12">
        <f>IF(E270="","",E270-F270)</f>
        <v/>
      </c>
      <c r="H270" s="16">
        <f>IF(OR(G270="",G270&lt;=0),"",MAX(0,$B$5-D270))</f>
        <v/>
      </c>
      <c r="I270" s="16">
        <f>IF(G270="","",IF(G270&lt;=0,"Kapandı",IF(H270=0,"Vadesi gelmedi",IF(H270&lt;=30,"1-30",IF(H270&lt;=60,"31-60",IF(H270&lt;=90,"61-90","90+"))))))</f>
        <v/>
      </c>
      <c r="J270" s="10" t="n"/>
      <c r="K270" s="14" t="n"/>
      <c r="L270" s="10" t="n"/>
    </row>
    <row r="271">
      <c r="A271" s="10" t="n"/>
      <c r="B271" s="10" t="n"/>
      <c r="C271" s="14" t="n"/>
      <c r="D271" s="14" t="n"/>
      <c r="E271" s="11" t="n"/>
      <c r="F271" s="11" t="n"/>
      <c r="G271" s="12">
        <f>IF(E271="","",E271-F271)</f>
        <v/>
      </c>
      <c r="H271" s="16">
        <f>IF(OR(G271="",G271&lt;=0),"",MAX(0,$B$5-D271))</f>
        <v/>
      </c>
      <c r="I271" s="16">
        <f>IF(G271="","",IF(G271&lt;=0,"Kapandı",IF(H271=0,"Vadesi gelmedi",IF(H271&lt;=30,"1-30",IF(H271&lt;=60,"31-60",IF(H271&lt;=90,"61-90","90+"))))))</f>
        <v/>
      </c>
      <c r="J271" s="10" t="n"/>
      <c r="K271" s="14" t="n"/>
      <c r="L271" s="10" t="n"/>
    </row>
    <row r="272">
      <c r="A272" s="10" t="n"/>
      <c r="B272" s="10" t="n"/>
      <c r="C272" s="14" t="n"/>
      <c r="D272" s="14" t="n"/>
      <c r="E272" s="11" t="n"/>
      <c r="F272" s="11" t="n"/>
      <c r="G272" s="12">
        <f>IF(E272="","",E272-F272)</f>
        <v/>
      </c>
      <c r="H272" s="16">
        <f>IF(OR(G272="",G272&lt;=0),"",MAX(0,$B$5-D272))</f>
        <v/>
      </c>
      <c r="I272" s="16">
        <f>IF(G272="","",IF(G272&lt;=0,"Kapandı",IF(H272=0,"Vadesi gelmedi",IF(H272&lt;=30,"1-30",IF(H272&lt;=60,"31-60",IF(H272&lt;=90,"61-90","90+"))))))</f>
        <v/>
      </c>
      <c r="J272" s="10" t="n"/>
      <c r="K272" s="14" t="n"/>
      <c r="L272" s="10" t="n"/>
    </row>
    <row r="273">
      <c r="A273" s="10" t="n"/>
      <c r="B273" s="10" t="n"/>
      <c r="C273" s="14" t="n"/>
      <c r="D273" s="14" t="n"/>
      <c r="E273" s="11" t="n"/>
      <c r="F273" s="11" t="n"/>
      <c r="G273" s="12">
        <f>IF(E273="","",E273-F273)</f>
        <v/>
      </c>
      <c r="H273" s="16">
        <f>IF(OR(G273="",G273&lt;=0),"",MAX(0,$B$5-D273))</f>
        <v/>
      </c>
      <c r="I273" s="16">
        <f>IF(G273="","",IF(G273&lt;=0,"Kapandı",IF(H273=0,"Vadesi gelmedi",IF(H273&lt;=30,"1-30",IF(H273&lt;=60,"31-60",IF(H273&lt;=90,"61-90","90+"))))))</f>
        <v/>
      </c>
      <c r="J273" s="10" t="n"/>
      <c r="K273" s="14" t="n"/>
      <c r="L273" s="10" t="n"/>
    </row>
    <row r="274">
      <c r="A274" s="10" t="n"/>
      <c r="B274" s="10" t="n"/>
      <c r="C274" s="14" t="n"/>
      <c r="D274" s="14" t="n"/>
      <c r="E274" s="11" t="n"/>
      <c r="F274" s="11" t="n"/>
      <c r="G274" s="12">
        <f>IF(E274="","",E274-F274)</f>
        <v/>
      </c>
      <c r="H274" s="16">
        <f>IF(OR(G274="",G274&lt;=0),"",MAX(0,$B$5-D274))</f>
        <v/>
      </c>
      <c r="I274" s="16">
        <f>IF(G274="","",IF(G274&lt;=0,"Kapandı",IF(H274=0,"Vadesi gelmedi",IF(H274&lt;=30,"1-30",IF(H274&lt;=60,"31-60",IF(H274&lt;=90,"61-90","90+"))))))</f>
        <v/>
      </c>
      <c r="J274" s="10" t="n"/>
      <c r="K274" s="14" t="n"/>
      <c r="L274" s="10" t="n"/>
    </row>
    <row r="275">
      <c r="A275" s="10" t="n"/>
      <c r="B275" s="10" t="n"/>
      <c r="C275" s="14" t="n"/>
      <c r="D275" s="14" t="n"/>
      <c r="E275" s="11" t="n"/>
      <c r="F275" s="11" t="n"/>
      <c r="G275" s="12">
        <f>IF(E275="","",E275-F275)</f>
        <v/>
      </c>
      <c r="H275" s="16">
        <f>IF(OR(G275="",G275&lt;=0),"",MAX(0,$B$5-D275))</f>
        <v/>
      </c>
      <c r="I275" s="16">
        <f>IF(G275="","",IF(G275&lt;=0,"Kapandı",IF(H275=0,"Vadesi gelmedi",IF(H275&lt;=30,"1-30",IF(H275&lt;=60,"31-60",IF(H275&lt;=90,"61-90","90+"))))))</f>
        <v/>
      </c>
      <c r="J275" s="10" t="n"/>
      <c r="K275" s="14" t="n"/>
      <c r="L275" s="10" t="n"/>
    </row>
    <row r="276">
      <c r="A276" s="10" t="n"/>
      <c r="B276" s="10" t="n"/>
      <c r="C276" s="14" t="n"/>
      <c r="D276" s="14" t="n"/>
      <c r="E276" s="11" t="n"/>
      <c r="F276" s="11" t="n"/>
      <c r="G276" s="12">
        <f>IF(E276="","",E276-F276)</f>
        <v/>
      </c>
      <c r="H276" s="16">
        <f>IF(OR(G276="",G276&lt;=0),"",MAX(0,$B$5-D276))</f>
        <v/>
      </c>
      <c r="I276" s="16">
        <f>IF(G276="","",IF(G276&lt;=0,"Kapandı",IF(H276=0,"Vadesi gelmedi",IF(H276&lt;=30,"1-30",IF(H276&lt;=60,"31-60",IF(H276&lt;=90,"61-90","90+"))))))</f>
        <v/>
      </c>
      <c r="J276" s="10" t="n"/>
      <c r="K276" s="14" t="n"/>
      <c r="L276" s="10" t="n"/>
    </row>
    <row r="277">
      <c r="A277" s="10" t="n"/>
      <c r="B277" s="10" t="n"/>
      <c r="C277" s="14" t="n"/>
      <c r="D277" s="14" t="n"/>
      <c r="E277" s="11" t="n"/>
      <c r="F277" s="11" t="n"/>
      <c r="G277" s="12">
        <f>IF(E277="","",E277-F277)</f>
        <v/>
      </c>
      <c r="H277" s="16">
        <f>IF(OR(G277="",G277&lt;=0),"",MAX(0,$B$5-D277))</f>
        <v/>
      </c>
      <c r="I277" s="16">
        <f>IF(G277="","",IF(G277&lt;=0,"Kapandı",IF(H277=0,"Vadesi gelmedi",IF(H277&lt;=30,"1-30",IF(H277&lt;=60,"31-60",IF(H277&lt;=90,"61-90","90+"))))))</f>
        <v/>
      </c>
      <c r="J277" s="10" t="n"/>
      <c r="K277" s="14" t="n"/>
      <c r="L277" s="10" t="n"/>
    </row>
    <row r="278">
      <c r="A278" s="10" t="n"/>
      <c r="B278" s="10" t="n"/>
      <c r="C278" s="14" t="n"/>
      <c r="D278" s="14" t="n"/>
      <c r="E278" s="11" t="n"/>
      <c r="F278" s="11" t="n"/>
      <c r="G278" s="12">
        <f>IF(E278="","",E278-F278)</f>
        <v/>
      </c>
      <c r="H278" s="16">
        <f>IF(OR(G278="",G278&lt;=0),"",MAX(0,$B$5-D278))</f>
        <v/>
      </c>
      <c r="I278" s="16">
        <f>IF(G278="","",IF(G278&lt;=0,"Kapandı",IF(H278=0,"Vadesi gelmedi",IF(H278&lt;=30,"1-30",IF(H278&lt;=60,"31-60",IF(H278&lt;=90,"61-90","90+"))))))</f>
        <v/>
      </c>
      <c r="J278" s="10" t="n"/>
      <c r="K278" s="14" t="n"/>
      <c r="L278" s="10" t="n"/>
    </row>
    <row r="279">
      <c r="A279" s="10" t="n"/>
      <c r="B279" s="10" t="n"/>
      <c r="C279" s="14" t="n"/>
      <c r="D279" s="14" t="n"/>
      <c r="E279" s="11" t="n"/>
      <c r="F279" s="11" t="n"/>
      <c r="G279" s="12">
        <f>IF(E279="","",E279-F279)</f>
        <v/>
      </c>
      <c r="H279" s="16">
        <f>IF(OR(G279="",G279&lt;=0),"",MAX(0,$B$5-D279))</f>
        <v/>
      </c>
      <c r="I279" s="16">
        <f>IF(G279="","",IF(G279&lt;=0,"Kapandı",IF(H279=0,"Vadesi gelmedi",IF(H279&lt;=30,"1-30",IF(H279&lt;=60,"31-60",IF(H279&lt;=90,"61-90","90+"))))))</f>
        <v/>
      </c>
      <c r="J279" s="10" t="n"/>
      <c r="K279" s="14" t="n"/>
      <c r="L279" s="10" t="n"/>
    </row>
    <row r="280">
      <c r="A280" s="10" t="n"/>
      <c r="B280" s="10" t="n"/>
      <c r="C280" s="14" t="n"/>
      <c r="D280" s="14" t="n"/>
      <c r="E280" s="11" t="n"/>
      <c r="F280" s="11" t="n"/>
      <c r="G280" s="12">
        <f>IF(E280="","",E280-F280)</f>
        <v/>
      </c>
      <c r="H280" s="16">
        <f>IF(OR(G280="",G280&lt;=0),"",MAX(0,$B$5-D280))</f>
        <v/>
      </c>
      <c r="I280" s="16">
        <f>IF(G280="","",IF(G280&lt;=0,"Kapandı",IF(H280=0,"Vadesi gelmedi",IF(H280&lt;=30,"1-30",IF(H280&lt;=60,"31-60",IF(H280&lt;=90,"61-90","90+"))))))</f>
        <v/>
      </c>
      <c r="J280" s="10" t="n"/>
      <c r="K280" s="14" t="n"/>
      <c r="L280" s="10" t="n"/>
    </row>
    <row r="281">
      <c r="A281" s="10" t="n"/>
      <c r="B281" s="10" t="n"/>
      <c r="C281" s="14" t="n"/>
      <c r="D281" s="14" t="n"/>
      <c r="E281" s="11" t="n"/>
      <c r="F281" s="11" t="n"/>
      <c r="G281" s="12">
        <f>IF(E281="","",E281-F281)</f>
        <v/>
      </c>
      <c r="H281" s="16">
        <f>IF(OR(G281="",G281&lt;=0),"",MAX(0,$B$5-D281))</f>
        <v/>
      </c>
      <c r="I281" s="16">
        <f>IF(G281="","",IF(G281&lt;=0,"Kapandı",IF(H281=0,"Vadesi gelmedi",IF(H281&lt;=30,"1-30",IF(H281&lt;=60,"31-60",IF(H281&lt;=90,"61-90","90+"))))))</f>
        <v/>
      </c>
      <c r="J281" s="10" t="n"/>
      <c r="K281" s="14" t="n"/>
      <c r="L281" s="10" t="n"/>
    </row>
    <row r="282">
      <c r="A282" s="10" t="n"/>
      <c r="B282" s="10" t="n"/>
      <c r="C282" s="14" t="n"/>
      <c r="D282" s="14" t="n"/>
      <c r="E282" s="11" t="n"/>
      <c r="F282" s="11" t="n"/>
      <c r="G282" s="12">
        <f>IF(E282="","",E282-F282)</f>
        <v/>
      </c>
      <c r="H282" s="16">
        <f>IF(OR(G282="",G282&lt;=0),"",MAX(0,$B$5-D282))</f>
        <v/>
      </c>
      <c r="I282" s="16">
        <f>IF(G282="","",IF(G282&lt;=0,"Kapandı",IF(H282=0,"Vadesi gelmedi",IF(H282&lt;=30,"1-30",IF(H282&lt;=60,"31-60",IF(H282&lt;=90,"61-90","90+"))))))</f>
        <v/>
      </c>
      <c r="J282" s="10" t="n"/>
      <c r="K282" s="14" t="n"/>
      <c r="L282" s="10" t="n"/>
    </row>
    <row r="283">
      <c r="A283" s="10" t="n"/>
      <c r="B283" s="10" t="n"/>
      <c r="C283" s="14" t="n"/>
      <c r="D283" s="14" t="n"/>
      <c r="E283" s="11" t="n"/>
      <c r="F283" s="11" t="n"/>
      <c r="G283" s="12">
        <f>IF(E283="","",E283-F283)</f>
        <v/>
      </c>
      <c r="H283" s="16">
        <f>IF(OR(G283="",G283&lt;=0),"",MAX(0,$B$5-D283))</f>
        <v/>
      </c>
      <c r="I283" s="16">
        <f>IF(G283="","",IF(G283&lt;=0,"Kapandı",IF(H283=0,"Vadesi gelmedi",IF(H283&lt;=30,"1-30",IF(H283&lt;=60,"31-60",IF(H283&lt;=90,"61-90","90+"))))))</f>
        <v/>
      </c>
      <c r="J283" s="10" t="n"/>
      <c r="K283" s="14" t="n"/>
      <c r="L283" s="10" t="n"/>
    </row>
    <row r="284">
      <c r="A284" s="10" t="n"/>
      <c r="B284" s="10" t="n"/>
      <c r="C284" s="14" t="n"/>
      <c r="D284" s="14" t="n"/>
      <c r="E284" s="11" t="n"/>
      <c r="F284" s="11" t="n"/>
      <c r="G284" s="12">
        <f>IF(E284="","",E284-F284)</f>
        <v/>
      </c>
      <c r="H284" s="16">
        <f>IF(OR(G284="",G284&lt;=0),"",MAX(0,$B$5-D284))</f>
        <v/>
      </c>
      <c r="I284" s="16">
        <f>IF(G284="","",IF(G284&lt;=0,"Kapandı",IF(H284=0,"Vadesi gelmedi",IF(H284&lt;=30,"1-30",IF(H284&lt;=60,"31-60",IF(H284&lt;=90,"61-90","90+"))))))</f>
        <v/>
      </c>
      <c r="J284" s="10" t="n"/>
      <c r="K284" s="14" t="n"/>
      <c r="L284" s="10" t="n"/>
    </row>
    <row r="285">
      <c r="A285" s="10" t="n"/>
      <c r="B285" s="10" t="n"/>
      <c r="C285" s="14" t="n"/>
      <c r="D285" s="14" t="n"/>
      <c r="E285" s="11" t="n"/>
      <c r="F285" s="11" t="n"/>
      <c r="G285" s="12">
        <f>IF(E285="","",E285-F285)</f>
        <v/>
      </c>
      <c r="H285" s="16">
        <f>IF(OR(G285="",G285&lt;=0),"",MAX(0,$B$5-D285))</f>
        <v/>
      </c>
      <c r="I285" s="16">
        <f>IF(G285="","",IF(G285&lt;=0,"Kapandı",IF(H285=0,"Vadesi gelmedi",IF(H285&lt;=30,"1-30",IF(H285&lt;=60,"31-60",IF(H285&lt;=90,"61-90","90+"))))))</f>
        <v/>
      </c>
      <c r="J285" s="10" t="n"/>
      <c r="K285" s="14" t="n"/>
      <c r="L285" s="10" t="n"/>
    </row>
    <row r="286">
      <c r="A286" s="10" t="n"/>
      <c r="B286" s="10" t="n"/>
      <c r="C286" s="14" t="n"/>
      <c r="D286" s="14" t="n"/>
      <c r="E286" s="11" t="n"/>
      <c r="F286" s="11" t="n"/>
      <c r="G286" s="12">
        <f>IF(E286="","",E286-F286)</f>
        <v/>
      </c>
      <c r="H286" s="16">
        <f>IF(OR(G286="",G286&lt;=0),"",MAX(0,$B$5-D286))</f>
        <v/>
      </c>
      <c r="I286" s="16">
        <f>IF(G286="","",IF(G286&lt;=0,"Kapandı",IF(H286=0,"Vadesi gelmedi",IF(H286&lt;=30,"1-30",IF(H286&lt;=60,"31-60",IF(H286&lt;=90,"61-90","90+"))))))</f>
        <v/>
      </c>
      <c r="J286" s="10" t="n"/>
      <c r="K286" s="14" t="n"/>
      <c r="L286" s="10" t="n"/>
    </row>
    <row r="287">
      <c r="A287" s="10" t="n"/>
      <c r="B287" s="10" t="n"/>
      <c r="C287" s="14" t="n"/>
      <c r="D287" s="14" t="n"/>
      <c r="E287" s="11" t="n"/>
      <c r="F287" s="11" t="n"/>
      <c r="G287" s="12">
        <f>IF(E287="","",E287-F287)</f>
        <v/>
      </c>
      <c r="H287" s="16">
        <f>IF(OR(G287="",G287&lt;=0),"",MAX(0,$B$5-D287))</f>
        <v/>
      </c>
      <c r="I287" s="16">
        <f>IF(G287="","",IF(G287&lt;=0,"Kapandı",IF(H287=0,"Vadesi gelmedi",IF(H287&lt;=30,"1-30",IF(H287&lt;=60,"31-60",IF(H287&lt;=90,"61-90","90+"))))))</f>
        <v/>
      </c>
      <c r="J287" s="10" t="n"/>
      <c r="K287" s="14" t="n"/>
      <c r="L287" s="10" t="n"/>
    </row>
    <row r="288">
      <c r="A288" s="10" t="n"/>
      <c r="B288" s="10" t="n"/>
      <c r="C288" s="14" t="n"/>
      <c r="D288" s="14" t="n"/>
      <c r="E288" s="11" t="n"/>
      <c r="F288" s="11" t="n"/>
      <c r="G288" s="12">
        <f>IF(E288="","",E288-F288)</f>
        <v/>
      </c>
      <c r="H288" s="16">
        <f>IF(OR(G288="",G288&lt;=0),"",MAX(0,$B$5-D288))</f>
        <v/>
      </c>
      <c r="I288" s="16">
        <f>IF(G288="","",IF(G288&lt;=0,"Kapandı",IF(H288=0,"Vadesi gelmedi",IF(H288&lt;=30,"1-30",IF(H288&lt;=60,"31-60",IF(H288&lt;=90,"61-90","90+"))))))</f>
        <v/>
      </c>
      <c r="J288" s="10" t="n"/>
      <c r="K288" s="14" t="n"/>
      <c r="L288" s="10" t="n"/>
    </row>
    <row r="289">
      <c r="A289" s="10" t="n"/>
      <c r="B289" s="10" t="n"/>
      <c r="C289" s="14" t="n"/>
      <c r="D289" s="14" t="n"/>
      <c r="E289" s="11" t="n"/>
      <c r="F289" s="11" t="n"/>
      <c r="G289" s="12">
        <f>IF(E289="","",E289-F289)</f>
        <v/>
      </c>
      <c r="H289" s="16">
        <f>IF(OR(G289="",G289&lt;=0),"",MAX(0,$B$5-D289))</f>
        <v/>
      </c>
      <c r="I289" s="16">
        <f>IF(G289="","",IF(G289&lt;=0,"Kapandı",IF(H289=0,"Vadesi gelmedi",IF(H289&lt;=30,"1-30",IF(H289&lt;=60,"31-60",IF(H289&lt;=90,"61-90","90+"))))))</f>
        <v/>
      </c>
      <c r="J289" s="10" t="n"/>
      <c r="K289" s="14" t="n"/>
      <c r="L289" s="10" t="n"/>
    </row>
    <row r="290">
      <c r="A290" s="10" t="n"/>
      <c r="B290" s="10" t="n"/>
      <c r="C290" s="14" t="n"/>
      <c r="D290" s="14" t="n"/>
      <c r="E290" s="11" t="n"/>
      <c r="F290" s="11" t="n"/>
      <c r="G290" s="12">
        <f>IF(E290="","",E290-F290)</f>
        <v/>
      </c>
      <c r="H290" s="16">
        <f>IF(OR(G290="",G290&lt;=0),"",MAX(0,$B$5-D290))</f>
        <v/>
      </c>
      <c r="I290" s="16">
        <f>IF(G290="","",IF(G290&lt;=0,"Kapandı",IF(H290=0,"Vadesi gelmedi",IF(H290&lt;=30,"1-30",IF(H290&lt;=60,"31-60",IF(H290&lt;=90,"61-90","90+"))))))</f>
        <v/>
      </c>
      <c r="J290" s="10" t="n"/>
      <c r="K290" s="14" t="n"/>
      <c r="L290" s="10" t="n"/>
    </row>
    <row r="291">
      <c r="A291" s="10" t="n"/>
      <c r="B291" s="10" t="n"/>
      <c r="C291" s="14" t="n"/>
      <c r="D291" s="14" t="n"/>
      <c r="E291" s="11" t="n"/>
      <c r="F291" s="11" t="n"/>
      <c r="G291" s="12">
        <f>IF(E291="","",E291-F291)</f>
        <v/>
      </c>
      <c r="H291" s="16">
        <f>IF(OR(G291="",G291&lt;=0),"",MAX(0,$B$5-D291))</f>
        <v/>
      </c>
      <c r="I291" s="16">
        <f>IF(G291="","",IF(G291&lt;=0,"Kapandı",IF(H291=0,"Vadesi gelmedi",IF(H291&lt;=30,"1-30",IF(H291&lt;=60,"31-60",IF(H291&lt;=90,"61-90","90+"))))))</f>
        <v/>
      </c>
      <c r="J291" s="10" t="n"/>
      <c r="K291" s="14" t="n"/>
      <c r="L291" s="10" t="n"/>
    </row>
    <row r="292">
      <c r="A292" s="10" t="n"/>
      <c r="B292" s="10" t="n"/>
      <c r="C292" s="14" t="n"/>
      <c r="D292" s="14" t="n"/>
      <c r="E292" s="11" t="n"/>
      <c r="F292" s="11" t="n"/>
      <c r="G292" s="12">
        <f>IF(E292="","",E292-F292)</f>
        <v/>
      </c>
      <c r="H292" s="16">
        <f>IF(OR(G292="",G292&lt;=0),"",MAX(0,$B$5-D292))</f>
        <v/>
      </c>
      <c r="I292" s="16">
        <f>IF(G292="","",IF(G292&lt;=0,"Kapandı",IF(H292=0,"Vadesi gelmedi",IF(H292&lt;=30,"1-30",IF(H292&lt;=60,"31-60",IF(H292&lt;=90,"61-90","90+"))))))</f>
        <v/>
      </c>
      <c r="J292" s="10" t="n"/>
      <c r="K292" s="14" t="n"/>
      <c r="L292" s="10" t="n"/>
    </row>
    <row r="293">
      <c r="A293" s="10" t="n"/>
      <c r="B293" s="10" t="n"/>
      <c r="C293" s="14" t="n"/>
      <c r="D293" s="14" t="n"/>
      <c r="E293" s="11" t="n"/>
      <c r="F293" s="11" t="n"/>
      <c r="G293" s="12">
        <f>IF(E293="","",E293-F293)</f>
        <v/>
      </c>
      <c r="H293" s="16">
        <f>IF(OR(G293="",G293&lt;=0),"",MAX(0,$B$5-D293))</f>
        <v/>
      </c>
      <c r="I293" s="16">
        <f>IF(G293="","",IF(G293&lt;=0,"Kapandı",IF(H293=0,"Vadesi gelmedi",IF(H293&lt;=30,"1-30",IF(H293&lt;=60,"31-60",IF(H293&lt;=90,"61-90","90+"))))))</f>
        <v/>
      </c>
      <c r="J293" s="10" t="n"/>
      <c r="K293" s="14" t="n"/>
      <c r="L293" s="10" t="n"/>
    </row>
    <row r="294">
      <c r="A294" s="10" t="n"/>
      <c r="B294" s="10" t="n"/>
      <c r="C294" s="14" t="n"/>
      <c r="D294" s="14" t="n"/>
      <c r="E294" s="11" t="n"/>
      <c r="F294" s="11" t="n"/>
      <c r="G294" s="12">
        <f>IF(E294="","",E294-F294)</f>
        <v/>
      </c>
      <c r="H294" s="16">
        <f>IF(OR(G294="",G294&lt;=0),"",MAX(0,$B$5-D294))</f>
        <v/>
      </c>
      <c r="I294" s="16">
        <f>IF(G294="","",IF(G294&lt;=0,"Kapandı",IF(H294=0,"Vadesi gelmedi",IF(H294&lt;=30,"1-30",IF(H294&lt;=60,"31-60",IF(H294&lt;=90,"61-90","90+"))))))</f>
        <v/>
      </c>
      <c r="J294" s="10" t="n"/>
      <c r="K294" s="14" t="n"/>
      <c r="L294" s="10" t="n"/>
    </row>
    <row r="295">
      <c r="A295" s="10" t="n"/>
      <c r="B295" s="10" t="n"/>
      <c r="C295" s="14" t="n"/>
      <c r="D295" s="14" t="n"/>
      <c r="E295" s="11" t="n"/>
      <c r="F295" s="11" t="n"/>
      <c r="G295" s="12">
        <f>IF(E295="","",E295-F295)</f>
        <v/>
      </c>
      <c r="H295" s="16">
        <f>IF(OR(G295="",G295&lt;=0),"",MAX(0,$B$5-D295))</f>
        <v/>
      </c>
      <c r="I295" s="16">
        <f>IF(G295="","",IF(G295&lt;=0,"Kapandı",IF(H295=0,"Vadesi gelmedi",IF(H295&lt;=30,"1-30",IF(H295&lt;=60,"31-60",IF(H295&lt;=90,"61-90","90+"))))))</f>
        <v/>
      </c>
      <c r="J295" s="10" t="n"/>
      <c r="K295" s="14" t="n"/>
      <c r="L295" s="10" t="n"/>
    </row>
    <row r="296">
      <c r="A296" s="10" t="n"/>
      <c r="B296" s="10" t="n"/>
      <c r="C296" s="14" t="n"/>
      <c r="D296" s="14" t="n"/>
      <c r="E296" s="11" t="n"/>
      <c r="F296" s="11" t="n"/>
      <c r="G296" s="12">
        <f>IF(E296="","",E296-F296)</f>
        <v/>
      </c>
      <c r="H296" s="16">
        <f>IF(OR(G296="",G296&lt;=0),"",MAX(0,$B$5-D296))</f>
        <v/>
      </c>
      <c r="I296" s="16">
        <f>IF(G296="","",IF(G296&lt;=0,"Kapandı",IF(H296=0,"Vadesi gelmedi",IF(H296&lt;=30,"1-30",IF(H296&lt;=60,"31-60",IF(H296&lt;=90,"61-90","90+"))))))</f>
        <v/>
      </c>
      <c r="J296" s="10" t="n"/>
      <c r="K296" s="14" t="n"/>
      <c r="L296" s="10" t="n"/>
    </row>
    <row r="297">
      <c r="A297" s="10" t="n"/>
      <c r="B297" s="10" t="n"/>
      <c r="C297" s="14" t="n"/>
      <c r="D297" s="14" t="n"/>
      <c r="E297" s="11" t="n"/>
      <c r="F297" s="11" t="n"/>
      <c r="G297" s="12">
        <f>IF(E297="","",E297-F297)</f>
        <v/>
      </c>
      <c r="H297" s="16">
        <f>IF(OR(G297="",G297&lt;=0),"",MAX(0,$B$5-D297))</f>
        <v/>
      </c>
      <c r="I297" s="16">
        <f>IF(G297="","",IF(G297&lt;=0,"Kapandı",IF(H297=0,"Vadesi gelmedi",IF(H297&lt;=30,"1-30",IF(H297&lt;=60,"31-60",IF(H297&lt;=90,"61-90","90+"))))))</f>
        <v/>
      </c>
      <c r="J297" s="10" t="n"/>
      <c r="K297" s="14" t="n"/>
      <c r="L297" s="10" t="n"/>
    </row>
    <row r="298">
      <c r="A298" s="10" t="n"/>
      <c r="B298" s="10" t="n"/>
      <c r="C298" s="14" t="n"/>
      <c r="D298" s="14" t="n"/>
      <c r="E298" s="11" t="n"/>
      <c r="F298" s="11" t="n"/>
      <c r="G298" s="12">
        <f>IF(E298="","",E298-F298)</f>
        <v/>
      </c>
      <c r="H298" s="16">
        <f>IF(OR(G298="",G298&lt;=0),"",MAX(0,$B$5-D298))</f>
        <v/>
      </c>
      <c r="I298" s="16">
        <f>IF(G298="","",IF(G298&lt;=0,"Kapandı",IF(H298=0,"Vadesi gelmedi",IF(H298&lt;=30,"1-30",IF(H298&lt;=60,"31-60",IF(H298&lt;=90,"61-90","90+"))))))</f>
        <v/>
      </c>
      <c r="J298" s="10" t="n"/>
      <c r="K298" s="14" t="n"/>
      <c r="L298" s="10" t="n"/>
    </row>
    <row r="299">
      <c r="A299" s="10" t="n"/>
      <c r="B299" s="10" t="n"/>
      <c r="C299" s="14" t="n"/>
      <c r="D299" s="14" t="n"/>
      <c r="E299" s="11" t="n"/>
      <c r="F299" s="11" t="n"/>
      <c r="G299" s="12">
        <f>IF(E299="","",E299-F299)</f>
        <v/>
      </c>
      <c r="H299" s="16">
        <f>IF(OR(G299="",G299&lt;=0),"",MAX(0,$B$5-D299))</f>
        <v/>
      </c>
      <c r="I299" s="16">
        <f>IF(G299="","",IF(G299&lt;=0,"Kapandı",IF(H299=0,"Vadesi gelmedi",IF(H299&lt;=30,"1-30",IF(H299&lt;=60,"31-60",IF(H299&lt;=90,"61-90","90+"))))))</f>
        <v/>
      </c>
      <c r="J299" s="10" t="n"/>
      <c r="K299" s="14" t="n"/>
      <c r="L299" s="10" t="n"/>
    </row>
    <row r="300">
      <c r="A300" s="10" t="n"/>
      <c r="B300" s="10" t="n"/>
      <c r="C300" s="14" t="n"/>
      <c r="D300" s="14" t="n"/>
      <c r="E300" s="11" t="n"/>
      <c r="F300" s="11" t="n"/>
      <c r="G300" s="12">
        <f>IF(E300="","",E300-F300)</f>
        <v/>
      </c>
      <c r="H300" s="16">
        <f>IF(OR(G300="",G300&lt;=0),"",MAX(0,$B$5-D300))</f>
        <v/>
      </c>
      <c r="I300" s="16">
        <f>IF(G300="","",IF(G300&lt;=0,"Kapandı",IF(H300=0,"Vadesi gelmedi",IF(H300&lt;=30,"1-30",IF(H300&lt;=60,"31-60",IF(H300&lt;=90,"61-90","90+"))))))</f>
        <v/>
      </c>
      <c r="J300" s="10" t="n"/>
      <c r="K300" s="14" t="n"/>
      <c r="L300" s="10" t="n"/>
    </row>
    <row r="301">
      <c r="A301" s="10" t="n"/>
      <c r="B301" s="10" t="n"/>
      <c r="C301" s="14" t="n"/>
      <c r="D301" s="14" t="n"/>
      <c r="E301" s="11" t="n"/>
      <c r="F301" s="11" t="n"/>
      <c r="G301" s="12">
        <f>IF(E301="","",E301-F301)</f>
        <v/>
      </c>
      <c r="H301" s="16">
        <f>IF(OR(G301="",G301&lt;=0),"",MAX(0,$B$5-D301))</f>
        <v/>
      </c>
      <c r="I301" s="16">
        <f>IF(G301="","",IF(G301&lt;=0,"Kapandı",IF(H301=0,"Vadesi gelmedi",IF(H301&lt;=30,"1-30",IF(H301&lt;=60,"31-60",IF(H301&lt;=90,"61-90","90+"))))))</f>
        <v/>
      </c>
      <c r="J301" s="10" t="n"/>
      <c r="K301" s="14" t="n"/>
      <c r="L301" s="10" t="n"/>
    </row>
    <row r="302">
      <c r="A302" s="10" t="n"/>
      <c r="B302" s="10" t="n"/>
      <c r="C302" s="14" t="n"/>
      <c r="D302" s="14" t="n"/>
      <c r="E302" s="11" t="n"/>
      <c r="F302" s="11" t="n"/>
      <c r="G302" s="12">
        <f>IF(E302="","",E302-F302)</f>
        <v/>
      </c>
      <c r="H302" s="16">
        <f>IF(OR(G302="",G302&lt;=0),"",MAX(0,$B$5-D302))</f>
        <v/>
      </c>
      <c r="I302" s="16">
        <f>IF(G302="","",IF(G302&lt;=0,"Kapandı",IF(H302=0,"Vadesi gelmedi",IF(H302&lt;=30,"1-30",IF(H302&lt;=60,"31-60",IF(H302&lt;=90,"61-90","90+"))))))</f>
        <v/>
      </c>
      <c r="J302" s="10" t="n"/>
      <c r="K302" s="14" t="n"/>
      <c r="L302" s="10" t="n"/>
    </row>
    <row r="303">
      <c r="A303" s="10" t="n"/>
      <c r="B303" s="10" t="n"/>
      <c r="C303" s="14" t="n"/>
      <c r="D303" s="14" t="n"/>
      <c r="E303" s="11" t="n"/>
      <c r="F303" s="11" t="n"/>
      <c r="G303" s="12">
        <f>IF(E303="","",E303-F303)</f>
        <v/>
      </c>
      <c r="H303" s="16">
        <f>IF(OR(G303="",G303&lt;=0),"",MAX(0,$B$5-D303))</f>
        <v/>
      </c>
      <c r="I303" s="16">
        <f>IF(G303="","",IF(G303&lt;=0,"Kapandı",IF(H303=0,"Vadesi gelmedi",IF(H303&lt;=30,"1-30",IF(H303&lt;=60,"31-60",IF(H303&lt;=90,"61-90","90+"))))))</f>
        <v/>
      </c>
      <c r="J303" s="10" t="n"/>
      <c r="K303" s="14" t="n"/>
      <c r="L303" s="10" t="n"/>
    </row>
    <row r="304">
      <c r="A304" s="10" t="n"/>
      <c r="B304" s="10" t="n"/>
      <c r="C304" s="14" t="n"/>
      <c r="D304" s="14" t="n"/>
      <c r="E304" s="11" t="n"/>
      <c r="F304" s="11" t="n"/>
      <c r="G304" s="12">
        <f>IF(E304="","",E304-F304)</f>
        <v/>
      </c>
      <c r="H304" s="16">
        <f>IF(OR(G304="",G304&lt;=0),"",MAX(0,$B$5-D304))</f>
        <v/>
      </c>
      <c r="I304" s="16">
        <f>IF(G304="","",IF(G304&lt;=0,"Kapandı",IF(H304=0,"Vadesi gelmedi",IF(H304&lt;=30,"1-30",IF(H304&lt;=60,"31-60",IF(H304&lt;=90,"61-90","90+"))))))</f>
        <v/>
      </c>
      <c r="J304" s="10" t="n"/>
      <c r="K304" s="14" t="n"/>
      <c r="L304" s="10" t="n"/>
    </row>
    <row r="305">
      <c r="A305" s="10" t="n"/>
      <c r="B305" s="10" t="n"/>
      <c r="C305" s="14" t="n"/>
      <c r="D305" s="14" t="n"/>
      <c r="E305" s="11" t="n"/>
      <c r="F305" s="11" t="n"/>
      <c r="G305" s="12">
        <f>IF(E305="","",E305-F305)</f>
        <v/>
      </c>
      <c r="H305" s="16">
        <f>IF(OR(G305="",G305&lt;=0),"",MAX(0,$B$5-D305))</f>
        <v/>
      </c>
      <c r="I305" s="16">
        <f>IF(G305="","",IF(G305&lt;=0,"Kapandı",IF(H305=0,"Vadesi gelmedi",IF(H305&lt;=30,"1-30",IF(H305&lt;=60,"31-60",IF(H305&lt;=90,"61-90","90+"))))))</f>
        <v/>
      </c>
      <c r="J305" s="10" t="n"/>
      <c r="K305" s="14" t="n"/>
      <c r="L305" s="10" t="n"/>
    </row>
    <row r="306">
      <c r="A306" s="10" t="n"/>
      <c r="B306" s="10" t="n"/>
      <c r="C306" s="14" t="n"/>
      <c r="D306" s="14" t="n"/>
      <c r="E306" s="11" t="n"/>
      <c r="F306" s="11" t="n"/>
      <c r="G306" s="12">
        <f>IF(E306="","",E306-F306)</f>
        <v/>
      </c>
      <c r="H306" s="16">
        <f>IF(OR(G306="",G306&lt;=0),"",MAX(0,$B$5-D306))</f>
        <v/>
      </c>
      <c r="I306" s="16">
        <f>IF(G306="","",IF(G306&lt;=0,"Kapandı",IF(H306=0,"Vadesi gelmedi",IF(H306&lt;=30,"1-30",IF(H306&lt;=60,"31-60",IF(H306&lt;=90,"61-90","90+"))))))</f>
        <v/>
      </c>
      <c r="J306" s="10" t="n"/>
      <c r="K306" s="14" t="n"/>
      <c r="L306" s="10" t="n"/>
    </row>
    <row r="307">
      <c r="A307" s="10" t="n"/>
      <c r="B307" s="10" t="n"/>
      <c r="C307" s="14" t="n"/>
      <c r="D307" s="14" t="n"/>
      <c r="E307" s="11" t="n"/>
      <c r="F307" s="11" t="n"/>
      <c r="G307" s="12">
        <f>IF(E307="","",E307-F307)</f>
        <v/>
      </c>
      <c r="H307" s="16">
        <f>IF(OR(G307="",G307&lt;=0),"",MAX(0,$B$5-D307))</f>
        <v/>
      </c>
      <c r="I307" s="16">
        <f>IF(G307="","",IF(G307&lt;=0,"Kapandı",IF(H307=0,"Vadesi gelmedi",IF(H307&lt;=30,"1-30",IF(H307&lt;=60,"31-60",IF(H307&lt;=90,"61-90","90+"))))))</f>
        <v/>
      </c>
      <c r="J307" s="10" t="n"/>
      <c r="K307" s="14" t="n"/>
      <c r="L307" s="10" t="n"/>
    </row>
    <row r="308">
      <c r="A308" s="10" t="n"/>
      <c r="B308" s="10" t="n"/>
      <c r="C308" s="14" t="n"/>
      <c r="D308" s="14" t="n"/>
      <c r="E308" s="11" t="n"/>
      <c r="F308" s="11" t="n"/>
      <c r="G308" s="12">
        <f>IF(E308="","",E308-F308)</f>
        <v/>
      </c>
      <c r="H308" s="16">
        <f>IF(OR(G308="",G308&lt;=0),"",MAX(0,$B$5-D308))</f>
        <v/>
      </c>
      <c r="I308" s="16">
        <f>IF(G308="","",IF(G308&lt;=0,"Kapandı",IF(H308=0,"Vadesi gelmedi",IF(H308&lt;=30,"1-30",IF(H308&lt;=60,"31-60",IF(H308&lt;=90,"61-90","90+"))))))</f>
        <v/>
      </c>
      <c r="J308" s="10" t="n"/>
      <c r="K308" s="14" t="n"/>
      <c r="L308" s="10" t="n"/>
    </row>
    <row r="309">
      <c r="A309" s="10" t="n"/>
      <c r="B309" s="10" t="n"/>
      <c r="C309" s="14" t="n"/>
      <c r="D309" s="14" t="n"/>
      <c r="E309" s="11" t="n"/>
      <c r="F309" s="11" t="n"/>
      <c r="G309" s="12">
        <f>IF(E309="","",E309-F309)</f>
        <v/>
      </c>
      <c r="H309" s="16">
        <f>IF(OR(G309="",G309&lt;=0),"",MAX(0,$B$5-D309))</f>
        <v/>
      </c>
      <c r="I309" s="16">
        <f>IF(G309="","",IF(G309&lt;=0,"Kapandı",IF(H309=0,"Vadesi gelmedi",IF(H309&lt;=30,"1-30",IF(H309&lt;=60,"31-60",IF(H309&lt;=90,"61-90","90+"))))))</f>
        <v/>
      </c>
      <c r="J309" s="10" t="n"/>
      <c r="K309" s="14" t="n"/>
      <c r="L309" s="10" t="n"/>
    </row>
    <row r="310">
      <c r="A310" s="10" t="n"/>
      <c r="B310" s="10" t="n"/>
      <c r="C310" s="14" t="n"/>
      <c r="D310" s="14" t="n"/>
      <c r="E310" s="11" t="n"/>
      <c r="F310" s="11" t="n"/>
      <c r="G310" s="12">
        <f>IF(E310="","",E310-F310)</f>
        <v/>
      </c>
      <c r="H310" s="16">
        <f>IF(OR(G310="",G310&lt;=0),"",MAX(0,$B$5-D310))</f>
        <v/>
      </c>
      <c r="I310" s="16">
        <f>IF(G310="","",IF(G310&lt;=0,"Kapandı",IF(H310=0,"Vadesi gelmedi",IF(H310&lt;=30,"1-30",IF(H310&lt;=60,"31-60",IF(H310&lt;=90,"61-90","90+"))))))</f>
        <v/>
      </c>
      <c r="J310" s="10" t="n"/>
      <c r="K310" s="14" t="n"/>
      <c r="L310" s="10" t="n"/>
    </row>
    <row r="311">
      <c r="A311" s="10" t="n"/>
      <c r="B311" s="10" t="n"/>
      <c r="C311" s="14" t="n"/>
      <c r="D311" s="14" t="n"/>
      <c r="E311" s="11" t="n"/>
      <c r="F311" s="11" t="n"/>
      <c r="G311" s="12">
        <f>IF(E311="","",E311-F311)</f>
        <v/>
      </c>
      <c r="H311" s="16">
        <f>IF(OR(G311="",G311&lt;=0),"",MAX(0,$B$5-D311))</f>
        <v/>
      </c>
      <c r="I311" s="16">
        <f>IF(G311="","",IF(G311&lt;=0,"Kapandı",IF(H311=0,"Vadesi gelmedi",IF(H311&lt;=30,"1-30",IF(H311&lt;=60,"31-60",IF(H311&lt;=90,"61-90","90+"))))))</f>
        <v/>
      </c>
      <c r="J311" s="10" t="n"/>
      <c r="K311" s="14" t="n"/>
      <c r="L311" s="10" t="n"/>
    </row>
    <row r="312">
      <c r="A312" s="10" t="n"/>
      <c r="B312" s="10" t="n"/>
      <c r="C312" s="14" t="n"/>
      <c r="D312" s="14" t="n"/>
      <c r="E312" s="11" t="n"/>
      <c r="F312" s="11" t="n"/>
      <c r="G312" s="12">
        <f>IF(E312="","",E312-F312)</f>
        <v/>
      </c>
      <c r="H312" s="16">
        <f>IF(OR(G312="",G312&lt;=0),"",MAX(0,$B$5-D312))</f>
        <v/>
      </c>
      <c r="I312" s="16">
        <f>IF(G312="","",IF(G312&lt;=0,"Kapandı",IF(H312=0,"Vadesi gelmedi",IF(H312&lt;=30,"1-30",IF(H312&lt;=60,"31-60",IF(H312&lt;=90,"61-90","90+"))))))</f>
        <v/>
      </c>
      <c r="J312" s="10" t="n"/>
      <c r="K312" s="14" t="n"/>
      <c r="L312" s="10" t="n"/>
    </row>
    <row r="313">
      <c r="A313" s="10" t="n"/>
      <c r="B313" s="10" t="n"/>
      <c r="C313" s="14" t="n"/>
      <c r="D313" s="14" t="n"/>
      <c r="E313" s="11" t="n"/>
      <c r="F313" s="11" t="n"/>
      <c r="G313" s="12">
        <f>IF(E313="","",E313-F313)</f>
        <v/>
      </c>
      <c r="H313" s="16">
        <f>IF(OR(G313="",G313&lt;=0),"",MAX(0,$B$5-D313))</f>
        <v/>
      </c>
      <c r="I313" s="16">
        <f>IF(G313="","",IF(G313&lt;=0,"Kapandı",IF(H313=0,"Vadesi gelmedi",IF(H313&lt;=30,"1-30",IF(H313&lt;=60,"31-60",IF(H313&lt;=90,"61-90","90+"))))))</f>
        <v/>
      </c>
      <c r="J313" s="10" t="n"/>
      <c r="K313" s="14" t="n"/>
      <c r="L313" s="10" t="n"/>
    </row>
    <row r="314">
      <c r="A314" s="10" t="n"/>
      <c r="B314" s="10" t="n"/>
      <c r="C314" s="14" t="n"/>
      <c r="D314" s="14" t="n"/>
      <c r="E314" s="11" t="n"/>
      <c r="F314" s="11" t="n"/>
      <c r="G314" s="12">
        <f>IF(E314="","",E314-F314)</f>
        <v/>
      </c>
      <c r="H314" s="16">
        <f>IF(OR(G314="",G314&lt;=0),"",MAX(0,$B$5-D314))</f>
        <v/>
      </c>
      <c r="I314" s="16">
        <f>IF(G314="","",IF(G314&lt;=0,"Kapandı",IF(H314=0,"Vadesi gelmedi",IF(H314&lt;=30,"1-30",IF(H314&lt;=60,"31-60",IF(H314&lt;=90,"61-90","90+"))))))</f>
        <v/>
      </c>
      <c r="J314" s="10" t="n"/>
      <c r="K314" s="14" t="n"/>
      <c r="L314" s="10" t="n"/>
    </row>
    <row r="315">
      <c r="A315" s="10" t="n"/>
      <c r="B315" s="10" t="n"/>
      <c r="C315" s="14" t="n"/>
      <c r="D315" s="14" t="n"/>
      <c r="E315" s="11" t="n"/>
      <c r="F315" s="11" t="n"/>
      <c r="G315" s="12">
        <f>IF(E315="","",E315-F315)</f>
        <v/>
      </c>
      <c r="H315" s="16">
        <f>IF(OR(G315="",G315&lt;=0),"",MAX(0,$B$5-D315))</f>
        <v/>
      </c>
      <c r="I315" s="16">
        <f>IF(G315="","",IF(G315&lt;=0,"Kapandı",IF(H315=0,"Vadesi gelmedi",IF(H315&lt;=30,"1-30",IF(H315&lt;=60,"31-60",IF(H315&lt;=90,"61-90","90+"))))))</f>
        <v/>
      </c>
      <c r="J315" s="10" t="n"/>
      <c r="K315" s="14" t="n"/>
      <c r="L315" s="10" t="n"/>
    </row>
    <row r="316">
      <c r="A316" s="10" t="n"/>
      <c r="B316" s="10" t="n"/>
      <c r="C316" s="14" t="n"/>
      <c r="D316" s="14" t="n"/>
      <c r="E316" s="11" t="n"/>
      <c r="F316" s="11" t="n"/>
      <c r="G316" s="12">
        <f>IF(E316="","",E316-F316)</f>
        <v/>
      </c>
      <c r="H316" s="16">
        <f>IF(OR(G316="",G316&lt;=0),"",MAX(0,$B$5-D316))</f>
        <v/>
      </c>
      <c r="I316" s="16">
        <f>IF(G316="","",IF(G316&lt;=0,"Kapandı",IF(H316=0,"Vadesi gelmedi",IF(H316&lt;=30,"1-30",IF(H316&lt;=60,"31-60",IF(H316&lt;=90,"61-90","90+"))))))</f>
        <v/>
      </c>
      <c r="J316" s="10" t="n"/>
      <c r="K316" s="14" t="n"/>
      <c r="L316" s="10" t="n"/>
    </row>
    <row r="317">
      <c r="A317" s="10" t="n"/>
      <c r="B317" s="10" t="n"/>
      <c r="C317" s="14" t="n"/>
      <c r="D317" s="14" t="n"/>
      <c r="E317" s="11" t="n"/>
      <c r="F317" s="11" t="n"/>
      <c r="G317" s="12">
        <f>IF(E317="","",E317-F317)</f>
        <v/>
      </c>
      <c r="H317" s="16">
        <f>IF(OR(G317="",G317&lt;=0),"",MAX(0,$B$5-D317))</f>
        <v/>
      </c>
      <c r="I317" s="16">
        <f>IF(G317="","",IF(G317&lt;=0,"Kapandı",IF(H317=0,"Vadesi gelmedi",IF(H317&lt;=30,"1-30",IF(H317&lt;=60,"31-60",IF(H317&lt;=90,"61-90","90+"))))))</f>
        <v/>
      </c>
      <c r="J317" s="10" t="n"/>
      <c r="K317" s="14" t="n"/>
      <c r="L317" s="10" t="n"/>
    </row>
    <row r="318">
      <c r="A318" s="10" t="n"/>
      <c r="B318" s="10" t="n"/>
      <c r="C318" s="14" t="n"/>
      <c r="D318" s="14" t="n"/>
      <c r="E318" s="11" t="n"/>
      <c r="F318" s="11" t="n"/>
      <c r="G318" s="12">
        <f>IF(E318="","",E318-F318)</f>
        <v/>
      </c>
      <c r="H318" s="16">
        <f>IF(OR(G318="",G318&lt;=0),"",MAX(0,$B$5-D318))</f>
        <v/>
      </c>
      <c r="I318" s="16">
        <f>IF(G318="","",IF(G318&lt;=0,"Kapandı",IF(H318=0,"Vadesi gelmedi",IF(H318&lt;=30,"1-30",IF(H318&lt;=60,"31-60",IF(H318&lt;=90,"61-90","90+"))))))</f>
        <v/>
      </c>
      <c r="J318" s="10" t="n"/>
      <c r="K318" s="14" t="n"/>
      <c r="L318" s="10" t="n"/>
    </row>
    <row r="319">
      <c r="A319" s="10" t="n"/>
      <c r="B319" s="10" t="n"/>
      <c r="C319" s="14" t="n"/>
      <c r="D319" s="14" t="n"/>
      <c r="E319" s="11" t="n"/>
      <c r="F319" s="11" t="n"/>
      <c r="G319" s="12">
        <f>IF(E319="","",E319-F319)</f>
        <v/>
      </c>
      <c r="H319" s="16">
        <f>IF(OR(G319="",G319&lt;=0),"",MAX(0,$B$5-D319))</f>
        <v/>
      </c>
      <c r="I319" s="16">
        <f>IF(G319="","",IF(G319&lt;=0,"Kapandı",IF(H319=0,"Vadesi gelmedi",IF(H319&lt;=30,"1-30",IF(H319&lt;=60,"31-60",IF(H319&lt;=90,"61-90","90+"))))))</f>
        <v/>
      </c>
      <c r="J319" s="10" t="n"/>
      <c r="K319" s="14" t="n"/>
      <c r="L319" s="10" t="n"/>
    </row>
    <row r="320">
      <c r="A320" s="10" t="n"/>
      <c r="B320" s="10" t="n"/>
      <c r="C320" s="14" t="n"/>
      <c r="D320" s="14" t="n"/>
      <c r="E320" s="11" t="n"/>
      <c r="F320" s="11" t="n"/>
      <c r="G320" s="12">
        <f>IF(E320="","",E320-F320)</f>
        <v/>
      </c>
      <c r="H320" s="16">
        <f>IF(OR(G320="",G320&lt;=0),"",MAX(0,$B$5-D320))</f>
        <v/>
      </c>
      <c r="I320" s="16">
        <f>IF(G320="","",IF(G320&lt;=0,"Kapandı",IF(H320=0,"Vadesi gelmedi",IF(H320&lt;=30,"1-30",IF(H320&lt;=60,"31-60",IF(H320&lt;=90,"61-90","90+"))))))</f>
        <v/>
      </c>
      <c r="J320" s="10" t="n"/>
      <c r="K320" s="14" t="n"/>
      <c r="L320" s="10" t="n"/>
    </row>
    <row r="321">
      <c r="A321" s="10" t="n"/>
      <c r="B321" s="10" t="n"/>
      <c r="C321" s="14" t="n"/>
      <c r="D321" s="14" t="n"/>
      <c r="E321" s="11" t="n"/>
      <c r="F321" s="11" t="n"/>
      <c r="G321" s="12">
        <f>IF(E321="","",E321-F321)</f>
        <v/>
      </c>
      <c r="H321" s="16">
        <f>IF(OR(G321="",G321&lt;=0),"",MAX(0,$B$5-D321))</f>
        <v/>
      </c>
      <c r="I321" s="16">
        <f>IF(G321="","",IF(G321&lt;=0,"Kapandı",IF(H321=0,"Vadesi gelmedi",IF(H321&lt;=30,"1-30",IF(H321&lt;=60,"31-60",IF(H321&lt;=90,"61-90","90+"))))))</f>
        <v/>
      </c>
      <c r="J321" s="10" t="n"/>
      <c r="K321" s="14" t="n"/>
      <c r="L321" s="10" t="n"/>
    </row>
    <row r="322">
      <c r="A322" s="10" t="n"/>
      <c r="B322" s="10" t="n"/>
      <c r="C322" s="14" t="n"/>
      <c r="D322" s="14" t="n"/>
      <c r="E322" s="11" t="n"/>
      <c r="F322" s="11" t="n"/>
      <c r="G322" s="12">
        <f>IF(E322="","",E322-F322)</f>
        <v/>
      </c>
      <c r="H322" s="16">
        <f>IF(OR(G322="",G322&lt;=0),"",MAX(0,$B$5-D322))</f>
        <v/>
      </c>
      <c r="I322" s="16">
        <f>IF(G322="","",IF(G322&lt;=0,"Kapandı",IF(H322=0,"Vadesi gelmedi",IF(H322&lt;=30,"1-30",IF(H322&lt;=60,"31-60",IF(H322&lt;=90,"61-90","90+"))))))</f>
        <v/>
      </c>
      <c r="J322" s="10" t="n"/>
      <c r="K322" s="14" t="n"/>
      <c r="L322" s="10" t="n"/>
    </row>
    <row r="323">
      <c r="A323" s="10" t="n"/>
      <c r="B323" s="10" t="n"/>
      <c r="C323" s="14" t="n"/>
      <c r="D323" s="14" t="n"/>
      <c r="E323" s="11" t="n"/>
      <c r="F323" s="11" t="n"/>
      <c r="G323" s="12">
        <f>IF(E323="","",E323-F323)</f>
        <v/>
      </c>
      <c r="H323" s="16">
        <f>IF(OR(G323="",G323&lt;=0),"",MAX(0,$B$5-D323))</f>
        <v/>
      </c>
      <c r="I323" s="16">
        <f>IF(G323="","",IF(G323&lt;=0,"Kapandı",IF(H323=0,"Vadesi gelmedi",IF(H323&lt;=30,"1-30",IF(H323&lt;=60,"31-60",IF(H323&lt;=90,"61-90","90+"))))))</f>
        <v/>
      </c>
      <c r="J323" s="10" t="n"/>
      <c r="K323" s="14" t="n"/>
      <c r="L323" s="10" t="n"/>
    </row>
    <row r="324">
      <c r="A324" s="10" t="n"/>
      <c r="B324" s="10" t="n"/>
      <c r="C324" s="14" t="n"/>
      <c r="D324" s="14" t="n"/>
      <c r="E324" s="11" t="n"/>
      <c r="F324" s="11" t="n"/>
      <c r="G324" s="12">
        <f>IF(E324="","",E324-F324)</f>
        <v/>
      </c>
      <c r="H324" s="16">
        <f>IF(OR(G324="",G324&lt;=0),"",MAX(0,$B$5-D324))</f>
        <v/>
      </c>
      <c r="I324" s="16">
        <f>IF(G324="","",IF(G324&lt;=0,"Kapandı",IF(H324=0,"Vadesi gelmedi",IF(H324&lt;=30,"1-30",IF(H324&lt;=60,"31-60",IF(H324&lt;=90,"61-90","90+"))))))</f>
        <v/>
      </c>
      <c r="J324" s="10" t="n"/>
      <c r="K324" s="14" t="n"/>
      <c r="L324" s="10" t="n"/>
    </row>
    <row r="325">
      <c r="A325" s="10" t="n"/>
      <c r="B325" s="10" t="n"/>
      <c r="C325" s="14" t="n"/>
      <c r="D325" s="14" t="n"/>
      <c r="E325" s="11" t="n"/>
      <c r="F325" s="11" t="n"/>
      <c r="G325" s="12">
        <f>IF(E325="","",E325-F325)</f>
        <v/>
      </c>
      <c r="H325" s="16">
        <f>IF(OR(G325="",G325&lt;=0),"",MAX(0,$B$5-D325))</f>
        <v/>
      </c>
      <c r="I325" s="16">
        <f>IF(G325="","",IF(G325&lt;=0,"Kapandı",IF(H325=0,"Vadesi gelmedi",IF(H325&lt;=30,"1-30",IF(H325&lt;=60,"31-60",IF(H325&lt;=90,"61-90","90+"))))))</f>
        <v/>
      </c>
      <c r="J325" s="10" t="n"/>
      <c r="K325" s="14" t="n"/>
      <c r="L325" s="10" t="n"/>
    </row>
    <row r="326">
      <c r="A326" s="10" t="n"/>
      <c r="B326" s="10" t="n"/>
      <c r="C326" s="14" t="n"/>
      <c r="D326" s="14" t="n"/>
      <c r="E326" s="11" t="n"/>
      <c r="F326" s="11" t="n"/>
      <c r="G326" s="12">
        <f>IF(E326="","",E326-F326)</f>
        <v/>
      </c>
      <c r="H326" s="16">
        <f>IF(OR(G326="",G326&lt;=0),"",MAX(0,$B$5-D326))</f>
        <v/>
      </c>
      <c r="I326" s="16">
        <f>IF(G326="","",IF(G326&lt;=0,"Kapandı",IF(H326=0,"Vadesi gelmedi",IF(H326&lt;=30,"1-30",IF(H326&lt;=60,"31-60",IF(H326&lt;=90,"61-90","90+"))))))</f>
        <v/>
      </c>
      <c r="J326" s="10" t="n"/>
      <c r="K326" s="14" t="n"/>
      <c r="L326" s="10" t="n"/>
    </row>
    <row r="327">
      <c r="A327" s="10" t="n"/>
      <c r="B327" s="10" t="n"/>
      <c r="C327" s="14" t="n"/>
      <c r="D327" s="14" t="n"/>
      <c r="E327" s="11" t="n"/>
      <c r="F327" s="11" t="n"/>
      <c r="G327" s="12">
        <f>IF(E327="","",E327-F327)</f>
        <v/>
      </c>
      <c r="H327" s="16">
        <f>IF(OR(G327="",G327&lt;=0),"",MAX(0,$B$5-D327))</f>
        <v/>
      </c>
      <c r="I327" s="16">
        <f>IF(G327="","",IF(G327&lt;=0,"Kapandı",IF(H327=0,"Vadesi gelmedi",IF(H327&lt;=30,"1-30",IF(H327&lt;=60,"31-60",IF(H327&lt;=90,"61-90","90+"))))))</f>
        <v/>
      </c>
      <c r="J327" s="10" t="n"/>
      <c r="K327" s="14" t="n"/>
      <c r="L327" s="10" t="n"/>
    </row>
    <row r="328">
      <c r="A328" s="10" t="n"/>
      <c r="B328" s="10" t="n"/>
      <c r="C328" s="14" t="n"/>
      <c r="D328" s="14" t="n"/>
      <c r="E328" s="11" t="n"/>
      <c r="F328" s="11" t="n"/>
      <c r="G328" s="12">
        <f>IF(E328="","",E328-F328)</f>
        <v/>
      </c>
      <c r="H328" s="16">
        <f>IF(OR(G328="",G328&lt;=0),"",MAX(0,$B$5-D328))</f>
        <v/>
      </c>
      <c r="I328" s="16">
        <f>IF(G328="","",IF(G328&lt;=0,"Kapandı",IF(H328=0,"Vadesi gelmedi",IF(H328&lt;=30,"1-30",IF(H328&lt;=60,"31-60",IF(H328&lt;=90,"61-90","90+"))))))</f>
        <v/>
      </c>
      <c r="J328" s="10" t="n"/>
      <c r="K328" s="14" t="n"/>
      <c r="L328" s="10" t="n"/>
    </row>
    <row r="329">
      <c r="A329" s="10" t="n"/>
      <c r="B329" s="10" t="n"/>
      <c r="C329" s="14" t="n"/>
      <c r="D329" s="14" t="n"/>
      <c r="E329" s="11" t="n"/>
      <c r="F329" s="11" t="n"/>
      <c r="G329" s="12">
        <f>IF(E329="","",E329-F329)</f>
        <v/>
      </c>
      <c r="H329" s="16">
        <f>IF(OR(G329="",G329&lt;=0),"",MAX(0,$B$5-D329))</f>
        <v/>
      </c>
      <c r="I329" s="16">
        <f>IF(G329="","",IF(G329&lt;=0,"Kapandı",IF(H329=0,"Vadesi gelmedi",IF(H329&lt;=30,"1-30",IF(H329&lt;=60,"31-60",IF(H329&lt;=90,"61-90","90+"))))))</f>
        <v/>
      </c>
      <c r="J329" s="10" t="n"/>
      <c r="K329" s="14" t="n"/>
      <c r="L329" s="10" t="n"/>
    </row>
    <row r="330">
      <c r="A330" s="10" t="n"/>
      <c r="B330" s="10" t="n"/>
      <c r="C330" s="14" t="n"/>
      <c r="D330" s="14" t="n"/>
      <c r="E330" s="11" t="n"/>
      <c r="F330" s="11" t="n"/>
      <c r="G330" s="12">
        <f>IF(E330="","",E330-F330)</f>
        <v/>
      </c>
      <c r="H330" s="16">
        <f>IF(OR(G330="",G330&lt;=0),"",MAX(0,$B$5-D330))</f>
        <v/>
      </c>
      <c r="I330" s="16">
        <f>IF(G330="","",IF(G330&lt;=0,"Kapandı",IF(H330=0,"Vadesi gelmedi",IF(H330&lt;=30,"1-30",IF(H330&lt;=60,"31-60",IF(H330&lt;=90,"61-90","90+"))))))</f>
        <v/>
      </c>
      <c r="J330" s="10" t="n"/>
      <c r="K330" s="14" t="n"/>
      <c r="L330" s="10" t="n"/>
    </row>
    <row r="331">
      <c r="A331" s="10" t="n"/>
      <c r="B331" s="10" t="n"/>
      <c r="C331" s="14" t="n"/>
      <c r="D331" s="14" t="n"/>
      <c r="E331" s="11" t="n"/>
      <c r="F331" s="11" t="n"/>
      <c r="G331" s="12">
        <f>IF(E331="","",E331-F331)</f>
        <v/>
      </c>
      <c r="H331" s="16">
        <f>IF(OR(G331="",G331&lt;=0),"",MAX(0,$B$5-D331))</f>
        <v/>
      </c>
      <c r="I331" s="16">
        <f>IF(G331="","",IF(G331&lt;=0,"Kapandı",IF(H331=0,"Vadesi gelmedi",IF(H331&lt;=30,"1-30",IF(H331&lt;=60,"31-60",IF(H331&lt;=90,"61-90","90+"))))))</f>
        <v/>
      </c>
      <c r="J331" s="10" t="n"/>
      <c r="K331" s="14" t="n"/>
      <c r="L331" s="10" t="n"/>
    </row>
    <row r="332">
      <c r="A332" s="10" t="n"/>
      <c r="B332" s="10" t="n"/>
      <c r="C332" s="14" t="n"/>
      <c r="D332" s="14" t="n"/>
      <c r="E332" s="11" t="n"/>
      <c r="F332" s="11" t="n"/>
      <c r="G332" s="12">
        <f>IF(E332="","",E332-F332)</f>
        <v/>
      </c>
      <c r="H332" s="16">
        <f>IF(OR(G332="",G332&lt;=0),"",MAX(0,$B$5-D332))</f>
        <v/>
      </c>
      <c r="I332" s="16">
        <f>IF(G332="","",IF(G332&lt;=0,"Kapandı",IF(H332=0,"Vadesi gelmedi",IF(H332&lt;=30,"1-30",IF(H332&lt;=60,"31-60",IF(H332&lt;=90,"61-90","90+"))))))</f>
        <v/>
      </c>
      <c r="J332" s="10" t="n"/>
      <c r="K332" s="14" t="n"/>
      <c r="L332" s="10" t="n"/>
    </row>
    <row r="333">
      <c r="A333" s="10" t="n"/>
      <c r="B333" s="10" t="n"/>
      <c r="C333" s="14" t="n"/>
      <c r="D333" s="14" t="n"/>
      <c r="E333" s="11" t="n"/>
      <c r="F333" s="11" t="n"/>
      <c r="G333" s="12">
        <f>IF(E333="","",E333-F333)</f>
        <v/>
      </c>
      <c r="H333" s="16">
        <f>IF(OR(G333="",G333&lt;=0),"",MAX(0,$B$5-D333))</f>
        <v/>
      </c>
      <c r="I333" s="16">
        <f>IF(G333="","",IF(G333&lt;=0,"Kapandı",IF(H333=0,"Vadesi gelmedi",IF(H333&lt;=30,"1-30",IF(H333&lt;=60,"31-60",IF(H333&lt;=90,"61-90","90+"))))))</f>
        <v/>
      </c>
      <c r="J333" s="10" t="n"/>
      <c r="K333" s="14" t="n"/>
      <c r="L333" s="10" t="n"/>
    </row>
    <row r="334">
      <c r="A334" s="10" t="n"/>
      <c r="B334" s="10" t="n"/>
      <c r="C334" s="14" t="n"/>
      <c r="D334" s="14" t="n"/>
      <c r="E334" s="11" t="n"/>
      <c r="F334" s="11" t="n"/>
      <c r="G334" s="12">
        <f>IF(E334="","",E334-F334)</f>
        <v/>
      </c>
      <c r="H334" s="16">
        <f>IF(OR(G334="",G334&lt;=0),"",MAX(0,$B$5-D334))</f>
        <v/>
      </c>
      <c r="I334" s="16">
        <f>IF(G334="","",IF(G334&lt;=0,"Kapandı",IF(H334=0,"Vadesi gelmedi",IF(H334&lt;=30,"1-30",IF(H334&lt;=60,"31-60",IF(H334&lt;=90,"61-90","90+"))))))</f>
        <v/>
      </c>
      <c r="J334" s="10" t="n"/>
      <c r="K334" s="14" t="n"/>
      <c r="L334" s="10" t="n"/>
    </row>
    <row r="335">
      <c r="A335" s="10" t="n"/>
      <c r="B335" s="10" t="n"/>
      <c r="C335" s="14" t="n"/>
      <c r="D335" s="14" t="n"/>
      <c r="E335" s="11" t="n"/>
      <c r="F335" s="11" t="n"/>
      <c r="G335" s="12">
        <f>IF(E335="","",E335-F335)</f>
        <v/>
      </c>
      <c r="H335" s="16">
        <f>IF(OR(G335="",G335&lt;=0),"",MAX(0,$B$5-D335))</f>
        <v/>
      </c>
      <c r="I335" s="16">
        <f>IF(G335="","",IF(G335&lt;=0,"Kapandı",IF(H335=0,"Vadesi gelmedi",IF(H335&lt;=30,"1-30",IF(H335&lt;=60,"31-60",IF(H335&lt;=90,"61-90","90+"))))))</f>
        <v/>
      </c>
      <c r="J335" s="10" t="n"/>
      <c r="K335" s="14" t="n"/>
      <c r="L335" s="10" t="n"/>
    </row>
    <row r="336">
      <c r="A336" s="10" t="n"/>
      <c r="B336" s="10" t="n"/>
      <c r="C336" s="14" t="n"/>
      <c r="D336" s="14" t="n"/>
      <c r="E336" s="11" t="n"/>
      <c r="F336" s="11" t="n"/>
      <c r="G336" s="12">
        <f>IF(E336="","",E336-F336)</f>
        <v/>
      </c>
      <c r="H336" s="16">
        <f>IF(OR(G336="",G336&lt;=0),"",MAX(0,$B$5-D336))</f>
        <v/>
      </c>
      <c r="I336" s="16">
        <f>IF(G336="","",IF(G336&lt;=0,"Kapandı",IF(H336=0,"Vadesi gelmedi",IF(H336&lt;=30,"1-30",IF(H336&lt;=60,"31-60",IF(H336&lt;=90,"61-90","90+"))))))</f>
        <v/>
      </c>
      <c r="J336" s="10" t="n"/>
      <c r="K336" s="14" t="n"/>
      <c r="L336" s="10" t="n"/>
    </row>
    <row r="337">
      <c r="A337" s="10" t="n"/>
      <c r="B337" s="10" t="n"/>
      <c r="C337" s="14" t="n"/>
      <c r="D337" s="14" t="n"/>
      <c r="E337" s="11" t="n"/>
      <c r="F337" s="11" t="n"/>
      <c r="G337" s="12">
        <f>IF(E337="","",E337-F337)</f>
        <v/>
      </c>
      <c r="H337" s="16">
        <f>IF(OR(G337="",G337&lt;=0),"",MAX(0,$B$5-D337))</f>
        <v/>
      </c>
      <c r="I337" s="16">
        <f>IF(G337="","",IF(G337&lt;=0,"Kapandı",IF(H337=0,"Vadesi gelmedi",IF(H337&lt;=30,"1-30",IF(H337&lt;=60,"31-60",IF(H337&lt;=90,"61-90","90+"))))))</f>
        <v/>
      </c>
      <c r="J337" s="10" t="n"/>
      <c r="K337" s="14" t="n"/>
      <c r="L337" s="10" t="n"/>
    </row>
    <row r="338">
      <c r="A338" s="10" t="n"/>
      <c r="B338" s="10" t="n"/>
      <c r="C338" s="14" t="n"/>
      <c r="D338" s="14" t="n"/>
      <c r="E338" s="11" t="n"/>
      <c r="F338" s="11" t="n"/>
      <c r="G338" s="12">
        <f>IF(E338="","",E338-F338)</f>
        <v/>
      </c>
      <c r="H338" s="16">
        <f>IF(OR(G338="",G338&lt;=0),"",MAX(0,$B$5-D338))</f>
        <v/>
      </c>
      <c r="I338" s="16">
        <f>IF(G338="","",IF(G338&lt;=0,"Kapandı",IF(H338=0,"Vadesi gelmedi",IF(H338&lt;=30,"1-30",IF(H338&lt;=60,"31-60",IF(H338&lt;=90,"61-90","90+"))))))</f>
        <v/>
      </c>
      <c r="J338" s="10" t="n"/>
      <c r="K338" s="14" t="n"/>
      <c r="L338" s="10" t="n"/>
    </row>
    <row r="339">
      <c r="A339" s="10" t="n"/>
      <c r="B339" s="10" t="n"/>
      <c r="C339" s="14" t="n"/>
      <c r="D339" s="14" t="n"/>
      <c r="E339" s="11" t="n"/>
      <c r="F339" s="11" t="n"/>
      <c r="G339" s="12">
        <f>IF(E339="","",E339-F339)</f>
        <v/>
      </c>
      <c r="H339" s="16">
        <f>IF(OR(G339="",G339&lt;=0),"",MAX(0,$B$5-D339))</f>
        <v/>
      </c>
      <c r="I339" s="16">
        <f>IF(G339="","",IF(G339&lt;=0,"Kapandı",IF(H339=0,"Vadesi gelmedi",IF(H339&lt;=30,"1-30",IF(H339&lt;=60,"31-60",IF(H339&lt;=90,"61-90","90+"))))))</f>
        <v/>
      </c>
      <c r="J339" s="10" t="n"/>
      <c r="K339" s="14" t="n"/>
      <c r="L339" s="10" t="n"/>
    </row>
    <row r="340">
      <c r="A340" s="10" t="n"/>
      <c r="B340" s="10" t="n"/>
      <c r="C340" s="14" t="n"/>
      <c r="D340" s="14" t="n"/>
      <c r="E340" s="11" t="n"/>
      <c r="F340" s="11" t="n"/>
      <c r="G340" s="12">
        <f>IF(E340="","",E340-F340)</f>
        <v/>
      </c>
      <c r="H340" s="16">
        <f>IF(OR(G340="",G340&lt;=0),"",MAX(0,$B$5-D340))</f>
        <v/>
      </c>
      <c r="I340" s="16">
        <f>IF(G340="","",IF(G340&lt;=0,"Kapandı",IF(H340=0,"Vadesi gelmedi",IF(H340&lt;=30,"1-30",IF(H340&lt;=60,"31-60",IF(H340&lt;=90,"61-90","90+"))))))</f>
        <v/>
      </c>
      <c r="J340" s="10" t="n"/>
      <c r="K340" s="14" t="n"/>
      <c r="L340" s="10" t="n"/>
    </row>
    <row r="341">
      <c r="A341" s="10" t="n"/>
      <c r="B341" s="10" t="n"/>
      <c r="C341" s="14" t="n"/>
      <c r="D341" s="14" t="n"/>
      <c r="E341" s="11" t="n"/>
      <c r="F341" s="11" t="n"/>
      <c r="G341" s="12">
        <f>IF(E341="","",E341-F341)</f>
        <v/>
      </c>
      <c r="H341" s="16">
        <f>IF(OR(G341="",G341&lt;=0),"",MAX(0,$B$5-D341))</f>
        <v/>
      </c>
      <c r="I341" s="16">
        <f>IF(G341="","",IF(G341&lt;=0,"Kapandı",IF(H341=0,"Vadesi gelmedi",IF(H341&lt;=30,"1-30",IF(H341&lt;=60,"31-60",IF(H341&lt;=90,"61-90","90+"))))))</f>
        <v/>
      </c>
      <c r="J341" s="10" t="n"/>
      <c r="K341" s="14" t="n"/>
      <c r="L341" s="10" t="n"/>
    </row>
    <row r="342">
      <c r="A342" s="10" t="n"/>
      <c r="B342" s="10" t="n"/>
      <c r="C342" s="14" t="n"/>
      <c r="D342" s="14" t="n"/>
      <c r="E342" s="11" t="n"/>
      <c r="F342" s="11" t="n"/>
      <c r="G342" s="12">
        <f>IF(E342="","",E342-F342)</f>
        <v/>
      </c>
      <c r="H342" s="16">
        <f>IF(OR(G342="",G342&lt;=0),"",MAX(0,$B$5-D342))</f>
        <v/>
      </c>
      <c r="I342" s="16">
        <f>IF(G342="","",IF(G342&lt;=0,"Kapandı",IF(H342=0,"Vadesi gelmedi",IF(H342&lt;=30,"1-30",IF(H342&lt;=60,"31-60",IF(H342&lt;=90,"61-90","90+"))))))</f>
        <v/>
      </c>
      <c r="J342" s="10" t="n"/>
      <c r="K342" s="14" t="n"/>
      <c r="L342" s="10" t="n"/>
    </row>
    <row r="343">
      <c r="A343" s="10" t="n"/>
      <c r="B343" s="10" t="n"/>
      <c r="C343" s="14" t="n"/>
      <c r="D343" s="14" t="n"/>
      <c r="E343" s="11" t="n"/>
      <c r="F343" s="11" t="n"/>
      <c r="G343" s="12">
        <f>IF(E343="","",E343-F343)</f>
        <v/>
      </c>
      <c r="H343" s="16">
        <f>IF(OR(G343="",G343&lt;=0),"",MAX(0,$B$5-D343))</f>
        <v/>
      </c>
      <c r="I343" s="16">
        <f>IF(G343="","",IF(G343&lt;=0,"Kapandı",IF(H343=0,"Vadesi gelmedi",IF(H343&lt;=30,"1-30",IF(H343&lt;=60,"31-60",IF(H343&lt;=90,"61-90","90+"))))))</f>
        <v/>
      </c>
      <c r="J343" s="10" t="n"/>
      <c r="K343" s="14" t="n"/>
      <c r="L343" s="10" t="n"/>
    </row>
    <row r="344">
      <c r="A344" s="10" t="n"/>
      <c r="B344" s="10" t="n"/>
      <c r="C344" s="14" t="n"/>
      <c r="D344" s="14" t="n"/>
      <c r="E344" s="11" t="n"/>
      <c r="F344" s="11" t="n"/>
      <c r="G344" s="12">
        <f>IF(E344="","",E344-F344)</f>
        <v/>
      </c>
      <c r="H344" s="16">
        <f>IF(OR(G344="",G344&lt;=0),"",MAX(0,$B$5-D344))</f>
        <v/>
      </c>
      <c r="I344" s="16">
        <f>IF(G344="","",IF(G344&lt;=0,"Kapandı",IF(H344=0,"Vadesi gelmedi",IF(H344&lt;=30,"1-30",IF(H344&lt;=60,"31-60",IF(H344&lt;=90,"61-90","90+"))))))</f>
        <v/>
      </c>
      <c r="J344" s="10" t="n"/>
      <c r="K344" s="14" t="n"/>
      <c r="L344" s="10" t="n"/>
    </row>
    <row r="345">
      <c r="A345" s="10" t="n"/>
      <c r="B345" s="10" t="n"/>
      <c r="C345" s="14" t="n"/>
      <c r="D345" s="14" t="n"/>
      <c r="E345" s="11" t="n"/>
      <c r="F345" s="11" t="n"/>
      <c r="G345" s="12">
        <f>IF(E345="","",E345-F345)</f>
        <v/>
      </c>
      <c r="H345" s="16">
        <f>IF(OR(G345="",G345&lt;=0),"",MAX(0,$B$5-D345))</f>
        <v/>
      </c>
      <c r="I345" s="16">
        <f>IF(G345="","",IF(G345&lt;=0,"Kapandı",IF(H345=0,"Vadesi gelmedi",IF(H345&lt;=30,"1-30",IF(H345&lt;=60,"31-60",IF(H345&lt;=90,"61-90","90+"))))))</f>
        <v/>
      </c>
      <c r="J345" s="10" t="n"/>
      <c r="K345" s="14" t="n"/>
      <c r="L345" s="10" t="n"/>
    </row>
    <row r="346">
      <c r="A346" s="10" t="n"/>
      <c r="B346" s="10" t="n"/>
      <c r="C346" s="14" t="n"/>
      <c r="D346" s="14" t="n"/>
      <c r="E346" s="11" t="n"/>
      <c r="F346" s="11" t="n"/>
      <c r="G346" s="12">
        <f>IF(E346="","",E346-F346)</f>
        <v/>
      </c>
      <c r="H346" s="16">
        <f>IF(OR(G346="",G346&lt;=0),"",MAX(0,$B$5-D346))</f>
        <v/>
      </c>
      <c r="I346" s="16">
        <f>IF(G346="","",IF(G346&lt;=0,"Kapandı",IF(H346=0,"Vadesi gelmedi",IF(H346&lt;=30,"1-30",IF(H346&lt;=60,"31-60",IF(H346&lt;=90,"61-90","90+"))))))</f>
        <v/>
      </c>
      <c r="J346" s="10" t="n"/>
      <c r="K346" s="14" t="n"/>
      <c r="L346" s="10" t="n"/>
    </row>
    <row r="347">
      <c r="A347" s="10" t="n"/>
      <c r="B347" s="10" t="n"/>
      <c r="C347" s="14" t="n"/>
      <c r="D347" s="14" t="n"/>
      <c r="E347" s="11" t="n"/>
      <c r="F347" s="11" t="n"/>
      <c r="G347" s="12">
        <f>IF(E347="","",E347-F347)</f>
        <v/>
      </c>
      <c r="H347" s="16">
        <f>IF(OR(G347="",G347&lt;=0),"",MAX(0,$B$5-D347))</f>
        <v/>
      </c>
      <c r="I347" s="16">
        <f>IF(G347="","",IF(G347&lt;=0,"Kapandı",IF(H347=0,"Vadesi gelmedi",IF(H347&lt;=30,"1-30",IF(H347&lt;=60,"31-60",IF(H347&lt;=90,"61-90","90+"))))))</f>
        <v/>
      </c>
      <c r="J347" s="10" t="n"/>
      <c r="K347" s="14" t="n"/>
      <c r="L347" s="10" t="n"/>
    </row>
    <row r="348">
      <c r="A348" s="10" t="n"/>
      <c r="B348" s="10" t="n"/>
      <c r="C348" s="14" t="n"/>
      <c r="D348" s="14" t="n"/>
      <c r="E348" s="11" t="n"/>
      <c r="F348" s="11" t="n"/>
      <c r="G348" s="12">
        <f>IF(E348="","",E348-F348)</f>
        <v/>
      </c>
      <c r="H348" s="16">
        <f>IF(OR(G348="",G348&lt;=0),"",MAX(0,$B$5-D348))</f>
        <v/>
      </c>
      <c r="I348" s="16">
        <f>IF(G348="","",IF(G348&lt;=0,"Kapandı",IF(H348=0,"Vadesi gelmedi",IF(H348&lt;=30,"1-30",IF(H348&lt;=60,"31-60",IF(H348&lt;=90,"61-90","90+"))))))</f>
        <v/>
      </c>
      <c r="J348" s="10" t="n"/>
      <c r="K348" s="14" t="n"/>
      <c r="L348" s="10" t="n"/>
    </row>
    <row r="349">
      <c r="A349" s="10" t="n"/>
      <c r="B349" s="10" t="n"/>
      <c r="C349" s="14" t="n"/>
      <c r="D349" s="14" t="n"/>
      <c r="E349" s="11" t="n"/>
      <c r="F349" s="11" t="n"/>
      <c r="G349" s="12">
        <f>IF(E349="","",E349-F349)</f>
        <v/>
      </c>
      <c r="H349" s="16">
        <f>IF(OR(G349="",G349&lt;=0),"",MAX(0,$B$5-D349))</f>
        <v/>
      </c>
      <c r="I349" s="16">
        <f>IF(G349="","",IF(G349&lt;=0,"Kapandı",IF(H349=0,"Vadesi gelmedi",IF(H349&lt;=30,"1-30",IF(H349&lt;=60,"31-60",IF(H349&lt;=90,"61-90","90+"))))))</f>
        <v/>
      </c>
      <c r="J349" s="10" t="n"/>
      <c r="K349" s="14" t="n"/>
      <c r="L349" s="10" t="n"/>
    </row>
    <row r="350">
      <c r="A350" s="10" t="n"/>
      <c r="B350" s="10" t="n"/>
      <c r="C350" s="14" t="n"/>
      <c r="D350" s="14" t="n"/>
      <c r="E350" s="11" t="n"/>
      <c r="F350" s="11" t="n"/>
      <c r="G350" s="12">
        <f>IF(E350="","",E350-F350)</f>
        <v/>
      </c>
      <c r="H350" s="16">
        <f>IF(OR(G350="",G350&lt;=0),"",MAX(0,$B$5-D350))</f>
        <v/>
      </c>
      <c r="I350" s="16">
        <f>IF(G350="","",IF(G350&lt;=0,"Kapandı",IF(H350=0,"Vadesi gelmedi",IF(H350&lt;=30,"1-30",IF(H350&lt;=60,"31-60",IF(H350&lt;=90,"61-90","90+"))))))</f>
        <v/>
      </c>
      <c r="J350" s="10" t="n"/>
      <c r="K350" s="14" t="n"/>
      <c r="L350" s="10" t="n"/>
    </row>
    <row r="351">
      <c r="A351" s="10" t="n"/>
      <c r="B351" s="10" t="n"/>
      <c r="C351" s="14" t="n"/>
      <c r="D351" s="14" t="n"/>
      <c r="E351" s="11" t="n"/>
      <c r="F351" s="11" t="n"/>
      <c r="G351" s="12">
        <f>IF(E351="","",E351-F351)</f>
        <v/>
      </c>
      <c r="H351" s="16">
        <f>IF(OR(G351="",G351&lt;=0),"",MAX(0,$B$5-D351))</f>
        <v/>
      </c>
      <c r="I351" s="16">
        <f>IF(G351="","",IF(G351&lt;=0,"Kapandı",IF(H351=0,"Vadesi gelmedi",IF(H351&lt;=30,"1-30",IF(H351&lt;=60,"31-60",IF(H351&lt;=90,"61-90","90+"))))))</f>
        <v/>
      </c>
      <c r="J351" s="10" t="n"/>
      <c r="K351" s="14" t="n"/>
      <c r="L351" s="10" t="n"/>
    </row>
    <row r="352">
      <c r="A352" s="10" t="n"/>
      <c r="B352" s="10" t="n"/>
      <c r="C352" s="14" t="n"/>
      <c r="D352" s="14" t="n"/>
      <c r="E352" s="11" t="n"/>
      <c r="F352" s="11" t="n"/>
      <c r="G352" s="12">
        <f>IF(E352="","",E352-F352)</f>
        <v/>
      </c>
      <c r="H352" s="16">
        <f>IF(OR(G352="",G352&lt;=0),"",MAX(0,$B$5-D352))</f>
        <v/>
      </c>
      <c r="I352" s="16">
        <f>IF(G352="","",IF(G352&lt;=0,"Kapandı",IF(H352=0,"Vadesi gelmedi",IF(H352&lt;=30,"1-30",IF(H352&lt;=60,"31-60",IF(H352&lt;=90,"61-90","90+"))))))</f>
        <v/>
      </c>
      <c r="J352" s="10" t="n"/>
      <c r="K352" s="14" t="n"/>
      <c r="L352" s="10" t="n"/>
    </row>
    <row r="353">
      <c r="A353" s="10" t="n"/>
      <c r="B353" s="10" t="n"/>
      <c r="C353" s="14" t="n"/>
      <c r="D353" s="14" t="n"/>
      <c r="E353" s="11" t="n"/>
      <c r="F353" s="11" t="n"/>
      <c r="G353" s="12">
        <f>IF(E353="","",E353-F353)</f>
        <v/>
      </c>
      <c r="H353" s="16">
        <f>IF(OR(G353="",G353&lt;=0),"",MAX(0,$B$5-D353))</f>
        <v/>
      </c>
      <c r="I353" s="16">
        <f>IF(G353="","",IF(G353&lt;=0,"Kapandı",IF(H353=0,"Vadesi gelmedi",IF(H353&lt;=30,"1-30",IF(H353&lt;=60,"31-60",IF(H353&lt;=90,"61-90","90+"))))))</f>
        <v/>
      </c>
      <c r="J353" s="10" t="n"/>
      <c r="K353" s="14" t="n"/>
      <c r="L353" s="10" t="n"/>
    </row>
    <row r="354">
      <c r="A354" s="10" t="n"/>
      <c r="B354" s="10" t="n"/>
      <c r="C354" s="14" t="n"/>
      <c r="D354" s="14" t="n"/>
      <c r="E354" s="11" t="n"/>
      <c r="F354" s="11" t="n"/>
      <c r="G354" s="12">
        <f>IF(E354="","",E354-F354)</f>
        <v/>
      </c>
      <c r="H354" s="16">
        <f>IF(OR(G354="",G354&lt;=0),"",MAX(0,$B$5-D354))</f>
        <v/>
      </c>
      <c r="I354" s="16">
        <f>IF(G354="","",IF(G354&lt;=0,"Kapandı",IF(H354=0,"Vadesi gelmedi",IF(H354&lt;=30,"1-30",IF(H354&lt;=60,"31-60",IF(H354&lt;=90,"61-90","90+"))))))</f>
        <v/>
      </c>
      <c r="J354" s="10" t="n"/>
      <c r="K354" s="14" t="n"/>
      <c r="L354" s="10" t="n"/>
    </row>
    <row r="355">
      <c r="A355" s="10" t="n"/>
      <c r="B355" s="10" t="n"/>
      <c r="C355" s="14" t="n"/>
      <c r="D355" s="14" t="n"/>
      <c r="E355" s="11" t="n"/>
      <c r="F355" s="11" t="n"/>
      <c r="G355" s="12">
        <f>IF(E355="","",E355-F355)</f>
        <v/>
      </c>
      <c r="H355" s="16">
        <f>IF(OR(G355="",G355&lt;=0),"",MAX(0,$B$5-D355))</f>
        <v/>
      </c>
      <c r="I355" s="16">
        <f>IF(G355="","",IF(G355&lt;=0,"Kapandı",IF(H355=0,"Vadesi gelmedi",IF(H355&lt;=30,"1-30",IF(H355&lt;=60,"31-60",IF(H355&lt;=90,"61-90","90+"))))))</f>
        <v/>
      </c>
      <c r="J355" s="10" t="n"/>
      <c r="K355" s="14" t="n"/>
      <c r="L355" s="10" t="n"/>
    </row>
    <row r="356">
      <c r="A356" s="10" t="n"/>
      <c r="B356" s="10" t="n"/>
      <c r="C356" s="14" t="n"/>
      <c r="D356" s="14" t="n"/>
      <c r="E356" s="11" t="n"/>
      <c r="F356" s="11" t="n"/>
      <c r="G356" s="12">
        <f>IF(E356="","",E356-F356)</f>
        <v/>
      </c>
      <c r="H356" s="16">
        <f>IF(OR(G356="",G356&lt;=0),"",MAX(0,$B$5-D356))</f>
        <v/>
      </c>
      <c r="I356" s="16">
        <f>IF(G356="","",IF(G356&lt;=0,"Kapandı",IF(H356=0,"Vadesi gelmedi",IF(H356&lt;=30,"1-30",IF(H356&lt;=60,"31-60",IF(H356&lt;=90,"61-90","90+"))))))</f>
        <v/>
      </c>
      <c r="J356" s="10" t="n"/>
      <c r="K356" s="14" t="n"/>
      <c r="L356" s="10" t="n"/>
    </row>
    <row r="357">
      <c r="A357" s="10" t="n"/>
      <c r="B357" s="10" t="n"/>
      <c r="C357" s="14" t="n"/>
      <c r="D357" s="14" t="n"/>
      <c r="E357" s="11" t="n"/>
      <c r="F357" s="11" t="n"/>
      <c r="G357" s="12">
        <f>IF(E357="","",E357-F357)</f>
        <v/>
      </c>
      <c r="H357" s="16">
        <f>IF(OR(G357="",G357&lt;=0),"",MAX(0,$B$5-D357))</f>
        <v/>
      </c>
      <c r="I357" s="16">
        <f>IF(G357="","",IF(G357&lt;=0,"Kapandı",IF(H357=0,"Vadesi gelmedi",IF(H357&lt;=30,"1-30",IF(H357&lt;=60,"31-60",IF(H357&lt;=90,"61-90","90+"))))))</f>
        <v/>
      </c>
      <c r="J357" s="10" t="n"/>
      <c r="K357" s="14" t="n"/>
      <c r="L357" s="10" t="n"/>
    </row>
    <row r="358">
      <c r="A358" s="10" t="n"/>
      <c r="B358" s="10" t="n"/>
      <c r="C358" s="14" t="n"/>
      <c r="D358" s="14" t="n"/>
      <c r="E358" s="11" t="n"/>
      <c r="F358" s="11" t="n"/>
      <c r="G358" s="12">
        <f>IF(E358="","",E358-F358)</f>
        <v/>
      </c>
      <c r="H358" s="16">
        <f>IF(OR(G358="",G358&lt;=0),"",MAX(0,$B$5-D358))</f>
        <v/>
      </c>
      <c r="I358" s="16">
        <f>IF(G358="","",IF(G358&lt;=0,"Kapandı",IF(H358=0,"Vadesi gelmedi",IF(H358&lt;=30,"1-30",IF(H358&lt;=60,"31-60",IF(H358&lt;=90,"61-90","90+"))))))</f>
        <v/>
      </c>
      <c r="J358" s="10" t="n"/>
      <c r="K358" s="14" t="n"/>
      <c r="L358" s="10" t="n"/>
    </row>
    <row r="359">
      <c r="A359" s="10" t="n"/>
      <c r="B359" s="10" t="n"/>
      <c r="C359" s="14" t="n"/>
      <c r="D359" s="14" t="n"/>
      <c r="E359" s="11" t="n"/>
      <c r="F359" s="11" t="n"/>
      <c r="G359" s="12">
        <f>IF(E359="","",E359-F359)</f>
        <v/>
      </c>
      <c r="H359" s="16">
        <f>IF(OR(G359="",G359&lt;=0),"",MAX(0,$B$5-D359))</f>
        <v/>
      </c>
      <c r="I359" s="16">
        <f>IF(G359="","",IF(G359&lt;=0,"Kapandı",IF(H359=0,"Vadesi gelmedi",IF(H359&lt;=30,"1-30",IF(H359&lt;=60,"31-60",IF(H359&lt;=90,"61-90","90+"))))))</f>
        <v/>
      </c>
      <c r="J359" s="10" t="n"/>
      <c r="K359" s="14" t="n"/>
      <c r="L359" s="10" t="n"/>
    </row>
    <row r="360">
      <c r="A360" s="10" t="n"/>
      <c r="B360" s="10" t="n"/>
      <c r="C360" s="14" t="n"/>
      <c r="D360" s="14" t="n"/>
      <c r="E360" s="11" t="n"/>
      <c r="F360" s="11" t="n"/>
      <c r="G360" s="12">
        <f>IF(E360="","",E360-F360)</f>
        <v/>
      </c>
      <c r="H360" s="16">
        <f>IF(OR(G360="",G360&lt;=0),"",MAX(0,$B$5-D360))</f>
        <v/>
      </c>
      <c r="I360" s="16">
        <f>IF(G360="","",IF(G360&lt;=0,"Kapandı",IF(H360=0,"Vadesi gelmedi",IF(H360&lt;=30,"1-30",IF(H360&lt;=60,"31-60",IF(H360&lt;=90,"61-90","90+"))))))</f>
        <v/>
      </c>
      <c r="J360" s="10" t="n"/>
      <c r="K360" s="14" t="n"/>
      <c r="L360" s="10" t="n"/>
    </row>
    <row r="361">
      <c r="A361" s="10" t="n"/>
      <c r="B361" s="10" t="n"/>
      <c r="C361" s="14" t="n"/>
      <c r="D361" s="14" t="n"/>
      <c r="E361" s="11" t="n"/>
      <c r="F361" s="11" t="n"/>
      <c r="G361" s="12">
        <f>IF(E361="","",E361-F361)</f>
        <v/>
      </c>
      <c r="H361" s="16">
        <f>IF(OR(G361="",G361&lt;=0),"",MAX(0,$B$5-D361))</f>
        <v/>
      </c>
      <c r="I361" s="16">
        <f>IF(G361="","",IF(G361&lt;=0,"Kapandı",IF(H361=0,"Vadesi gelmedi",IF(H361&lt;=30,"1-30",IF(H361&lt;=60,"31-60",IF(H361&lt;=90,"61-90","90+"))))))</f>
        <v/>
      </c>
      <c r="J361" s="10" t="n"/>
      <c r="K361" s="14" t="n"/>
      <c r="L361" s="10" t="n"/>
    </row>
    <row r="362">
      <c r="A362" s="10" t="n"/>
      <c r="B362" s="10" t="n"/>
      <c r="C362" s="14" t="n"/>
      <c r="D362" s="14" t="n"/>
      <c r="E362" s="11" t="n"/>
      <c r="F362" s="11" t="n"/>
      <c r="G362" s="12">
        <f>IF(E362="","",E362-F362)</f>
        <v/>
      </c>
      <c r="H362" s="16">
        <f>IF(OR(G362="",G362&lt;=0),"",MAX(0,$B$5-D362))</f>
        <v/>
      </c>
      <c r="I362" s="16">
        <f>IF(G362="","",IF(G362&lt;=0,"Kapandı",IF(H362=0,"Vadesi gelmedi",IF(H362&lt;=30,"1-30",IF(H362&lt;=60,"31-60",IF(H362&lt;=90,"61-90","90+"))))))</f>
        <v/>
      </c>
      <c r="J362" s="10" t="n"/>
      <c r="K362" s="14" t="n"/>
      <c r="L362" s="10" t="n"/>
    </row>
    <row r="363">
      <c r="A363" s="10" t="n"/>
      <c r="B363" s="10" t="n"/>
      <c r="C363" s="14" t="n"/>
      <c r="D363" s="14" t="n"/>
      <c r="E363" s="11" t="n"/>
      <c r="F363" s="11" t="n"/>
      <c r="G363" s="12">
        <f>IF(E363="","",E363-F363)</f>
        <v/>
      </c>
      <c r="H363" s="16">
        <f>IF(OR(G363="",G363&lt;=0),"",MAX(0,$B$5-D363))</f>
        <v/>
      </c>
      <c r="I363" s="16">
        <f>IF(G363="","",IF(G363&lt;=0,"Kapandı",IF(H363=0,"Vadesi gelmedi",IF(H363&lt;=30,"1-30",IF(H363&lt;=60,"31-60",IF(H363&lt;=90,"61-90","90+"))))))</f>
        <v/>
      </c>
      <c r="J363" s="10" t="n"/>
      <c r="K363" s="14" t="n"/>
      <c r="L363" s="10" t="n"/>
    </row>
    <row r="364">
      <c r="A364" s="10" t="n"/>
      <c r="B364" s="10" t="n"/>
      <c r="C364" s="14" t="n"/>
      <c r="D364" s="14" t="n"/>
      <c r="E364" s="11" t="n"/>
      <c r="F364" s="11" t="n"/>
      <c r="G364" s="12">
        <f>IF(E364="","",E364-F364)</f>
        <v/>
      </c>
      <c r="H364" s="16">
        <f>IF(OR(G364="",G364&lt;=0),"",MAX(0,$B$5-D364))</f>
        <v/>
      </c>
      <c r="I364" s="16">
        <f>IF(G364="","",IF(G364&lt;=0,"Kapandı",IF(H364=0,"Vadesi gelmedi",IF(H364&lt;=30,"1-30",IF(H364&lt;=60,"31-60",IF(H364&lt;=90,"61-90","90+"))))))</f>
        <v/>
      </c>
      <c r="J364" s="10" t="n"/>
      <c r="K364" s="14" t="n"/>
      <c r="L364" s="10" t="n"/>
    </row>
    <row r="365">
      <c r="A365" s="10" t="n"/>
      <c r="B365" s="10" t="n"/>
      <c r="C365" s="14" t="n"/>
      <c r="D365" s="14" t="n"/>
      <c r="E365" s="11" t="n"/>
      <c r="F365" s="11" t="n"/>
      <c r="G365" s="12">
        <f>IF(E365="","",E365-F365)</f>
        <v/>
      </c>
      <c r="H365" s="16">
        <f>IF(OR(G365="",G365&lt;=0),"",MAX(0,$B$5-D365))</f>
        <v/>
      </c>
      <c r="I365" s="16">
        <f>IF(G365="","",IF(G365&lt;=0,"Kapandı",IF(H365=0,"Vadesi gelmedi",IF(H365&lt;=30,"1-30",IF(H365&lt;=60,"31-60",IF(H365&lt;=90,"61-90","90+"))))))</f>
        <v/>
      </c>
      <c r="J365" s="10" t="n"/>
      <c r="K365" s="14" t="n"/>
      <c r="L365" s="10" t="n"/>
    </row>
    <row r="366">
      <c r="A366" s="10" t="n"/>
      <c r="B366" s="10" t="n"/>
      <c r="C366" s="14" t="n"/>
      <c r="D366" s="14" t="n"/>
      <c r="E366" s="11" t="n"/>
      <c r="F366" s="11" t="n"/>
      <c r="G366" s="12">
        <f>IF(E366="","",E366-F366)</f>
        <v/>
      </c>
      <c r="H366" s="16">
        <f>IF(OR(G366="",G366&lt;=0),"",MAX(0,$B$5-D366))</f>
        <v/>
      </c>
      <c r="I366" s="16">
        <f>IF(G366="","",IF(G366&lt;=0,"Kapandı",IF(H366=0,"Vadesi gelmedi",IF(H366&lt;=30,"1-30",IF(H366&lt;=60,"31-60",IF(H366&lt;=90,"61-90","90+"))))))</f>
        <v/>
      </c>
      <c r="J366" s="10" t="n"/>
      <c r="K366" s="14" t="n"/>
      <c r="L366" s="10" t="n"/>
    </row>
    <row r="367">
      <c r="A367" s="10" t="n"/>
      <c r="B367" s="10" t="n"/>
      <c r="C367" s="14" t="n"/>
      <c r="D367" s="14" t="n"/>
      <c r="E367" s="11" t="n"/>
      <c r="F367" s="11" t="n"/>
      <c r="G367" s="12">
        <f>IF(E367="","",E367-F367)</f>
        <v/>
      </c>
      <c r="H367" s="16">
        <f>IF(OR(G367="",G367&lt;=0),"",MAX(0,$B$5-D367))</f>
        <v/>
      </c>
      <c r="I367" s="16">
        <f>IF(G367="","",IF(G367&lt;=0,"Kapandı",IF(H367=0,"Vadesi gelmedi",IF(H367&lt;=30,"1-30",IF(H367&lt;=60,"31-60",IF(H367&lt;=90,"61-90","90+"))))))</f>
        <v/>
      </c>
      <c r="J367" s="10" t="n"/>
      <c r="K367" s="14" t="n"/>
      <c r="L367" s="10" t="n"/>
    </row>
    <row r="368">
      <c r="A368" s="10" t="n"/>
      <c r="B368" s="10" t="n"/>
      <c r="C368" s="14" t="n"/>
      <c r="D368" s="14" t="n"/>
      <c r="E368" s="11" t="n"/>
      <c r="F368" s="11" t="n"/>
      <c r="G368" s="12">
        <f>IF(E368="","",E368-F368)</f>
        <v/>
      </c>
      <c r="H368" s="16">
        <f>IF(OR(G368="",G368&lt;=0),"",MAX(0,$B$5-D368))</f>
        <v/>
      </c>
      <c r="I368" s="16">
        <f>IF(G368="","",IF(G368&lt;=0,"Kapandı",IF(H368=0,"Vadesi gelmedi",IF(H368&lt;=30,"1-30",IF(H368&lt;=60,"31-60",IF(H368&lt;=90,"61-90","90+"))))))</f>
        <v/>
      </c>
      <c r="J368" s="10" t="n"/>
      <c r="K368" s="14" t="n"/>
      <c r="L368" s="10" t="n"/>
    </row>
    <row r="369">
      <c r="A369" s="10" t="n"/>
      <c r="B369" s="10" t="n"/>
      <c r="C369" s="14" t="n"/>
      <c r="D369" s="14" t="n"/>
      <c r="E369" s="11" t="n"/>
      <c r="F369" s="11" t="n"/>
      <c r="G369" s="12">
        <f>IF(E369="","",E369-F369)</f>
        <v/>
      </c>
      <c r="H369" s="16">
        <f>IF(OR(G369="",G369&lt;=0),"",MAX(0,$B$5-D369))</f>
        <v/>
      </c>
      <c r="I369" s="16">
        <f>IF(G369="","",IF(G369&lt;=0,"Kapandı",IF(H369=0,"Vadesi gelmedi",IF(H369&lt;=30,"1-30",IF(H369&lt;=60,"31-60",IF(H369&lt;=90,"61-90","90+"))))))</f>
        <v/>
      </c>
      <c r="J369" s="10" t="n"/>
      <c r="K369" s="14" t="n"/>
      <c r="L369" s="10" t="n"/>
    </row>
    <row r="370">
      <c r="A370" s="10" t="n"/>
      <c r="B370" s="10" t="n"/>
      <c r="C370" s="14" t="n"/>
      <c r="D370" s="14" t="n"/>
      <c r="E370" s="11" t="n"/>
      <c r="F370" s="11" t="n"/>
      <c r="G370" s="12">
        <f>IF(E370="","",E370-F370)</f>
        <v/>
      </c>
      <c r="H370" s="16">
        <f>IF(OR(G370="",G370&lt;=0),"",MAX(0,$B$5-D370))</f>
        <v/>
      </c>
      <c r="I370" s="16">
        <f>IF(G370="","",IF(G370&lt;=0,"Kapandı",IF(H370=0,"Vadesi gelmedi",IF(H370&lt;=30,"1-30",IF(H370&lt;=60,"31-60",IF(H370&lt;=90,"61-90","90+"))))))</f>
        <v/>
      </c>
      <c r="J370" s="10" t="n"/>
      <c r="K370" s="14" t="n"/>
      <c r="L370" s="10" t="n"/>
    </row>
    <row r="371">
      <c r="A371" s="10" t="n"/>
      <c r="B371" s="10" t="n"/>
      <c r="C371" s="14" t="n"/>
      <c r="D371" s="14" t="n"/>
      <c r="E371" s="11" t="n"/>
      <c r="F371" s="11" t="n"/>
      <c r="G371" s="12">
        <f>IF(E371="","",E371-F371)</f>
        <v/>
      </c>
      <c r="H371" s="16">
        <f>IF(OR(G371="",G371&lt;=0),"",MAX(0,$B$5-D371))</f>
        <v/>
      </c>
      <c r="I371" s="16">
        <f>IF(G371="","",IF(G371&lt;=0,"Kapandı",IF(H371=0,"Vadesi gelmedi",IF(H371&lt;=30,"1-30",IF(H371&lt;=60,"31-60",IF(H371&lt;=90,"61-90","90+"))))))</f>
        <v/>
      </c>
      <c r="J371" s="10" t="n"/>
      <c r="K371" s="14" t="n"/>
      <c r="L371" s="10" t="n"/>
    </row>
    <row r="372">
      <c r="A372" s="10" t="n"/>
      <c r="B372" s="10" t="n"/>
      <c r="C372" s="14" t="n"/>
      <c r="D372" s="14" t="n"/>
      <c r="E372" s="11" t="n"/>
      <c r="F372" s="11" t="n"/>
      <c r="G372" s="12">
        <f>IF(E372="","",E372-F372)</f>
        <v/>
      </c>
      <c r="H372" s="16">
        <f>IF(OR(G372="",G372&lt;=0),"",MAX(0,$B$5-D372))</f>
        <v/>
      </c>
      <c r="I372" s="16">
        <f>IF(G372="","",IF(G372&lt;=0,"Kapandı",IF(H372=0,"Vadesi gelmedi",IF(H372&lt;=30,"1-30",IF(H372&lt;=60,"31-60",IF(H372&lt;=90,"61-90","90+"))))))</f>
        <v/>
      </c>
      <c r="J372" s="10" t="n"/>
      <c r="K372" s="14" t="n"/>
      <c r="L372" s="10" t="n"/>
    </row>
    <row r="373">
      <c r="A373" s="10" t="n"/>
      <c r="B373" s="10" t="n"/>
      <c r="C373" s="14" t="n"/>
      <c r="D373" s="14" t="n"/>
      <c r="E373" s="11" t="n"/>
      <c r="F373" s="11" t="n"/>
      <c r="G373" s="12">
        <f>IF(E373="","",E373-F373)</f>
        <v/>
      </c>
      <c r="H373" s="16">
        <f>IF(OR(G373="",G373&lt;=0),"",MAX(0,$B$5-D373))</f>
        <v/>
      </c>
      <c r="I373" s="16">
        <f>IF(G373="","",IF(G373&lt;=0,"Kapandı",IF(H373=0,"Vadesi gelmedi",IF(H373&lt;=30,"1-30",IF(H373&lt;=60,"31-60",IF(H373&lt;=90,"61-90","90+"))))))</f>
        <v/>
      </c>
      <c r="J373" s="10" t="n"/>
      <c r="K373" s="14" t="n"/>
      <c r="L373" s="10" t="n"/>
    </row>
    <row r="374">
      <c r="A374" s="10" t="n"/>
      <c r="B374" s="10" t="n"/>
      <c r="C374" s="14" t="n"/>
      <c r="D374" s="14" t="n"/>
      <c r="E374" s="11" t="n"/>
      <c r="F374" s="11" t="n"/>
      <c r="G374" s="12">
        <f>IF(E374="","",E374-F374)</f>
        <v/>
      </c>
      <c r="H374" s="16">
        <f>IF(OR(G374="",G374&lt;=0),"",MAX(0,$B$5-D374))</f>
        <v/>
      </c>
      <c r="I374" s="16">
        <f>IF(G374="","",IF(G374&lt;=0,"Kapandı",IF(H374=0,"Vadesi gelmedi",IF(H374&lt;=30,"1-30",IF(H374&lt;=60,"31-60",IF(H374&lt;=90,"61-90","90+"))))))</f>
        <v/>
      </c>
      <c r="J374" s="10" t="n"/>
      <c r="K374" s="14" t="n"/>
      <c r="L374" s="10" t="n"/>
    </row>
    <row r="375">
      <c r="A375" s="10" t="n"/>
      <c r="B375" s="10" t="n"/>
      <c r="C375" s="14" t="n"/>
      <c r="D375" s="14" t="n"/>
      <c r="E375" s="11" t="n"/>
      <c r="F375" s="11" t="n"/>
      <c r="G375" s="12">
        <f>IF(E375="","",E375-F375)</f>
        <v/>
      </c>
      <c r="H375" s="16">
        <f>IF(OR(G375="",G375&lt;=0),"",MAX(0,$B$5-D375))</f>
        <v/>
      </c>
      <c r="I375" s="16">
        <f>IF(G375="","",IF(G375&lt;=0,"Kapandı",IF(H375=0,"Vadesi gelmedi",IF(H375&lt;=30,"1-30",IF(H375&lt;=60,"31-60",IF(H375&lt;=90,"61-90","90+"))))))</f>
        <v/>
      </c>
      <c r="J375" s="10" t="n"/>
      <c r="K375" s="14" t="n"/>
      <c r="L375" s="10" t="n"/>
    </row>
    <row r="376">
      <c r="A376" s="10" t="n"/>
      <c r="B376" s="10" t="n"/>
      <c r="C376" s="14" t="n"/>
      <c r="D376" s="14" t="n"/>
      <c r="E376" s="11" t="n"/>
      <c r="F376" s="11" t="n"/>
      <c r="G376" s="12">
        <f>IF(E376="","",E376-F376)</f>
        <v/>
      </c>
      <c r="H376" s="16">
        <f>IF(OR(G376="",G376&lt;=0),"",MAX(0,$B$5-D376))</f>
        <v/>
      </c>
      <c r="I376" s="16">
        <f>IF(G376="","",IF(G376&lt;=0,"Kapandı",IF(H376=0,"Vadesi gelmedi",IF(H376&lt;=30,"1-30",IF(H376&lt;=60,"31-60",IF(H376&lt;=90,"61-90","90+"))))))</f>
        <v/>
      </c>
      <c r="J376" s="10" t="n"/>
      <c r="K376" s="14" t="n"/>
      <c r="L376" s="10" t="n"/>
    </row>
    <row r="377">
      <c r="A377" s="10" t="n"/>
      <c r="B377" s="10" t="n"/>
      <c r="C377" s="14" t="n"/>
      <c r="D377" s="14" t="n"/>
      <c r="E377" s="11" t="n"/>
      <c r="F377" s="11" t="n"/>
      <c r="G377" s="12">
        <f>IF(E377="","",E377-F377)</f>
        <v/>
      </c>
      <c r="H377" s="16">
        <f>IF(OR(G377="",G377&lt;=0),"",MAX(0,$B$5-D377))</f>
        <v/>
      </c>
      <c r="I377" s="16">
        <f>IF(G377="","",IF(G377&lt;=0,"Kapandı",IF(H377=0,"Vadesi gelmedi",IF(H377&lt;=30,"1-30",IF(H377&lt;=60,"31-60",IF(H377&lt;=90,"61-90","90+"))))))</f>
        <v/>
      </c>
      <c r="J377" s="10" t="n"/>
      <c r="K377" s="14" t="n"/>
      <c r="L377" s="10" t="n"/>
    </row>
    <row r="378">
      <c r="A378" s="10" t="n"/>
      <c r="B378" s="10" t="n"/>
      <c r="C378" s="14" t="n"/>
      <c r="D378" s="14" t="n"/>
      <c r="E378" s="11" t="n"/>
      <c r="F378" s="11" t="n"/>
      <c r="G378" s="12">
        <f>IF(E378="","",E378-F378)</f>
        <v/>
      </c>
      <c r="H378" s="16">
        <f>IF(OR(G378="",G378&lt;=0),"",MAX(0,$B$5-D378))</f>
        <v/>
      </c>
      <c r="I378" s="16">
        <f>IF(G378="","",IF(G378&lt;=0,"Kapandı",IF(H378=0,"Vadesi gelmedi",IF(H378&lt;=30,"1-30",IF(H378&lt;=60,"31-60",IF(H378&lt;=90,"61-90","90+"))))))</f>
        <v/>
      </c>
      <c r="J378" s="10" t="n"/>
      <c r="K378" s="14" t="n"/>
      <c r="L378" s="10" t="n"/>
    </row>
    <row r="379">
      <c r="A379" s="10" t="n"/>
      <c r="B379" s="10" t="n"/>
      <c r="C379" s="14" t="n"/>
      <c r="D379" s="14" t="n"/>
      <c r="E379" s="11" t="n"/>
      <c r="F379" s="11" t="n"/>
      <c r="G379" s="12">
        <f>IF(E379="","",E379-F379)</f>
        <v/>
      </c>
      <c r="H379" s="16">
        <f>IF(OR(G379="",G379&lt;=0),"",MAX(0,$B$5-D379))</f>
        <v/>
      </c>
      <c r="I379" s="16">
        <f>IF(G379="","",IF(G379&lt;=0,"Kapandı",IF(H379=0,"Vadesi gelmedi",IF(H379&lt;=30,"1-30",IF(H379&lt;=60,"31-60",IF(H379&lt;=90,"61-90","90+"))))))</f>
        <v/>
      </c>
      <c r="J379" s="10" t="n"/>
      <c r="K379" s="14" t="n"/>
      <c r="L379" s="10" t="n"/>
    </row>
    <row r="380">
      <c r="A380" s="10" t="n"/>
      <c r="B380" s="10" t="n"/>
      <c r="C380" s="14" t="n"/>
      <c r="D380" s="14" t="n"/>
      <c r="E380" s="11" t="n"/>
      <c r="F380" s="11" t="n"/>
      <c r="G380" s="12">
        <f>IF(E380="","",E380-F380)</f>
        <v/>
      </c>
      <c r="H380" s="16">
        <f>IF(OR(G380="",G380&lt;=0),"",MAX(0,$B$5-D380))</f>
        <v/>
      </c>
      <c r="I380" s="16">
        <f>IF(G380="","",IF(G380&lt;=0,"Kapandı",IF(H380=0,"Vadesi gelmedi",IF(H380&lt;=30,"1-30",IF(H380&lt;=60,"31-60",IF(H380&lt;=90,"61-90","90+"))))))</f>
        <v/>
      </c>
      <c r="J380" s="10" t="n"/>
      <c r="K380" s="14" t="n"/>
      <c r="L380" s="10" t="n"/>
    </row>
    <row r="381">
      <c r="A381" s="10" t="n"/>
      <c r="B381" s="10" t="n"/>
      <c r="C381" s="14" t="n"/>
      <c r="D381" s="14" t="n"/>
      <c r="E381" s="11" t="n"/>
      <c r="F381" s="11" t="n"/>
      <c r="G381" s="12">
        <f>IF(E381="","",E381-F381)</f>
        <v/>
      </c>
      <c r="H381" s="16">
        <f>IF(OR(G381="",G381&lt;=0),"",MAX(0,$B$5-D381))</f>
        <v/>
      </c>
      <c r="I381" s="16">
        <f>IF(G381="","",IF(G381&lt;=0,"Kapandı",IF(H381=0,"Vadesi gelmedi",IF(H381&lt;=30,"1-30",IF(H381&lt;=60,"31-60",IF(H381&lt;=90,"61-90","90+"))))))</f>
        <v/>
      </c>
      <c r="J381" s="10" t="n"/>
      <c r="K381" s="14" t="n"/>
      <c r="L381" s="10" t="n"/>
    </row>
    <row r="382">
      <c r="A382" s="10" t="n"/>
      <c r="B382" s="10" t="n"/>
      <c r="C382" s="14" t="n"/>
      <c r="D382" s="14" t="n"/>
      <c r="E382" s="11" t="n"/>
      <c r="F382" s="11" t="n"/>
      <c r="G382" s="12">
        <f>IF(E382="","",E382-F382)</f>
        <v/>
      </c>
      <c r="H382" s="16">
        <f>IF(OR(G382="",G382&lt;=0),"",MAX(0,$B$5-D382))</f>
        <v/>
      </c>
      <c r="I382" s="16">
        <f>IF(G382="","",IF(G382&lt;=0,"Kapandı",IF(H382=0,"Vadesi gelmedi",IF(H382&lt;=30,"1-30",IF(H382&lt;=60,"31-60",IF(H382&lt;=90,"61-90","90+"))))))</f>
        <v/>
      </c>
      <c r="J382" s="10" t="n"/>
      <c r="K382" s="14" t="n"/>
      <c r="L382" s="10" t="n"/>
    </row>
    <row r="383">
      <c r="A383" s="10" t="n"/>
      <c r="B383" s="10" t="n"/>
      <c r="C383" s="14" t="n"/>
      <c r="D383" s="14" t="n"/>
      <c r="E383" s="11" t="n"/>
      <c r="F383" s="11" t="n"/>
      <c r="G383" s="12">
        <f>IF(E383="","",E383-F383)</f>
        <v/>
      </c>
      <c r="H383" s="16">
        <f>IF(OR(G383="",G383&lt;=0),"",MAX(0,$B$5-D383))</f>
        <v/>
      </c>
      <c r="I383" s="16">
        <f>IF(G383="","",IF(G383&lt;=0,"Kapandı",IF(H383=0,"Vadesi gelmedi",IF(H383&lt;=30,"1-30",IF(H383&lt;=60,"31-60",IF(H383&lt;=90,"61-90","90+"))))))</f>
        <v/>
      </c>
      <c r="J383" s="10" t="n"/>
      <c r="K383" s="14" t="n"/>
      <c r="L383" s="10" t="n"/>
    </row>
    <row r="384">
      <c r="A384" s="10" t="n"/>
      <c r="B384" s="10" t="n"/>
      <c r="C384" s="14" t="n"/>
      <c r="D384" s="14" t="n"/>
      <c r="E384" s="11" t="n"/>
      <c r="F384" s="11" t="n"/>
      <c r="G384" s="12">
        <f>IF(E384="","",E384-F384)</f>
        <v/>
      </c>
      <c r="H384" s="16">
        <f>IF(OR(G384="",G384&lt;=0),"",MAX(0,$B$5-D384))</f>
        <v/>
      </c>
      <c r="I384" s="16">
        <f>IF(G384="","",IF(G384&lt;=0,"Kapandı",IF(H384=0,"Vadesi gelmedi",IF(H384&lt;=30,"1-30",IF(H384&lt;=60,"31-60",IF(H384&lt;=90,"61-90","90+"))))))</f>
        <v/>
      </c>
      <c r="J384" s="10" t="n"/>
      <c r="K384" s="14" t="n"/>
      <c r="L384" s="10" t="n"/>
    </row>
    <row r="385">
      <c r="A385" s="10" t="n"/>
      <c r="B385" s="10" t="n"/>
      <c r="C385" s="14" t="n"/>
      <c r="D385" s="14" t="n"/>
      <c r="E385" s="11" t="n"/>
      <c r="F385" s="11" t="n"/>
      <c r="G385" s="12">
        <f>IF(E385="","",E385-F385)</f>
        <v/>
      </c>
      <c r="H385" s="16">
        <f>IF(OR(G385="",G385&lt;=0),"",MAX(0,$B$5-D385))</f>
        <v/>
      </c>
      <c r="I385" s="16">
        <f>IF(G385="","",IF(G385&lt;=0,"Kapandı",IF(H385=0,"Vadesi gelmedi",IF(H385&lt;=30,"1-30",IF(H385&lt;=60,"31-60",IF(H385&lt;=90,"61-90","90+"))))))</f>
        <v/>
      </c>
      <c r="J385" s="10" t="n"/>
      <c r="K385" s="14" t="n"/>
      <c r="L385" s="10" t="n"/>
    </row>
    <row r="386">
      <c r="A386" s="10" t="n"/>
      <c r="B386" s="10" t="n"/>
      <c r="C386" s="14" t="n"/>
      <c r="D386" s="14" t="n"/>
      <c r="E386" s="11" t="n"/>
      <c r="F386" s="11" t="n"/>
      <c r="G386" s="12">
        <f>IF(E386="","",E386-F386)</f>
        <v/>
      </c>
      <c r="H386" s="16">
        <f>IF(OR(G386="",G386&lt;=0),"",MAX(0,$B$5-D386))</f>
        <v/>
      </c>
      <c r="I386" s="16">
        <f>IF(G386="","",IF(G386&lt;=0,"Kapandı",IF(H386=0,"Vadesi gelmedi",IF(H386&lt;=30,"1-30",IF(H386&lt;=60,"31-60",IF(H386&lt;=90,"61-90","90+"))))))</f>
        <v/>
      </c>
      <c r="J386" s="10" t="n"/>
      <c r="K386" s="14" t="n"/>
      <c r="L386" s="10" t="n"/>
    </row>
    <row r="387">
      <c r="A387" s="10" t="n"/>
      <c r="B387" s="10" t="n"/>
      <c r="C387" s="14" t="n"/>
      <c r="D387" s="14" t="n"/>
      <c r="E387" s="11" t="n"/>
      <c r="F387" s="11" t="n"/>
      <c r="G387" s="12">
        <f>IF(E387="","",E387-F387)</f>
        <v/>
      </c>
      <c r="H387" s="16">
        <f>IF(OR(G387="",G387&lt;=0),"",MAX(0,$B$5-D387))</f>
        <v/>
      </c>
      <c r="I387" s="16">
        <f>IF(G387="","",IF(G387&lt;=0,"Kapandı",IF(H387=0,"Vadesi gelmedi",IF(H387&lt;=30,"1-30",IF(H387&lt;=60,"31-60",IF(H387&lt;=90,"61-90","90+"))))))</f>
        <v/>
      </c>
      <c r="J387" s="10" t="n"/>
      <c r="K387" s="14" t="n"/>
      <c r="L387" s="10" t="n"/>
    </row>
    <row r="388">
      <c r="A388" s="10" t="n"/>
      <c r="B388" s="10" t="n"/>
      <c r="C388" s="14" t="n"/>
      <c r="D388" s="14" t="n"/>
      <c r="E388" s="11" t="n"/>
      <c r="F388" s="11" t="n"/>
      <c r="G388" s="12">
        <f>IF(E388="","",E388-F388)</f>
        <v/>
      </c>
      <c r="H388" s="16">
        <f>IF(OR(G388="",G388&lt;=0),"",MAX(0,$B$5-D388))</f>
        <v/>
      </c>
      <c r="I388" s="16">
        <f>IF(G388="","",IF(G388&lt;=0,"Kapandı",IF(H388=0,"Vadesi gelmedi",IF(H388&lt;=30,"1-30",IF(H388&lt;=60,"31-60",IF(H388&lt;=90,"61-90","90+"))))))</f>
        <v/>
      </c>
      <c r="J388" s="10" t="n"/>
      <c r="K388" s="14" t="n"/>
      <c r="L388" s="10" t="n"/>
    </row>
    <row r="389">
      <c r="A389" s="10" t="n"/>
      <c r="B389" s="10" t="n"/>
      <c r="C389" s="14" t="n"/>
      <c r="D389" s="14" t="n"/>
      <c r="E389" s="11" t="n"/>
      <c r="F389" s="11" t="n"/>
      <c r="G389" s="12">
        <f>IF(E389="","",E389-F389)</f>
        <v/>
      </c>
      <c r="H389" s="16">
        <f>IF(OR(G389="",G389&lt;=0),"",MAX(0,$B$5-D389))</f>
        <v/>
      </c>
      <c r="I389" s="16">
        <f>IF(G389="","",IF(G389&lt;=0,"Kapandı",IF(H389=0,"Vadesi gelmedi",IF(H389&lt;=30,"1-30",IF(H389&lt;=60,"31-60",IF(H389&lt;=90,"61-90","90+"))))))</f>
        <v/>
      </c>
      <c r="J389" s="10" t="n"/>
      <c r="K389" s="14" t="n"/>
      <c r="L389" s="10" t="n"/>
    </row>
    <row r="390">
      <c r="A390" s="10" t="n"/>
      <c r="B390" s="10" t="n"/>
      <c r="C390" s="14" t="n"/>
      <c r="D390" s="14" t="n"/>
      <c r="E390" s="11" t="n"/>
      <c r="F390" s="11" t="n"/>
      <c r="G390" s="12">
        <f>IF(E390="","",E390-F390)</f>
        <v/>
      </c>
      <c r="H390" s="16">
        <f>IF(OR(G390="",G390&lt;=0),"",MAX(0,$B$5-D390))</f>
        <v/>
      </c>
      <c r="I390" s="16">
        <f>IF(G390="","",IF(G390&lt;=0,"Kapandı",IF(H390=0,"Vadesi gelmedi",IF(H390&lt;=30,"1-30",IF(H390&lt;=60,"31-60",IF(H390&lt;=90,"61-90","90+"))))))</f>
        <v/>
      </c>
      <c r="J390" s="10" t="n"/>
      <c r="K390" s="14" t="n"/>
      <c r="L390" s="10" t="n"/>
    </row>
    <row r="391">
      <c r="A391" s="10" t="n"/>
      <c r="B391" s="10" t="n"/>
      <c r="C391" s="14" t="n"/>
      <c r="D391" s="14" t="n"/>
      <c r="E391" s="11" t="n"/>
      <c r="F391" s="11" t="n"/>
      <c r="G391" s="12">
        <f>IF(E391="","",E391-F391)</f>
        <v/>
      </c>
      <c r="H391" s="16">
        <f>IF(OR(G391="",G391&lt;=0),"",MAX(0,$B$5-D391))</f>
        <v/>
      </c>
      <c r="I391" s="16">
        <f>IF(G391="","",IF(G391&lt;=0,"Kapandı",IF(H391=0,"Vadesi gelmedi",IF(H391&lt;=30,"1-30",IF(H391&lt;=60,"31-60",IF(H391&lt;=90,"61-90","90+"))))))</f>
        <v/>
      </c>
      <c r="J391" s="10" t="n"/>
      <c r="K391" s="14" t="n"/>
      <c r="L391" s="10" t="n"/>
    </row>
    <row r="392">
      <c r="A392" s="10" t="n"/>
      <c r="B392" s="10" t="n"/>
      <c r="C392" s="14" t="n"/>
      <c r="D392" s="14" t="n"/>
      <c r="E392" s="11" t="n"/>
      <c r="F392" s="11" t="n"/>
      <c r="G392" s="12">
        <f>IF(E392="","",E392-F392)</f>
        <v/>
      </c>
      <c r="H392" s="16">
        <f>IF(OR(G392="",G392&lt;=0),"",MAX(0,$B$5-D392))</f>
        <v/>
      </c>
      <c r="I392" s="16">
        <f>IF(G392="","",IF(G392&lt;=0,"Kapandı",IF(H392=0,"Vadesi gelmedi",IF(H392&lt;=30,"1-30",IF(H392&lt;=60,"31-60",IF(H392&lt;=90,"61-90","90+"))))))</f>
        <v/>
      </c>
      <c r="J392" s="10" t="n"/>
      <c r="K392" s="14" t="n"/>
      <c r="L392" s="10" t="n"/>
    </row>
    <row r="393">
      <c r="A393" s="10" t="n"/>
      <c r="B393" s="10" t="n"/>
      <c r="C393" s="14" t="n"/>
      <c r="D393" s="14" t="n"/>
      <c r="E393" s="11" t="n"/>
      <c r="F393" s="11" t="n"/>
      <c r="G393" s="12">
        <f>IF(E393="","",E393-F393)</f>
        <v/>
      </c>
      <c r="H393" s="16">
        <f>IF(OR(G393="",G393&lt;=0),"",MAX(0,$B$5-D393))</f>
        <v/>
      </c>
      <c r="I393" s="16">
        <f>IF(G393="","",IF(G393&lt;=0,"Kapandı",IF(H393=0,"Vadesi gelmedi",IF(H393&lt;=30,"1-30",IF(H393&lt;=60,"31-60",IF(H393&lt;=90,"61-90","90+"))))))</f>
        <v/>
      </c>
      <c r="J393" s="10" t="n"/>
      <c r="K393" s="14" t="n"/>
      <c r="L393" s="10" t="n"/>
    </row>
    <row r="394">
      <c r="A394" s="10" t="n"/>
      <c r="B394" s="10" t="n"/>
      <c r="C394" s="14" t="n"/>
      <c r="D394" s="14" t="n"/>
      <c r="E394" s="11" t="n"/>
      <c r="F394" s="11" t="n"/>
      <c r="G394" s="12">
        <f>IF(E394="","",E394-F394)</f>
        <v/>
      </c>
      <c r="H394" s="16">
        <f>IF(OR(G394="",G394&lt;=0),"",MAX(0,$B$5-D394))</f>
        <v/>
      </c>
      <c r="I394" s="16">
        <f>IF(G394="","",IF(G394&lt;=0,"Kapandı",IF(H394=0,"Vadesi gelmedi",IF(H394&lt;=30,"1-30",IF(H394&lt;=60,"31-60",IF(H394&lt;=90,"61-90","90+"))))))</f>
        <v/>
      </c>
      <c r="J394" s="10" t="n"/>
      <c r="K394" s="14" t="n"/>
      <c r="L394" s="10" t="n"/>
    </row>
    <row r="395">
      <c r="A395" s="10" t="n"/>
      <c r="B395" s="10" t="n"/>
      <c r="C395" s="14" t="n"/>
      <c r="D395" s="14" t="n"/>
      <c r="E395" s="11" t="n"/>
      <c r="F395" s="11" t="n"/>
      <c r="G395" s="12">
        <f>IF(E395="","",E395-F395)</f>
        <v/>
      </c>
      <c r="H395" s="16">
        <f>IF(OR(G395="",G395&lt;=0),"",MAX(0,$B$5-D395))</f>
        <v/>
      </c>
      <c r="I395" s="16">
        <f>IF(G395="","",IF(G395&lt;=0,"Kapandı",IF(H395=0,"Vadesi gelmedi",IF(H395&lt;=30,"1-30",IF(H395&lt;=60,"31-60",IF(H395&lt;=90,"61-90","90+"))))))</f>
        <v/>
      </c>
      <c r="J395" s="10" t="n"/>
      <c r="K395" s="14" t="n"/>
      <c r="L395" s="10" t="n"/>
    </row>
    <row r="396">
      <c r="A396" s="10" t="n"/>
      <c r="B396" s="10" t="n"/>
      <c r="C396" s="14" t="n"/>
      <c r="D396" s="14" t="n"/>
      <c r="E396" s="11" t="n"/>
      <c r="F396" s="11" t="n"/>
      <c r="G396" s="12">
        <f>IF(E396="","",E396-F396)</f>
        <v/>
      </c>
      <c r="H396" s="16">
        <f>IF(OR(G396="",G396&lt;=0),"",MAX(0,$B$5-D396))</f>
        <v/>
      </c>
      <c r="I396" s="16">
        <f>IF(G396="","",IF(G396&lt;=0,"Kapandı",IF(H396=0,"Vadesi gelmedi",IF(H396&lt;=30,"1-30",IF(H396&lt;=60,"31-60",IF(H396&lt;=90,"61-90","90+"))))))</f>
        <v/>
      </c>
      <c r="J396" s="10" t="n"/>
      <c r="K396" s="14" t="n"/>
      <c r="L396" s="10" t="n"/>
    </row>
    <row r="397">
      <c r="A397" s="10" t="n"/>
      <c r="B397" s="10" t="n"/>
      <c r="C397" s="14" t="n"/>
      <c r="D397" s="14" t="n"/>
      <c r="E397" s="11" t="n"/>
      <c r="F397" s="11" t="n"/>
      <c r="G397" s="12">
        <f>IF(E397="","",E397-F397)</f>
        <v/>
      </c>
      <c r="H397" s="16">
        <f>IF(OR(G397="",G397&lt;=0),"",MAX(0,$B$5-D397))</f>
        <v/>
      </c>
      <c r="I397" s="16">
        <f>IF(G397="","",IF(G397&lt;=0,"Kapandı",IF(H397=0,"Vadesi gelmedi",IF(H397&lt;=30,"1-30",IF(H397&lt;=60,"31-60",IF(H397&lt;=90,"61-90","90+"))))))</f>
        <v/>
      </c>
      <c r="J397" s="10" t="n"/>
      <c r="K397" s="14" t="n"/>
      <c r="L397" s="10" t="n"/>
    </row>
    <row r="398">
      <c r="A398" s="10" t="n"/>
      <c r="B398" s="10" t="n"/>
      <c r="C398" s="14" t="n"/>
      <c r="D398" s="14" t="n"/>
      <c r="E398" s="11" t="n"/>
      <c r="F398" s="11" t="n"/>
      <c r="G398" s="12">
        <f>IF(E398="","",E398-F398)</f>
        <v/>
      </c>
      <c r="H398" s="16">
        <f>IF(OR(G398="",G398&lt;=0),"",MAX(0,$B$5-D398))</f>
        <v/>
      </c>
      <c r="I398" s="16">
        <f>IF(G398="","",IF(G398&lt;=0,"Kapandı",IF(H398=0,"Vadesi gelmedi",IF(H398&lt;=30,"1-30",IF(H398&lt;=60,"31-60",IF(H398&lt;=90,"61-90","90+"))))))</f>
        <v/>
      </c>
      <c r="J398" s="10" t="n"/>
      <c r="K398" s="14" t="n"/>
      <c r="L398" s="10" t="n"/>
    </row>
    <row r="399">
      <c r="A399" s="10" t="n"/>
      <c r="B399" s="10" t="n"/>
      <c r="C399" s="14" t="n"/>
      <c r="D399" s="14" t="n"/>
      <c r="E399" s="11" t="n"/>
      <c r="F399" s="11" t="n"/>
      <c r="G399" s="12">
        <f>IF(E399="","",E399-F399)</f>
        <v/>
      </c>
      <c r="H399" s="16">
        <f>IF(OR(G399="",G399&lt;=0),"",MAX(0,$B$5-D399))</f>
        <v/>
      </c>
      <c r="I399" s="16">
        <f>IF(G399="","",IF(G399&lt;=0,"Kapandı",IF(H399=0,"Vadesi gelmedi",IF(H399&lt;=30,"1-30",IF(H399&lt;=60,"31-60",IF(H399&lt;=90,"61-90","90+"))))))</f>
        <v/>
      </c>
      <c r="J399" s="10" t="n"/>
      <c r="K399" s="14" t="n"/>
      <c r="L399" s="10" t="n"/>
    </row>
    <row r="400">
      <c r="A400" s="10" t="n"/>
      <c r="B400" s="10" t="n"/>
      <c r="C400" s="14" t="n"/>
      <c r="D400" s="14" t="n"/>
      <c r="E400" s="11" t="n"/>
      <c r="F400" s="11" t="n"/>
      <c r="G400" s="12">
        <f>IF(E400="","",E400-F400)</f>
        <v/>
      </c>
      <c r="H400" s="16">
        <f>IF(OR(G400="",G400&lt;=0),"",MAX(0,$B$5-D400))</f>
        <v/>
      </c>
      <c r="I400" s="16">
        <f>IF(G400="","",IF(G400&lt;=0,"Kapandı",IF(H400=0,"Vadesi gelmedi",IF(H400&lt;=30,"1-30",IF(H400&lt;=60,"31-60",IF(H400&lt;=90,"61-90","90+"))))))</f>
        <v/>
      </c>
      <c r="J400" s="10" t="n"/>
      <c r="K400" s="14" t="n"/>
      <c r="L400" s="10" t="n"/>
    </row>
    <row r="401">
      <c r="A401" s="10" t="n"/>
      <c r="B401" s="10" t="n"/>
      <c r="C401" s="14" t="n"/>
      <c r="D401" s="14" t="n"/>
      <c r="E401" s="11" t="n"/>
      <c r="F401" s="11" t="n"/>
      <c r="G401" s="12">
        <f>IF(E401="","",E401-F401)</f>
        <v/>
      </c>
      <c r="H401" s="16">
        <f>IF(OR(G401="",G401&lt;=0),"",MAX(0,$B$5-D401))</f>
        <v/>
      </c>
      <c r="I401" s="16">
        <f>IF(G401="","",IF(G401&lt;=0,"Kapandı",IF(H401=0,"Vadesi gelmedi",IF(H401&lt;=30,"1-30",IF(H401&lt;=60,"31-60",IF(H401&lt;=90,"61-90","90+"))))))</f>
        <v/>
      </c>
      <c r="J401" s="10" t="n"/>
      <c r="K401" s="14" t="n"/>
      <c r="L401" s="10" t="n"/>
    </row>
    <row r="402">
      <c r="A402" s="10" t="n"/>
      <c r="B402" s="10" t="n"/>
      <c r="C402" s="14" t="n"/>
      <c r="D402" s="14" t="n"/>
      <c r="E402" s="11" t="n"/>
      <c r="F402" s="11" t="n"/>
      <c r="G402" s="12">
        <f>IF(E402="","",E402-F402)</f>
        <v/>
      </c>
      <c r="H402" s="16">
        <f>IF(OR(G402="",G402&lt;=0),"",MAX(0,$B$5-D402))</f>
        <v/>
      </c>
      <c r="I402" s="16">
        <f>IF(G402="","",IF(G402&lt;=0,"Kapandı",IF(H402=0,"Vadesi gelmedi",IF(H402&lt;=30,"1-30",IF(H402&lt;=60,"31-60",IF(H402&lt;=90,"61-90","90+"))))))</f>
        <v/>
      </c>
      <c r="J402" s="10" t="n"/>
      <c r="K402" s="14" t="n"/>
      <c r="L402" s="10" t="n"/>
    </row>
    <row r="403">
      <c r="A403" s="10" t="n"/>
      <c r="B403" s="10" t="n"/>
      <c r="C403" s="14" t="n"/>
      <c r="D403" s="14" t="n"/>
      <c r="E403" s="11" t="n"/>
      <c r="F403" s="11" t="n"/>
      <c r="G403" s="12">
        <f>IF(E403="","",E403-F403)</f>
        <v/>
      </c>
      <c r="H403" s="16">
        <f>IF(OR(G403="",G403&lt;=0),"",MAX(0,$B$5-D403))</f>
        <v/>
      </c>
      <c r="I403" s="16">
        <f>IF(G403="","",IF(G403&lt;=0,"Kapandı",IF(H403=0,"Vadesi gelmedi",IF(H403&lt;=30,"1-30",IF(H403&lt;=60,"31-60",IF(H403&lt;=90,"61-90","90+"))))))</f>
        <v/>
      </c>
      <c r="J403" s="10" t="n"/>
      <c r="K403" s="14" t="n"/>
      <c r="L403" s="10" t="n"/>
    </row>
    <row r="404">
      <c r="A404" s="10" t="n"/>
      <c r="B404" s="10" t="n"/>
      <c r="C404" s="14" t="n"/>
      <c r="D404" s="14" t="n"/>
      <c r="E404" s="11" t="n"/>
      <c r="F404" s="11" t="n"/>
      <c r="G404" s="12">
        <f>IF(E404="","",E404-F404)</f>
        <v/>
      </c>
      <c r="H404" s="16">
        <f>IF(OR(G404="",G404&lt;=0),"",MAX(0,$B$5-D404))</f>
        <v/>
      </c>
      <c r="I404" s="16">
        <f>IF(G404="","",IF(G404&lt;=0,"Kapandı",IF(H404=0,"Vadesi gelmedi",IF(H404&lt;=30,"1-30",IF(H404&lt;=60,"31-60",IF(H404&lt;=90,"61-90","90+"))))))</f>
        <v/>
      </c>
      <c r="J404" s="10" t="n"/>
      <c r="K404" s="14" t="n"/>
      <c r="L404" s="10" t="n"/>
    </row>
    <row r="405">
      <c r="A405" s="10" t="n"/>
      <c r="B405" s="10" t="n"/>
      <c r="C405" s="14" t="n"/>
      <c r="D405" s="14" t="n"/>
      <c r="E405" s="11" t="n"/>
      <c r="F405" s="11" t="n"/>
      <c r="G405" s="12">
        <f>IF(E405="","",E405-F405)</f>
        <v/>
      </c>
      <c r="H405" s="16">
        <f>IF(OR(G405="",G405&lt;=0),"",MAX(0,$B$5-D405))</f>
        <v/>
      </c>
      <c r="I405" s="16">
        <f>IF(G405="","",IF(G405&lt;=0,"Kapandı",IF(H405=0,"Vadesi gelmedi",IF(H405&lt;=30,"1-30",IF(H405&lt;=60,"31-60",IF(H405&lt;=90,"61-90","90+"))))))</f>
        <v/>
      </c>
      <c r="J405" s="10" t="n"/>
      <c r="K405" s="14" t="n"/>
      <c r="L405" s="10" t="n"/>
    </row>
    <row r="406">
      <c r="A406" s="10" t="n"/>
      <c r="B406" s="10" t="n"/>
      <c r="C406" s="14" t="n"/>
      <c r="D406" s="14" t="n"/>
      <c r="E406" s="11" t="n"/>
      <c r="F406" s="11" t="n"/>
      <c r="G406" s="12">
        <f>IF(E406="","",E406-F406)</f>
        <v/>
      </c>
      <c r="H406" s="16">
        <f>IF(OR(G406="",G406&lt;=0),"",MAX(0,$B$5-D406))</f>
        <v/>
      </c>
      <c r="I406" s="16">
        <f>IF(G406="","",IF(G406&lt;=0,"Kapandı",IF(H406=0,"Vadesi gelmedi",IF(H406&lt;=30,"1-30",IF(H406&lt;=60,"31-60",IF(H406&lt;=90,"61-90","90+"))))))</f>
        <v/>
      </c>
      <c r="J406" s="10" t="n"/>
      <c r="K406" s="14" t="n"/>
      <c r="L406" s="10" t="n"/>
    </row>
    <row r="407">
      <c r="A407" s="10" t="n"/>
      <c r="B407" s="10" t="n"/>
      <c r="C407" s="14" t="n"/>
      <c r="D407" s="14" t="n"/>
      <c r="E407" s="11" t="n"/>
      <c r="F407" s="11" t="n"/>
      <c r="G407" s="12">
        <f>IF(E407="","",E407-F407)</f>
        <v/>
      </c>
      <c r="H407" s="16">
        <f>IF(OR(G407="",G407&lt;=0),"",MAX(0,$B$5-D407))</f>
        <v/>
      </c>
      <c r="I407" s="16">
        <f>IF(G407="","",IF(G407&lt;=0,"Kapandı",IF(H407=0,"Vadesi gelmedi",IF(H407&lt;=30,"1-30",IF(H407&lt;=60,"31-60",IF(H407&lt;=90,"61-90","90+"))))))</f>
        <v/>
      </c>
      <c r="J407" s="10" t="n"/>
      <c r="K407" s="14" t="n"/>
      <c r="L407" s="10" t="n"/>
    </row>
  </sheetData>
  <autoFilter ref="A7:L407"/>
  <conditionalFormatting sqref="I8:I407">
    <cfRule type="cellIs" priority="1" operator="equal" dxfId="0">
      <formula>"90+"</formula>
    </cfRule>
    <cfRule type="cellIs" priority="2" operator="equal" dxfId="2">
      <formula>"61-90"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A1" s="1" t="inlineStr">
        <is>
          <t>NİRENGİ DANIŞMANLIK</t>
        </is>
      </c>
      <c r="B1" s="2" t="inlineStr">
        <is>
          <t>emreceran.github.io/nirengi-danismanlik</t>
        </is>
      </c>
    </row>
    <row r="2">
      <c r="A2" s="3" t="inlineStr">
        <is>
          <t>Alacak Yaşlandırma ve Tahsilat Takibi</t>
        </is>
      </c>
    </row>
    <row r="3">
      <c r="A3" s="4" t="inlineStr">
        <is>
          <t>Bu sayfa şablonun nasıl kullanılacağını anlatır.</t>
        </is>
      </c>
    </row>
    <row r="5">
      <c r="A5" s="17" t="inlineStr">
        <is>
          <t>■</t>
        </is>
      </c>
      <c r="B5" t="inlineStr">
        <is>
          <t>Sarı hücreler giriş hücreleridir; kendi rakamlarınızı buraya yazın. Beyaz hücreler formüldür, değiştirmeyin.</t>
        </is>
      </c>
    </row>
    <row r="7" ht="30" customHeight="1">
      <c r="A7" s="18" t="inlineStr">
        <is>
          <t>1.</t>
        </is>
      </c>
      <c r="B7" s="19" t="inlineStr">
        <is>
          <t>Faturalar sayfasına açık (tahsil edilmemiş ya da kısmen tahsil edilmiş) faturaları girin: müşteri, fatura no, fatura tarihi, vade tarihi, tutar ve tahsil edilen kısım.</t>
        </is>
      </c>
    </row>
    <row r="8" ht="30" customHeight="1">
      <c r="A8" s="18" t="inlineStr">
        <is>
          <t>2.</t>
        </is>
      </c>
      <c r="B8" s="19" t="inlineStr">
        <is>
          <t>Rapor tarihini her güncellemede bugünün tarihiyle değiştirin; gecikme günleri ve yaş grupları buna göre hesaplanır.</t>
        </is>
      </c>
    </row>
    <row r="9" ht="30" customHeight="1">
      <c r="A9" s="18" t="inlineStr">
        <is>
          <t>3.</t>
        </is>
      </c>
      <c r="B9" s="19" t="inlineStr">
        <is>
          <t>Müşteriler sayfasına müşteri adlarını (Faturalar sayfasındakiyle birebir aynı yazılışla) ve her müşteri için risk limitini girin.</t>
        </is>
      </c>
    </row>
    <row r="10" ht="30" customHeight="1">
      <c r="A10" s="18" t="inlineStr">
        <is>
          <t>4.</t>
        </is>
      </c>
      <c r="B10" s="19" t="inlineStr">
        <is>
          <t>Müşteriler sayfasında her müşterinin açık alacağı yaşına göre dağılır; limit kullanımı %100'ü geçen müşteriler 'LİMİT AŞILDI' olarak işaretlenir.</t>
        </is>
      </c>
    </row>
    <row r="11" ht="30" customHeight="1">
      <c r="A11" s="18" t="inlineStr">
        <is>
          <t>5.</t>
        </is>
      </c>
      <c r="B11" s="19" t="inlineStr">
        <is>
          <t>Faturalar sayfasında filtreyi kullanarak sorumluya ya da yaş grubuna göre tahsilat listesi çıkarabilirsiniz. Söz verilen tarihi ve görüşme notunu yazmayı alışkanlık haline getirin.</t>
        </is>
      </c>
    </row>
    <row r="12" ht="15" customHeight="1">
      <c r="A12" s="18" t="inlineStr">
        <is>
          <t>6.</t>
        </is>
      </c>
      <c r="B12" s="19" t="inlineStr">
        <is>
          <t>Haftada bir güncelleyin ve 61-90 ile 90+ gruplarını yönetim toplantısında tek tek konuşun.</t>
        </is>
      </c>
    </row>
    <row r="14">
      <c r="B14" s="20" t="inlineStr">
        <is>
          <t>Örnek veriler yalnızca şablonun nasıl çalıştığını göstermek içindir; silip kendi verinizi girebilirsiniz.</t>
        </is>
      </c>
    </row>
    <row r="16">
      <c r="B16" s="5" t="inlineStr">
        <is>
          <t>Konuyla ilgili yazı</t>
        </is>
      </c>
    </row>
    <row r="17">
      <c r="B17" s="21" t="inlineStr">
        <is>
          <t>https://emreceran.github.io/nirengi-danismanlik/blog/satis-buyurken-para-musteride-kalmasin.html</t>
        </is>
      </c>
    </row>
    <row r="19">
      <c r="B19" s="5" t="inlineStr">
        <is>
          <t>Takıldığınız yerde ya da sonuçları birlikte yorumlamak isterseniz: ücretsiz ilk görüşme</t>
        </is>
      </c>
    </row>
    <row r="20">
      <c r="B20" s="21" t="inlineStr">
        <is>
          <t>https://emreceran.github.io/nirengi-danismanlik/iletisim.html</t>
        </is>
      </c>
    </row>
    <row r="22">
      <c r="B22" s="15" t="inlineStr">
        <is>
          <t>Bu şablon genel bilgilendirme amaçlıdır ve ücretsiz olarak paylaşılabilir. © Nirengi Danışmanlık</t>
        </is>
      </c>
    </row>
  </sheetData>
  <hyperlinks>
    <hyperlink xmlns:r="http://schemas.openxmlformats.org/officeDocument/2006/relationships" ref="B17" r:id="rId1"/>
    <hyperlink xmlns:r="http://schemas.openxmlformats.org/officeDocument/2006/relationships" ref="B20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2026-10-23T20:41:25Z</dcterms:created>
  <dcterms:modified xmlns:dcterms="http://purl.org/dc/terms/" xmlns:xsi="http://www.w3.org/2001/XMLSchema-instance" xsi:type="dcterms:W3CDTF">2026-10-23T20:41:26Z</dcterms:modified>
</cp:coreProperties>
</file>