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ımlar" sheetId="1" state="visible" r:id="rId1"/>
    <sheet xmlns:r="http://schemas.openxmlformats.org/officeDocument/2006/relationships" name="Ürün Eşleştirme" sheetId="2" state="visible" r:id="rId2"/>
    <sheet xmlns:r="http://schemas.openxmlformats.org/officeDocument/2006/relationships" name="Ürün Özeti" sheetId="3" state="visible" r:id="rId3"/>
    <sheet xmlns:r="http://schemas.openxmlformats.org/officeDocument/2006/relationships" name="Nasıl kullanılır" sheetId="4" state="visible" r:id="rId4"/>
  </sheets>
  <definedNames>
    <definedName name="_xlnm._FilterDatabase" localSheetId="0" hidden="1">'Alımlar'!$A$9:$S$1009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yyyy-mm-dd"/>
    <numFmt numFmtId="166" formatCode="DD.MM.YYYY"/>
    <numFmt numFmtId="167" formatCode="#,##0.##"/>
    <numFmt numFmtId="168" formatCode="0.###"/>
    <numFmt numFmtId="169" formatCode="#,##0.##;-#,##0.##;&quot;&quot;"/>
  </numFmts>
  <fonts count="11">
    <font>
      <name val="Calibri"/>
      <family val="2"/>
      <color theme="1"/>
      <sz val="11"/>
      <scheme val="minor"/>
    </font>
    <font>
      <b val="1"/>
      <color rgb="00163A2E"/>
      <sz val="9"/>
    </font>
    <font>
      <b val="1"/>
      <color rgb="0016191D"/>
      <sz val="16"/>
    </font>
    <font>
      <color rgb="0061666D"/>
      <sz val="10"/>
    </font>
    <font>
      <color rgb="0061666D"/>
      <sz val="9"/>
    </font>
    <font>
      <color rgb="001F3F8F"/>
    </font>
    <font>
      <b val="1"/>
    </font>
    <font>
      <b val="1"/>
      <color rgb="00FFFFFF"/>
      <sz val="10"/>
    </font>
    <font>
      <b val="1"/>
      <color rgb="00163A2E"/>
    </font>
    <font>
      <i val="1"/>
      <color rgb="0061666D"/>
    </font>
    <font>
      <color rgb="001F3F8F"/>
      <u val="single"/>
    </font>
  </fonts>
  <fills count="4">
    <fill>
      <patternFill/>
    </fill>
    <fill>
      <patternFill patternType="gray125"/>
    </fill>
    <fill>
      <patternFill patternType="solid">
        <fgColor rgb="00FFF6D6"/>
      </patternFill>
    </fill>
    <fill>
      <patternFill patternType="solid">
        <fgColor rgb="00163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applyAlignment="1" pivotButton="0" quotePrefix="0" xfId="0">
      <alignment/>
    </xf>
    <xf numFmtId="0" fontId="6" fillId="0" borderId="0" pivotButton="0" quotePrefix="0" xfId="0"/>
    <xf numFmtId="164" fontId="5" fillId="2" borderId="0" pivotButton="0" quotePrefix="0" xfId="0"/>
    <xf numFmtId="0" fontId="8" fillId="0" borderId="0" pivotButton="0" quotePrefix="0" xfId="0"/>
    <xf numFmtId="1" fontId="5" fillId="2" borderId="0" pivotButton="0" quotePrefix="0" xfId="0"/>
    <xf numFmtId="4" fontId="8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166" fontId="5" fillId="2" borderId="0" pivotButton="0" quotePrefix="0" xfId="0"/>
    <xf numFmtId="0" fontId="5" fillId="2" borderId="0" pivotButton="0" quotePrefix="0" xfId="0"/>
    <xf numFmtId="167" fontId="5" fillId="2" borderId="0" pivotButton="0" quotePrefix="0" xfId="0"/>
    <xf numFmtId="4" fontId="5" fillId="2" borderId="0" pivotButton="0" quotePrefix="0" xfId="0"/>
    <xf numFmtId="9" fontId="5" fillId="2" borderId="0" pivotButton="0" quotePrefix="0" xfId="0"/>
    <xf numFmtId="4" fontId="0" fillId="0" borderId="0" pivotButton="0" quotePrefix="0" xfId="0"/>
    <xf numFmtId="168" fontId="0" fillId="0" borderId="0" pivotButton="0" quotePrefix="0" xfId="0"/>
    <xf numFmtId="164" fontId="0" fillId="0" borderId="0" pivotButton="0" quotePrefix="0" xfId="0"/>
    <xf numFmtId="169" fontId="0" fillId="0" borderId="0" pivotButton="0" quotePrefix="0" xfId="0"/>
    <xf numFmtId="168" fontId="5" fillId="2" borderId="0" pivotButton="0" quotePrefix="0" xfId="0"/>
    <xf numFmtId="167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ont>
        <b val="1"/>
        <color rgb="008F2D1F"/>
      </font>
      <fill>
        <patternFill patternType="solid">
          <fgColor rgb="00F6D5CF"/>
        </patternFill>
      </fill>
    </dxf>
    <dxf>
      <font>
        <b val="1"/>
      </font>
      <fill>
        <patternFill patternType="solid">
          <fgColor rgb="00FCEB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emreceran.github.io/nirengi-danismanlik/blog/alis-faturalarinda-fiyat-sapmasi.html" TargetMode="External" Id="rId1"/><Relationship Type="http://schemas.openxmlformats.org/officeDocument/2006/relationships/hyperlink" Target="https://emreceran.github.io/nirengi-danismanlik/iletisim.htm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9"/>
  <sheetViews>
    <sheetView showGridLines="0" workbookViewId="0">
      <pane xSplit="4" ySplit="9" topLeftCell="E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30" customWidth="1" min="4" max="4"/>
    <col width="10" customWidth="1" min="5" max="5"/>
    <col width="8" customWidth="1" min="6" max="6"/>
    <col width="13" customWidth="1" min="7" max="7"/>
    <col width="10" customWidth="1" min="8" max="8"/>
    <col width="13" customWidth="1" min="9" max="9"/>
    <col width="14" customWidth="1" min="10" max="10"/>
    <col width="24" customWidth="1" min="11" max="11"/>
    <col width="9" customWidth="1" min="12" max="12"/>
    <col width="13" customWidth="1" min="13" max="13"/>
    <col width="14" customWidth="1" min="14" max="14"/>
    <col width="14" customWidth="1" min="15" max="15"/>
    <col width="10" customWidth="1" min="16" max="16"/>
    <col width="12" customWidth="1" min="17" max="17"/>
    <col width="14" customWidth="1" min="18" max="18"/>
    <col width="12" customWidth="1" min="19" max="19"/>
  </cols>
  <sheetData>
    <row r="1">
      <c r="A1" s="1" t="inlineStr">
        <is>
          <t>NİRENGİ DANIŞMANLIK</t>
        </is>
      </c>
      <c r="R1" s="2" t="inlineStr">
        <is>
          <t>emreceran.github.io/nirengi-danismanlik</t>
        </is>
      </c>
    </row>
    <row r="2">
      <c r="A2" s="3" t="inlineStr">
        <is>
          <t>Satın Alma Fiyat Takip Tablosu</t>
        </is>
      </c>
    </row>
    <row r="3">
      <c r="A3" s="4" t="inlineStr">
        <is>
          <t>Alış faturası kalemlerini girin; ortalamadan sapan fiyatlar, olası fazla ödeme ve mükerrer kayıtlar işaretlenir.</t>
        </is>
      </c>
    </row>
    <row r="5">
      <c r="A5" s="5" t="inlineStr">
        <is>
          <t>Sapma eşiği</t>
        </is>
      </c>
      <c r="C5" s="6" t="n">
        <v>0.1</v>
      </c>
      <c r="E5" s="5" t="inlineStr">
        <is>
          <t>İncelenecek kalem sayısı</t>
        </is>
      </c>
      <c r="F5" s="7">
        <f>COUNTIF(Q10:Q1009,"İNCELE")</f>
        <v/>
      </c>
    </row>
    <row r="6">
      <c r="A6" s="5" t="inlineStr">
        <is>
          <t>Karşılaştırma penceresi (gün)</t>
        </is>
      </c>
      <c r="C6" s="8" t="n">
        <v>90</v>
      </c>
      <c r="E6" s="5" t="inlineStr">
        <is>
          <t>Olası fazla ödeme toplamı</t>
        </is>
      </c>
      <c r="F6" s="9">
        <f>SUM(R10:R1009)</f>
        <v/>
      </c>
    </row>
    <row r="7">
      <c r="E7" s="5" t="inlineStr">
        <is>
          <t>Mükerrer şüphesi</t>
        </is>
      </c>
      <c r="F7" s="7">
        <f>COUNTIF(Q10:Q1009,"MÜKERRER?")</f>
        <v/>
      </c>
    </row>
    <row r="9" ht="32" customHeight="1">
      <c r="A9" s="10" t="inlineStr">
        <is>
          <t>Tarih</t>
        </is>
      </c>
      <c r="B9" s="10" t="inlineStr">
        <is>
          <t>Tedarikçi</t>
        </is>
      </c>
      <c r="C9" s="10" t="inlineStr">
        <is>
          <t>Fatura no</t>
        </is>
      </c>
      <c r="D9" s="10" t="inlineStr">
        <is>
          <t>Faturadaki ürün adı</t>
        </is>
      </c>
      <c r="E9" s="10" t="inlineStr">
        <is>
          <t>Miktar</t>
        </is>
      </c>
      <c r="F9" s="10" t="inlineStr">
        <is>
          <t>Birim</t>
        </is>
      </c>
      <c r="G9" s="10" t="inlineStr">
        <is>
          <t>Birim fiyat</t>
        </is>
      </c>
      <c r="H9" s="10" t="inlineStr">
        <is>
          <t>İskonto %</t>
        </is>
      </c>
      <c r="I9" s="10" t="inlineStr">
        <is>
          <t>Net birim fiyat</t>
        </is>
      </c>
      <c r="J9" s="10" t="inlineStr">
        <is>
          <t>Tutar</t>
        </is>
      </c>
      <c r="K9" s="10" t="inlineStr">
        <is>
          <t>Standart ürün</t>
        </is>
      </c>
      <c r="L9" s="10" t="inlineStr">
        <is>
          <t>Çevrim katsayısı</t>
        </is>
      </c>
      <c r="M9" s="10" t="inlineStr">
        <is>
          <t>Standart birim fiyat</t>
        </is>
      </c>
      <c r="N9" s="10" t="inlineStr">
        <is>
          <t>Önceki ortalama</t>
        </is>
      </c>
      <c r="O9" s="10" t="inlineStr">
        <is>
          <t>Dönemin en düşüğü</t>
        </is>
      </c>
      <c r="P9" s="10" t="inlineStr">
        <is>
          <t>Fark %</t>
        </is>
      </c>
      <c r="Q9" s="10" t="inlineStr">
        <is>
          <t>Uyarı</t>
        </is>
      </c>
      <c r="R9" s="10" t="inlineStr">
        <is>
          <t>Olası fazla ödeme</t>
        </is>
      </c>
      <c r="S9" s="10" t="inlineStr">
        <is>
          <t>Standart miktar</t>
        </is>
      </c>
    </row>
    <row r="10">
      <c r="A10" s="11" t="n">
        <v>46148</v>
      </c>
      <c r="B10" s="12" t="inlineStr">
        <is>
          <t>Konya Demir Ltd.</t>
        </is>
      </c>
      <c r="C10" s="12" t="inlineStr">
        <is>
          <t>KD2026000412</t>
        </is>
      </c>
      <c r="D10" s="12" t="inlineStr">
        <is>
          <t>KUTU PROF.40X40X2</t>
        </is>
      </c>
      <c r="E10" s="13" t="n">
        <v>1200</v>
      </c>
      <c r="F10" s="12" t="inlineStr">
        <is>
          <t>KG</t>
        </is>
      </c>
      <c r="G10" s="14" t="n">
        <v>37.2</v>
      </c>
      <c r="H10" s="15" t="n">
        <v>0</v>
      </c>
      <c r="I10" s="16">
        <f>IF(G10="","",G10*(1-N(H10)))</f>
        <v/>
      </c>
      <c r="J10" s="16">
        <f>IF(I10="","",E10*I10)</f>
        <v/>
      </c>
      <c r="K10">
        <f>IF(D10="","",IFERROR(VLOOKUP(D10,'Ürün Eşleştirme'!$A$6:$D$505,2,FALSE),D10))</f>
        <v/>
      </c>
      <c r="L10" s="17">
        <f>IF(D10="","",IFERROR(VLOOKUP(D10,'Ürün Eşleştirme'!$A$6:$D$505,4,FALSE),1))</f>
        <v/>
      </c>
      <c r="M10" s="16">
        <f>IF(I10="","",I10/L10)</f>
        <v/>
      </c>
      <c r="N10" s="16">
        <f>IF(M10="","",IFERROR(AVERAGEIFS($M$10:$M$1009,$K$10:$K$1009,K10,$A$10:$A$1009,"&lt;"&amp;A10,$A$10:$A$1009,"&gt;="&amp;(A10-$C$6)),""))</f>
        <v/>
      </c>
      <c r="O10" s="16">
        <f>IF(M10="","",_xlfn.MINIFS($M$10:$M$1009,$K$10:$K$1009,K10,$A$10:$A$1009,"&lt;="&amp;A10,$A$10:$A$1009,"&gt;="&amp;(A10-$C$6)))</f>
        <v/>
      </c>
      <c r="P10" s="18">
        <f>IF(OR(N10="",N10=0),"",M10/N10-1)</f>
        <v/>
      </c>
      <c r="Q10">
        <f>IF(D10="","",IF(COUNTIFS($B$10:$B$1009,B10,$C$10:$C$1009,C10,$D$10:$D$1009,D10,$E$10:$E$1009,E10)&gt;1,"MÜKERRER?",IF(P10="","",IF(P10&gt;=$C$5,"İNCELE",IF(P10&lt;=-$C$5,"Düşük",""))))</f>
        <v/>
      </c>
      <c r="R10" s="16">
        <f>IF(AND(P10&lt;&gt;"",N(P10)&gt;=$C$5,COUNTIFS($B$10:B10,B10,$C$10:C10,C10,$D$10:D10,D10,$E$10:E10,E10)=1),(M10-N10)*E10*L10,0)</f>
        <v/>
      </c>
      <c r="S10" s="19">
        <f>IF(D10="",0,N(E10)*L10)</f>
        <v/>
      </c>
    </row>
    <row r="11">
      <c r="A11" s="11" t="n">
        <v>46162</v>
      </c>
      <c r="B11" s="12" t="inlineStr">
        <is>
          <t>Anadolu Çelik A.Ş.</t>
        </is>
      </c>
      <c r="C11" s="12" t="inlineStr">
        <is>
          <t>AC2026001187</t>
        </is>
      </c>
      <c r="D11" s="12" t="inlineStr">
        <is>
          <t>40*40 kutu profil 2 mm</t>
        </is>
      </c>
      <c r="E11" s="13" t="n">
        <v>900</v>
      </c>
      <c r="F11" s="12" t="inlineStr">
        <is>
          <t>KG</t>
        </is>
      </c>
      <c r="G11" s="14" t="n">
        <v>37.9</v>
      </c>
      <c r="H11" s="15" t="n">
        <v>0</v>
      </c>
      <c r="I11" s="16">
        <f>IF(G11="","",G11*(1-N(H11)))</f>
        <v/>
      </c>
      <c r="J11" s="16">
        <f>IF(I11="","",E11*I11)</f>
        <v/>
      </c>
      <c r="K11">
        <f>IF(D11="","",IFERROR(VLOOKUP(D11,'Ürün Eşleştirme'!$A$6:$D$505,2,FALSE),D11))</f>
        <v/>
      </c>
      <c r="L11" s="17">
        <f>IF(D11="","",IFERROR(VLOOKUP(D11,'Ürün Eşleştirme'!$A$6:$D$505,4,FALSE),1))</f>
        <v/>
      </c>
      <c r="M11" s="16">
        <f>IF(I11="","",I11/L11)</f>
        <v/>
      </c>
      <c r="N11" s="16">
        <f>IF(M11="","",IFERROR(AVERAGEIFS($M$10:$M$1009,$K$10:$K$1009,K11,$A$10:$A$1009,"&lt;"&amp;A11,$A$10:$A$1009,"&gt;="&amp;(A11-$C$6)),""))</f>
        <v/>
      </c>
      <c r="O11" s="16">
        <f>IF(M11="","",_xlfn.MINIFS($M$10:$M$1009,$K$10:$K$1009,K11,$A$10:$A$1009,"&lt;="&amp;A11,$A$10:$A$1009,"&gt;="&amp;(A11-$C$6)))</f>
        <v/>
      </c>
      <c r="P11" s="18">
        <f>IF(OR(N11="",N11=0),"",M11/N11-1)</f>
        <v/>
      </c>
      <c r="Q11">
        <f>IF(D11="","",IF(COUNTIFS($B$10:$B$1009,B11,$C$10:$C$1009,C11,$D$10:$D$1009,D11,$E$10:$E$1009,E11)&gt;1,"MÜKERRER?",IF(P11="","",IF(P11&gt;=$C$5,"İNCELE",IF(P11&lt;=-$C$5,"Düşük",""))))</f>
        <v/>
      </c>
      <c r="R11" s="16">
        <f>IF(AND(P11&lt;&gt;"",N(P11)&gt;=$C$5,COUNTIFS($B$10:B11,B11,$C$10:C11,C11,$D$10:D11,D11,$E$10:E11,E11)=1),(M11-N11)*E11*L11,0)</f>
        <v/>
      </c>
      <c r="S11" s="19">
        <f>IF(D11="",0,N(E11)*L11)</f>
        <v/>
      </c>
    </row>
    <row r="12">
      <c r="A12" s="11" t="n">
        <v>46183</v>
      </c>
      <c r="B12" s="12" t="inlineStr">
        <is>
          <t>Konya Demir Ltd.</t>
        </is>
      </c>
      <c r="C12" s="12" t="inlineStr">
        <is>
          <t>KD2026000533</t>
        </is>
      </c>
      <c r="D12" s="12" t="inlineStr">
        <is>
          <t>KUTU PROF.40X40X2</t>
        </is>
      </c>
      <c r="E12" s="13" t="n">
        <v>1500</v>
      </c>
      <c r="F12" s="12" t="inlineStr">
        <is>
          <t>KG</t>
        </is>
      </c>
      <c r="G12" s="14" t="n">
        <v>38.4</v>
      </c>
      <c r="H12" s="15" t="n">
        <v>0</v>
      </c>
      <c r="I12" s="16">
        <f>IF(G12="","",G12*(1-N(H12)))</f>
        <v/>
      </c>
      <c r="J12" s="16">
        <f>IF(I12="","",E12*I12)</f>
        <v/>
      </c>
      <c r="K12">
        <f>IF(D12="","",IFERROR(VLOOKUP(D12,'Ürün Eşleştirme'!$A$6:$D$505,2,FALSE),D12))</f>
        <v/>
      </c>
      <c r="L12" s="17">
        <f>IF(D12="","",IFERROR(VLOOKUP(D12,'Ürün Eşleştirme'!$A$6:$D$505,4,FALSE),1))</f>
        <v/>
      </c>
      <c r="M12" s="16">
        <f>IF(I12="","",I12/L12)</f>
        <v/>
      </c>
      <c r="N12" s="16">
        <f>IF(M12="","",IFERROR(AVERAGEIFS($M$10:$M$1009,$K$10:$K$1009,K12,$A$10:$A$1009,"&lt;"&amp;A12,$A$10:$A$1009,"&gt;="&amp;(A12-$C$6)),""))</f>
        <v/>
      </c>
      <c r="O12" s="16">
        <f>IF(M12="","",_xlfn.MINIFS($M$10:$M$1009,$K$10:$K$1009,K12,$A$10:$A$1009,"&lt;="&amp;A12,$A$10:$A$1009,"&gt;="&amp;(A12-$C$6)))</f>
        <v/>
      </c>
      <c r="P12" s="18">
        <f>IF(OR(N12="",N12=0),"",M12/N12-1)</f>
        <v/>
      </c>
      <c r="Q12">
        <f>IF(D12="","",IF(COUNTIFS($B$10:$B$1009,B12,$C$10:$C$1009,C12,$D$10:$D$1009,D12,$E$10:$E$1009,E12)&gt;1,"MÜKERRER?",IF(P12="","",IF(P12&gt;=$C$5,"İNCELE",IF(P12&lt;=-$C$5,"Düşük",""))))</f>
        <v/>
      </c>
      <c r="R12" s="16">
        <f>IF(AND(P12&lt;&gt;"",N(P12)&gt;=$C$5,COUNTIFS($B$10:B12,B12,$C$10:C12,C12,$D$10:D12,D12,$E$10:E12,E12)=1),(M12-N12)*E12*L12,0)</f>
        <v/>
      </c>
      <c r="S12" s="19">
        <f>IF(D12="",0,N(E12)*L12)</f>
        <v/>
      </c>
    </row>
    <row r="13">
      <c r="A13" s="11" t="n">
        <v>46205</v>
      </c>
      <c r="B13" s="12" t="inlineStr">
        <is>
          <t>Konya Demir Ltd.</t>
        </is>
      </c>
      <c r="C13" s="12" t="inlineStr">
        <is>
          <t>KD2026000611</t>
        </is>
      </c>
      <c r="D13" s="12" t="inlineStr">
        <is>
          <t>KUTU PROF.40X40X2</t>
        </is>
      </c>
      <c r="E13" s="13" t="n">
        <v>1100</v>
      </c>
      <c r="F13" s="12" t="inlineStr">
        <is>
          <t>KG</t>
        </is>
      </c>
      <c r="G13" s="14" t="n">
        <v>39.1</v>
      </c>
      <c r="H13" s="15" t="n">
        <v>0</v>
      </c>
      <c r="I13" s="16">
        <f>IF(G13="","",G13*(1-N(H13)))</f>
        <v/>
      </c>
      <c r="J13" s="16">
        <f>IF(I13="","",E13*I13)</f>
        <v/>
      </c>
      <c r="K13">
        <f>IF(D13="","",IFERROR(VLOOKUP(D13,'Ürün Eşleştirme'!$A$6:$D$505,2,FALSE),D13))</f>
        <v/>
      </c>
      <c r="L13" s="17">
        <f>IF(D13="","",IFERROR(VLOOKUP(D13,'Ürün Eşleştirme'!$A$6:$D$505,4,FALSE),1))</f>
        <v/>
      </c>
      <c r="M13" s="16">
        <f>IF(I13="","",I13/L13)</f>
        <v/>
      </c>
      <c r="N13" s="16">
        <f>IF(M13="","",IFERROR(AVERAGEIFS($M$10:$M$1009,$K$10:$K$1009,K13,$A$10:$A$1009,"&lt;"&amp;A13,$A$10:$A$1009,"&gt;="&amp;(A13-$C$6)),""))</f>
        <v/>
      </c>
      <c r="O13" s="16">
        <f>IF(M13="","",_xlfn.MINIFS($M$10:$M$1009,$K$10:$K$1009,K13,$A$10:$A$1009,"&lt;="&amp;A13,$A$10:$A$1009,"&gt;="&amp;(A13-$C$6)))</f>
        <v/>
      </c>
      <c r="P13" s="18">
        <f>IF(OR(N13="",N13=0),"",M13/N13-1)</f>
        <v/>
      </c>
      <c r="Q13">
        <f>IF(D13="","",IF(COUNTIFS($B$10:$B$1009,B13,$C$10:$C$1009,C13,$D$10:$D$1009,D13,$E$10:$E$1009,E13)&gt;1,"MÜKERRER?",IF(P13="","",IF(P13&gt;=$C$5,"İNCELE",IF(P13&lt;=-$C$5,"Düşük",""))))</f>
        <v/>
      </c>
      <c r="R13" s="16">
        <f>IF(AND(P13&lt;&gt;"",N(P13)&gt;=$C$5,COUNTIFS($B$10:B13,B13,$C$10:C13,C13,$D$10:D13,D13,$E$10:E13,E13)=1),(M13-N13)*E13*L13,0)</f>
        <v/>
      </c>
      <c r="S13" s="19">
        <f>IF(D13="",0,N(E13)*L13)</f>
        <v/>
      </c>
    </row>
    <row r="14">
      <c r="A14" s="11" t="n">
        <v>46228</v>
      </c>
      <c r="B14" s="12" t="inlineStr">
        <is>
          <t>Seydişehir Metal</t>
        </is>
      </c>
      <c r="C14" s="12" t="inlineStr">
        <is>
          <t>SM2026000098</t>
        </is>
      </c>
      <c r="D14" s="12" t="inlineStr">
        <is>
          <t>Profil 40x40x2 St37 6mt</t>
        </is>
      </c>
      <c r="E14" s="13" t="n">
        <v>120</v>
      </c>
      <c r="F14" s="12" t="inlineStr">
        <is>
          <t>BOY</t>
        </is>
      </c>
      <c r="G14" s="14" t="n">
        <v>342</v>
      </c>
      <c r="H14" s="15" t="n">
        <v>0</v>
      </c>
      <c r="I14" s="16">
        <f>IF(G14="","",G14*(1-N(H14)))</f>
        <v/>
      </c>
      <c r="J14" s="16">
        <f>IF(I14="","",E14*I14)</f>
        <v/>
      </c>
      <c r="K14">
        <f>IF(D14="","",IFERROR(VLOOKUP(D14,'Ürün Eşleştirme'!$A$6:$D$505,2,FALSE),D14))</f>
        <v/>
      </c>
      <c r="L14" s="17">
        <f>IF(D14="","",IFERROR(VLOOKUP(D14,'Ürün Eşleştirme'!$A$6:$D$505,4,FALSE),1))</f>
        <v/>
      </c>
      <c r="M14" s="16">
        <f>IF(I14="","",I14/L14)</f>
        <v/>
      </c>
      <c r="N14" s="16">
        <f>IF(M14="","",IFERROR(AVERAGEIFS($M$10:$M$1009,$K$10:$K$1009,K14,$A$10:$A$1009,"&lt;"&amp;A14,$A$10:$A$1009,"&gt;="&amp;(A14-$C$6)),""))</f>
        <v/>
      </c>
      <c r="O14" s="16">
        <f>IF(M14="","",_xlfn.MINIFS($M$10:$M$1009,$K$10:$K$1009,K14,$A$10:$A$1009,"&lt;="&amp;A14,$A$10:$A$1009,"&gt;="&amp;(A14-$C$6)))</f>
        <v/>
      </c>
      <c r="P14" s="18">
        <f>IF(OR(N14="",N14=0),"",M14/N14-1)</f>
        <v/>
      </c>
      <c r="Q14">
        <f>IF(D14="","",IF(COUNTIFS($B$10:$B$1009,B14,$C$10:$C$1009,C14,$D$10:$D$1009,D14,$E$10:$E$1009,E14)&gt;1,"MÜKERRER?",IF(P14="","",IF(P14&gt;=$C$5,"İNCELE",IF(P14&lt;=-$C$5,"Düşük",""))))</f>
        <v/>
      </c>
      <c r="R14" s="16">
        <f>IF(AND(P14&lt;&gt;"",N(P14)&gt;=$C$5,COUNTIFS($B$10:B14,B14,$C$10:C14,C14,$D$10:D14,D14,$E$10:E14,E14)=1),(M14-N14)*E14*L14,0)</f>
        <v/>
      </c>
      <c r="S14" s="19">
        <f>IF(D14="",0,N(E14)*L14)</f>
        <v/>
      </c>
    </row>
    <row r="15">
      <c r="A15" s="11" t="n">
        <v>46253</v>
      </c>
      <c r="B15" s="12" t="inlineStr">
        <is>
          <t>Konya Demir Ltd.</t>
        </is>
      </c>
      <c r="C15" s="12" t="inlineStr">
        <is>
          <t>KD2026000702</t>
        </is>
      </c>
      <c r="D15" s="12" t="inlineStr">
        <is>
          <t>KUTU PROF.40X40X2</t>
        </is>
      </c>
      <c r="E15" s="13" t="n">
        <v>1300</v>
      </c>
      <c r="F15" s="12" t="inlineStr">
        <is>
          <t>KG</t>
        </is>
      </c>
      <c r="G15" s="14" t="n">
        <v>45.9</v>
      </c>
      <c r="H15" s="15" t="n">
        <v>0</v>
      </c>
      <c r="I15" s="16">
        <f>IF(G15="","",G15*(1-N(H15)))</f>
        <v/>
      </c>
      <c r="J15" s="16">
        <f>IF(I15="","",E15*I15)</f>
        <v/>
      </c>
      <c r="K15">
        <f>IF(D15="","",IFERROR(VLOOKUP(D15,'Ürün Eşleştirme'!$A$6:$D$505,2,FALSE),D15))</f>
        <v/>
      </c>
      <c r="L15" s="17">
        <f>IF(D15="","",IFERROR(VLOOKUP(D15,'Ürün Eşleştirme'!$A$6:$D$505,4,FALSE),1))</f>
        <v/>
      </c>
      <c r="M15" s="16">
        <f>IF(I15="","",I15/L15)</f>
        <v/>
      </c>
      <c r="N15" s="16">
        <f>IF(M15="","",IFERROR(AVERAGEIFS($M$10:$M$1009,$K$10:$K$1009,K15,$A$10:$A$1009,"&lt;"&amp;A15,$A$10:$A$1009,"&gt;="&amp;(A15-$C$6)),""))</f>
        <v/>
      </c>
      <c r="O15" s="16">
        <f>IF(M15="","",_xlfn.MINIFS($M$10:$M$1009,$K$10:$K$1009,K15,$A$10:$A$1009,"&lt;="&amp;A15,$A$10:$A$1009,"&gt;="&amp;(A15-$C$6)))</f>
        <v/>
      </c>
      <c r="P15" s="18">
        <f>IF(OR(N15="",N15=0),"",M15/N15-1)</f>
        <v/>
      </c>
      <c r="Q15">
        <f>IF(D15="","",IF(COUNTIFS($B$10:$B$1009,B15,$C$10:$C$1009,C15,$D$10:$D$1009,D15,$E$10:$E$1009,E15)&gt;1,"MÜKERRER?",IF(P15="","",IF(P15&gt;=$C$5,"İNCELE",IF(P15&lt;=-$C$5,"Düşük",""))))</f>
        <v/>
      </c>
      <c r="R15" s="16">
        <f>IF(AND(P15&lt;&gt;"",N(P15)&gt;=$C$5,COUNTIFS($B$10:B15,B15,$C$10:C15,C15,$D$10:D15,D15,$E$10:E15,E15)=1),(M15-N15)*E15*L15,0)</f>
        <v/>
      </c>
      <c r="S15" s="19">
        <f>IF(D15="",0,N(E15)*L15)</f>
        <v/>
      </c>
    </row>
    <row r="16">
      <c r="A16" s="11" t="n">
        <v>46154</v>
      </c>
      <c r="B16" s="12" t="inlineStr">
        <is>
          <t>Kaynak Market</t>
        </is>
      </c>
      <c r="C16" s="12" t="inlineStr">
        <is>
          <t>KM2026002210</t>
        </is>
      </c>
      <c r="D16" s="12" t="inlineStr">
        <is>
          <t>SG2 Kaynak Teli 1.2mm 15kg</t>
        </is>
      </c>
      <c r="E16" s="13" t="n">
        <v>20</v>
      </c>
      <c r="F16" s="12" t="inlineStr">
        <is>
          <t>MAKARA</t>
        </is>
      </c>
      <c r="G16" s="14" t="n">
        <v>1440</v>
      </c>
      <c r="H16" s="15" t="n">
        <v>0</v>
      </c>
      <c r="I16" s="16">
        <f>IF(G16="","",G16*(1-N(H16)))</f>
        <v/>
      </c>
      <c r="J16" s="16">
        <f>IF(I16="","",E16*I16)</f>
        <v/>
      </c>
      <c r="K16">
        <f>IF(D16="","",IFERROR(VLOOKUP(D16,'Ürün Eşleştirme'!$A$6:$D$505,2,FALSE),D16))</f>
        <v/>
      </c>
      <c r="L16" s="17">
        <f>IF(D16="","",IFERROR(VLOOKUP(D16,'Ürün Eşleştirme'!$A$6:$D$505,4,FALSE),1))</f>
        <v/>
      </c>
      <c r="M16" s="16">
        <f>IF(I16="","",I16/L16)</f>
        <v/>
      </c>
      <c r="N16" s="16">
        <f>IF(M16="","",IFERROR(AVERAGEIFS($M$10:$M$1009,$K$10:$K$1009,K16,$A$10:$A$1009,"&lt;"&amp;A16,$A$10:$A$1009,"&gt;="&amp;(A16-$C$6)),""))</f>
        <v/>
      </c>
      <c r="O16" s="16">
        <f>IF(M16="","",_xlfn.MINIFS($M$10:$M$1009,$K$10:$K$1009,K16,$A$10:$A$1009,"&lt;="&amp;A16,$A$10:$A$1009,"&gt;="&amp;(A16-$C$6)))</f>
        <v/>
      </c>
      <c r="P16" s="18">
        <f>IF(OR(N16="",N16=0),"",M16/N16-1)</f>
        <v/>
      </c>
      <c r="Q16">
        <f>IF(D16="","",IF(COUNTIFS($B$10:$B$1009,B16,$C$10:$C$1009,C16,$D$10:$D$1009,D16,$E$10:$E$1009,E16)&gt;1,"MÜKERRER?",IF(P16="","",IF(P16&gt;=$C$5,"İNCELE",IF(P16&lt;=-$C$5,"Düşük",""))))</f>
        <v/>
      </c>
      <c r="R16" s="16">
        <f>IF(AND(P16&lt;&gt;"",N(P16)&gt;=$C$5,COUNTIFS($B$10:B16,B16,$C$10:C16,C16,$D$10:D16,D16,$E$10:E16,E16)=1),(M16-N16)*E16*L16,0)</f>
        <v/>
      </c>
      <c r="S16" s="19">
        <f>IF(D16="",0,N(E16)*L16)</f>
        <v/>
      </c>
    </row>
    <row r="17">
      <c r="A17" s="11" t="n">
        <v>46191</v>
      </c>
      <c r="B17" s="12" t="inlineStr">
        <is>
          <t>Kaynak Market</t>
        </is>
      </c>
      <c r="C17" s="12" t="inlineStr">
        <is>
          <t>KM2026002391</t>
        </is>
      </c>
      <c r="D17" s="12" t="inlineStr">
        <is>
          <t>SG2 Kaynak Teli 1.2mm 15kg</t>
        </is>
      </c>
      <c r="E17" s="13" t="n">
        <v>20</v>
      </c>
      <c r="F17" s="12" t="inlineStr">
        <is>
          <t>MAKARA</t>
        </is>
      </c>
      <c r="G17" s="14" t="n">
        <v>1455</v>
      </c>
      <c r="H17" s="15" t="n">
        <v>0</v>
      </c>
      <c r="I17" s="16">
        <f>IF(G17="","",G17*(1-N(H17)))</f>
        <v/>
      </c>
      <c r="J17" s="16">
        <f>IF(I17="","",E17*I17)</f>
        <v/>
      </c>
      <c r="K17">
        <f>IF(D17="","",IFERROR(VLOOKUP(D17,'Ürün Eşleştirme'!$A$6:$D$505,2,FALSE),D17))</f>
        <v/>
      </c>
      <c r="L17" s="17">
        <f>IF(D17="","",IFERROR(VLOOKUP(D17,'Ürün Eşleştirme'!$A$6:$D$505,4,FALSE),1))</f>
        <v/>
      </c>
      <c r="M17" s="16">
        <f>IF(I17="","",I17/L17)</f>
        <v/>
      </c>
      <c r="N17" s="16">
        <f>IF(M17="","",IFERROR(AVERAGEIFS($M$10:$M$1009,$K$10:$K$1009,K17,$A$10:$A$1009,"&lt;"&amp;A17,$A$10:$A$1009,"&gt;="&amp;(A17-$C$6)),""))</f>
        <v/>
      </c>
      <c r="O17" s="16">
        <f>IF(M17="","",_xlfn.MINIFS($M$10:$M$1009,$K$10:$K$1009,K17,$A$10:$A$1009,"&lt;="&amp;A17,$A$10:$A$1009,"&gt;="&amp;(A17-$C$6)))</f>
        <v/>
      </c>
      <c r="P17" s="18">
        <f>IF(OR(N17="",N17=0),"",M17/N17-1)</f>
        <v/>
      </c>
      <c r="Q17">
        <f>IF(D17="","",IF(COUNTIFS($B$10:$B$1009,B17,$C$10:$C$1009,C17,$D$10:$D$1009,D17,$E$10:$E$1009,E17)&gt;1,"MÜKERRER?",IF(P17="","",IF(P17&gt;=$C$5,"İNCELE",IF(P17&lt;=-$C$5,"Düşük",""))))</f>
        <v/>
      </c>
      <c r="R17" s="16">
        <f>IF(AND(P17&lt;&gt;"",N(P17)&gt;=$C$5,COUNTIFS($B$10:B17,B17,$C$10:C17,C17,$D$10:D17,D17,$E$10:E17,E17)=1),(M17-N17)*E17*L17,0)</f>
        <v/>
      </c>
      <c r="S17" s="19">
        <f>IF(D17="",0,N(E17)*L17)</f>
        <v/>
      </c>
    </row>
    <row r="18">
      <c r="A18" s="11" t="n">
        <v>46238</v>
      </c>
      <c r="B18" s="12" t="inlineStr">
        <is>
          <t>Kaynak Market</t>
        </is>
      </c>
      <c r="C18" s="12" t="inlineStr">
        <is>
          <t>KM2026002580</t>
        </is>
      </c>
      <c r="D18" s="12" t="inlineStr">
        <is>
          <t>SG2 Kaynak Teli 1.2mm 15kg</t>
        </is>
      </c>
      <c r="E18" s="13" t="n">
        <v>24</v>
      </c>
      <c r="F18" s="12" t="inlineStr">
        <is>
          <t>MAKARA</t>
        </is>
      </c>
      <c r="G18" s="14" t="n">
        <v>1687.5</v>
      </c>
      <c r="H18" s="15" t="n">
        <v>0</v>
      </c>
      <c r="I18" s="16">
        <f>IF(G18="","",G18*(1-N(H18)))</f>
        <v/>
      </c>
      <c r="J18" s="16">
        <f>IF(I18="","",E18*I18)</f>
        <v/>
      </c>
      <c r="K18">
        <f>IF(D18="","",IFERROR(VLOOKUP(D18,'Ürün Eşleştirme'!$A$6:$D$505,2,FALSE),D18))</f>
        <v/>
      </c>
      <c r="L18" s="17">
        <f>IF(D18="","",IFERROR(VLOOKUP(D18,'Ürün Eşleştirme'!$A$6:$D$505,4,FALSE),1))</f>
        <v/>
      </c>
      <c r="M18" s="16">
        <f>IF(I18="","",I18/L18)</f>
        <v/>
      </c>
      <c r="N18" s="16">
        <f>IF(M18="","",IFERROR(AVERAGEIFS($M$10:$M$1009,$K$10:$K$1009,K18,$A$10:$A$1009,"&lt;"&amp;A18,$A$10:$A$1009,"&gt;="&amp;(A18-$C$6)),""))</f>
        <v/>
      </c>
      <c r="O18" s="16">
        <f>IF(M18="","",_xlfn.MINIFS($M$10:$M$1009,$K$10:$K$1009,K18,$A$10:$A$1009,"&lt;="&amp;A18,$A$10:$A$1009,"&gt;="&amp;(A18-$C$6)))</f>
        <v/>
      </c>
      <c r="P18" s="18">
        <f>IF(OR(N18="",N18=0),"",M18/N18-1)</f>
        <v/>
      </c>
      <c r="Q18">
        <f>IF(D18="","",IF(COUNTIFS($B$10:$B$1009,B18,$C$10:$C$1009,C18,$D$10:$D$1009,D18,$E$10:$E$1009,E18)&gt;1,"MÜKERRER?",IF(P18="","",IF(P18&gt;=$C$5,"İNCELE",IF(P18&lt;=-$C$5,"Düşük",""))))</f>
        <v/>
      </c>
      <c r="R18" s="16">
        <f>IF(AND(P18&lt;&gt;"",N(P18)&gt;=$C$5,COUNTIFS($B$10:B18,B18,$C$10:C18,C18,$D$10:D18,D18,$E$10:E18,E18)=1),(M18-N18)*E18*L18,0)</f>
        <v/>
      </c>
      <c r="S18" s="19">
        <f>IF(D18="",0,N(E18)*L18)</f>
        <v/>
      </c>
    </row>
    <row r="19">
      <c r="A19" s="11" t="n">
        <v>46238</v>
      </c>
      <c r="B19" s="12" t="inlineStr">
        <is>
          <t>Kaynak Market</t>
        </is>
      </c>
      <c r="C19" s="12" t="inlineStr">
        <is>
          <t>KM2026002580</t>
        </is>
      </c>
      <c r="D19" s="12" t="inlineStr">
        <is>
          <t>SG2 Kaynak Teli 1.2mm 15kg</t>
        </is>
      </c>
      <c r="E19" s="13" t="n">
        <v>24</v>
      </c>
      <c r="F19" s="12" t="inlineStr">
        <is>
          <t>MAKARA</t>
        </is>
      </c>
      <c r="G19" s="14" t="n">
        <v>1687.5</v>
      </c>
      <c r="H19" s="15" t="n">
        <v>0</v>
      </c>
      <c r="I19" s="16">
        <f>IF(G19="","",G19*(1-N(H19)))</f>
        <v/>
      </c>
      <c r="J19" s="16">
        <f>IF(I19="","",E19*I19)</f>
        <v/>
      </c>
      <c r="K19">
        <f>IF(D19="","",IFERROR(VLOOKUP(D19,'Ürün Eşleştirme'!$A$6:$D$505,2,FALSE),D19))</f>
        <v/>
      </c>
      <c r="L19" s="17">
        <f>IF(D19="","",IFERROR(VLOOKUP(D19,'Ürün Eşleştirme'!$A$6:$D$505,4,FALSE),1))</f>
        <v/>
      </c>
      <c r="M19" s="16">
        <f>IF(I19="","",I19/L19)</f>
        <v/>
      </c>
      <c r="N19" s="16">
        <f>IF(M19="","",IFERROR(AVERAGEIFS($M$10:$M$1009,$K$10:$K$1009,K19,$A$10:$A$1009,"&lt;"&amp;A19,$A$10:$A$1009,"&gt;="&amp;(A19-$C$6)),""))</f>
        <v/>
      </c>
      <c r="O19" s="16">
        <f>IF(M19="","",_xlfn.MINIFS($M$10:$M$1009,$K$10:$K$1009,K19,$A$10:$A$1009,"&lt;="&amp;A19,$A$10:$A$1009,"&gt;="&amp;(A19-$C$6)))</f>
        <v/>
      </c>
      <c r="P19" s="18">
        <f>IF(OR(N19="",N19=0),"",M19/N19-1)</f>
        <v/>
      </c>
      <c r="Q19">
        <f>IF(D19="","",IF(COUNTIFS($B$10:$B$1009,B19,$C$10:$C$1009,C19,$D$10:$D$1009,D19,$E$10:$E$1009,E19)&gt;1,"MÜKERRER?",IF(P19="","",IF(P19&gt;=$C$5,"İNCELE",IF(P19&lt;=-$C$5,"Düşük",""))))</f>
        <v/>
      </c>
      <c r="R19" s="16">
        <f>IF(AND(P19&lt;&gt;"",N(P19)&gt;=$C$5,COUNTIFS($B$10:B19,B19,$C$10:C19,C19,$D$10:D19,D19,$E$10:E19,E19)=1),(M19-N19)*E19*L19,0)</f>
        <v/>
      </c>
      <c r="S19" s="19">
        <f>IF(D19="",0,N(E19)*L19)</f>
        <v/>
      </c>
    </row>
    <row r="20">
      <c r="A20" s="11" t="n">
        <v>46157</v>
      </c>
      <c r="B20" s="12" t="inlineStr">
        <is>
          <t>Ova Ambalaj</t>
        </is>
      </c>
      <c r="C20" s="12" t="inlineStr">
        <is>
          <t>OA2026000045</t>
        </is>
      </c>
      <c r="D20" s="12" t="inlineStr">
        <is>
          <t>Kraft koli 60x40x40</t>
        </is>
      </c>
      <c r="E20" s="13" t="n">
        <v>500</v>
      </c>
      <c r="F20" s="12" t="inlineStr">
        <is>
          <t>ADET</t>
        </is>
      </c>
      <c r="G20" s="14" t="n">
        <v>27.5</v>
      </c>
      <c r="H20" s="15" t="n">
        <v>0</v>
      </c>
      <c r="I20" s="16">
        <f>IF(G20="","",G20*(1-N(H20)))</f>
        <v/>
      </c>
      <c r="J20" s="16">
        <f>IF(I20="","",E20*I20)</f>
        <v/>
      </c>
      <c r="K20">
        <f>IF(D20="","",IFERROR(VLOOKUP(D20,'Ürün Eşleştirme'!$A$6:$D$505,2,FALSE),D20))</f>
        <v/>
      </c>
      <c r="L20" s="17">
        <f>IF(D20="","",IFERROR(VLOOKUP(D20,'Ürün Eşleştirme'!$A$6:$D$505,4,FALSE),1))</f>
        <v/>
      </c>
      <c r="M20" s="16">
        <f>IF(I20="","",I20/L20)</f>
        <v/>
      </c>
      <c r="N20" s="16">
        <f>IF(M20="","",IFERROR(AVERAGEIFS($M$10:$M$1009,$K$10:$K$1009,K20,$A$10:$A$1009,"&lt;"&amp;A20,$A$10:$A$1009,"&gt;="&amp;(A20-$C$6)),""))</f>
        <v/>
      </c>
      <c r="O20" s="16">
        <f>IF(M20="","",_xlfn.MINIFS($M$10:$M$1009,$K$10:$K$1009,K20,$A$10:$A$1009,"&lt;="&amp;A20,$A$10:$A$1009,"&gt;="&amp;(A20-$C$6)))</f>
        <v/>
      </c>
      <c r="P20" s="18">
        <f>IF(OR(N20="",N20=0),"",M20/N20-1)</f>
        <v/>
      </c>
      <c r="Q20">
        <f>IF(D20="","",IF(COUNTIFS($B$10:$B$1009,B20,$C$10:$C$1009,C20,$D$10:$D$1009,D20,$E$10:$E$1009,E20)&gt;1,"MÜKERRER?",IF(P20="","",IF(P20&gt;=$C$5,"İNCELE",IF(P20&lt;=-$C$5,"Düşük",""))))</f>
        <v/>
      </c>
      <c r="R20" s="16">
        <f>IF(AND(P20&lt;&gt;"",N(P20)&gt;=$C$5,COUNTIFS($B$10:B20,B20,$C$10:C20,C20,$D$10:D20,D20,$E$10:E20,E20)=1),(M20-N20)*E20*L20,0)</f>
        <v/>
      </c>
      <c r="S20" s="19">
        <f>IF(D20="",0,N(E20)*L20)</f>
        <v/>
      </c>
    </row>
    <row r="21">
      <c r="A21" s="11" t="n">
        <v>46211</v>
      </c>
      <c r="B21" s="12" t="inlineStr">
        <is>
          <t>Ova Ambalaj</t>
        </is>
      </c>
      <c r="C21" s="12" t="inlineStr">
        <is>
          <t>OA2026000071</t>
        </is>
      </c>
      <c r="D21" s="12" t="inlineStr">
        <is>
          <t>Kraft koli 60x40x40</t>
        </is>
      </c>
      <c r="E21" s="13" t="n">
        <v>600</v>
      </c>
      <c r="F21" s="12" t="inlineStr">
        <is>
          <t>ADET</t>
        </is>
      </c>
      <c r="G21" s="14" t="n">
        <v>29</v>
      </c>
      <c r="H21" s="15" t="n">
        <v>0.05</v>
      </c>
      <c r="I21" s="16">
        <f>IF(G21="","",G21*(1-N(H21)))</f>
        <v/>
      </c>
      <c r="J21" s="16">
        <f>IF(I21="","",E21*I21)</f>
        <v/>
      </c>
      <c r="K21">
        <f>IF(D21="","",IFERROR(VLOOKUP(D21,'Ürün Eşleştirme'!$A$6:$D$505,2,FALSE),D21))</f>
        <v/>
      </c>
      <c r="L21" s="17">
        <f>IF(D21="","",IFERROR(VLOOKUP(D21,'Ürün Eşleştirme'!$A$6:$D$505,4,FALSE),1))</f>
        <v/>
      </c>
      <c r="M21" s="16">
        <f>IF(I21="","",I21/L21)</f>
        <v/>
      </c>
      <c r="N21" s="16">
        <f>IF(M21="","",IFERROR(AVERAGEIFS($M$10:$M$1009,$K$10:$K$1009,K21,$A$10:$A$1009,"&lt;"&amp;A21,$A$10:$A$1009,"&gt;="&amp;(A21-$C$6)),""))</f>
        <v/>
      </c>
      <c r="O21" s="16">
        <f>IF(M21="","",_xlfn.MINIFS($M$10:$M$1009,$K$10:$K$1009,K21,$A$10:$A$1009,"&lt;="&amp;A21,$A$10:$A$1009,"&gt;="&amp;(A21-$C$6)))</f>
        <v/>
      </c>
      <c r="P21" s="18">
        <f>IF(OR(N21="",N21=0),"",M21/N21-1)</f>
        <v/>
      </c>
      <c r="Q21">
        <f>IF(D21="","",IF(COUNTIFS($B$10:$B$1009,B21,$C$10:$C$1009,C21,$D$10:$D$1009,D21,$E$10:$E$1009,E21)&gt;1,"MÜKERRER?",IF(P21="","",IF(P21&gt;=$C$5,"İNCELE",IF(P21&lt;=-$C$5,"Düşük",""))))</f>
        <v/>
      </c>
      <c r="R21" s="16">
        <f>IF(AND(P21&lt;&gt;"",N(P21)&gt;=$C$5,COUNTIFS($B$10:B21,B21,$C$10:C21,C21,$D$10:D21,D21,$E$10:E21,E21)=1),(M21-N21)*E21*L21,0)</f>
        <v/>
      </c>
      <c r="S21" s="19">
        <f>IF(D21="",0,N(E21)*L21)</f>
        <v/>
      </c>
    </row>
    <row r="22">
      <c r="A22" s="11" t="n">
        <v>46256</v>
      </c>
      <c r="B22" s="12" t="inlineStr">
        <is>
          <t>Ova Ambalaj</t>
        </is>
      </c>
      <c r="C22" s="12" t="inlineStr">
        <is>
          <t>OA2026000093</t>
        </is>
      </c>
      <c r="D22" s="12" t="inlineStr">
        <is>
          <t>Kraft koli 60x40x40</t>
        </is>
      </c>
      <c r="E22" s="13" t="n">
        <v>500</v>
      </c>
      <c r="F22" s="12" t="inlineStr">
        <is>
          <t>ADET</t>
        </is>
      </c>
      <c r="G22" s="14" t="n">
        <v>27.9</v>
      </c>
      <c r="H22" s="15" t="n">
        <v>0</v>
      </c>
      <c r="I22" s="16">
        <f>IF(G22="","",G22*(1-N(H22)))</f>
        <v/>
      </c>
      <c r="J22" s="16">
        <f>IF(I22="","",E22*I22)</f>
        <v/>
      </c>
      <c r="K22">
        <f>IF(D22="","",IFERROR(VLOOKUP(D22,'Ürün Eşleştirme'!$A$6:$D$505,2,FALSE),D22))</f>
        <v/>
      </c>
      <c r="L22" s="17">
        <f>IF(D22="","",IFERROR(VLOOKUP(D22,'Ürün Eşleştirme'!$A$6:$D$505,4,FALSE),1))</f>
        <v/>
      </c>
      <c r="M22" s="16">
        <f>IF(I22="","",I22/L22)</f>
        <v/>
      </c>
      <c r="N22" s="16">
        <f>IF(M22="","",IFERROR(AVERAGEIFS($M$10:$M$1009,$K$10:$K$1009,K22,$A$10:$A$1009,"&lt;"&amp;A22,$A$10:$A$1009,"&gt;="&amp;(A22-$C$6)),""))</f>
        <v/>
      </c>
      <c r="O22" s="16">
        <f>IF(M22="","",_xlfn.MINIFS($M$10:$M$1009,$K$10:$K$1009,K22,$A$10:$A$1009,"&lt;="&amp;A22,$A$10:$A$1009,"&gt;="&amp;(A22-$C$6)))</f>
        <v/>
      </c>
      <c r="P22" s="18">
        <f>IF(OR(N22="",N22=0),"",M22/N22-1)</f>
        <v/>
      </c>
      <c r="Q22">
        <f>IF(D22="","",IF(COUNTIFS($B$10:$B$1009,B22,$C$10:$C$1009,C22,$D$10:$D$1009,D22,$E$10:$E$1009,E22)&gt;1,"MÜKERRER?",IF(P22="","",IF(P22&gt;=$C$5,"İNCELE",IF(P22&lt;=-$C$5,"Düşük",""))))</f>
        <v/>
      </c>
      <c r="R22" s="16">
        <f>IF(AND(P22&lt;&gt;"",N(P22)&gt;=$C$5,COUNTIFS($B$10:B22,B22,$C$10:C22,C22,$D$10:D22,D22,$E$10:E22,E22)=1),(M22-N22)*E22*L22,0)</f>
        <v/>
      </c>
      <c r="S22" s="19">
        <f>IF(D22="",0,N(E22)*L22)</f>
        <v/>
      </c>
    </row>
    <row r="23">
      <c r="A23" s="11" t="n">
        <v>46176</v>
      </c>
      <c r="B23" s="12" t="inlineStr">
        <is>
          <t>Akdeniz Yağ</t>
        </is>
      </c>
      <c r="C23" s="12" t="inlineStr">
        <is>
          <t>AY2026000310</t>
        </is>
      </c>
      <c r="D23" s="12" t="inlineStr">
        <is>
          <t>Hidrolik yağ 46 (16 lt)</t>
        </is>
      </c>
      <c r="E23" s="13" t="n">
        <v>10</v>
      </c>
      <c r="F23" s="12" t="inlineStr">
        <is>
          <t>BİDON</t>
        </is>
      </c>
      <c r="G23" s="14" t="n">
        <v>1408</v>
      </c>
      <c r="H23" s="15" t="n">
        <v>0</v>
      </c>
      <c r="I23" s="16">
        <f>IF(G23="","",G23*(1-N(H23)))</f>
        <v/>
      </c>
      <c r="J23" s="16">
        <f>IF(I23="","",E23*I23)</f>
        <v/>
      </c>
      <c r="K23">
        <f>IF(D23="","",IFERROR(VLOOKUP(D23,'Ürün Eşleştirme'!$A$6:$D$505,2,FALSE),D23))</f>
        <v/>
      </c>
      <c r="L23" s="17">
        <f>IF(D23="","",IFERROR(VLOOKUP(D23,'Ürün Eşleştirme'!$A$6:$D$505,4,FALSE),1))</f>
        <v/>
      </c>
      <c r="M23" s="16">
        <f>IF(I23="","",I23/L23)</f>
        <v/>
      </c>
      <c r="N23" s="16">
        <f>IF(M23="","",IFERROR(AVERAGEIFS($M$10:$M$1009,$K$10:$K$1009,K23,$A$10:$A$1009,"&lt;"&amp;A23,$A$10:$A$1009,"&gt;="&amp;(A23-$C$6)),""))</f>
        <v/>
      </c>
      <c r="O23" s="16">
        <f>IF(M23="","",_xlfn.MINIFS($M$10:$M$1009,$K$10:$K$1009,K23,$A$10:$A$1009,"&lt;="&amp;A23,$A$10:$A$1009,"&gt;="&amp;(A23-$C$6)))</f>
        <v/>
      </c>
      <c r="P23" s="18">
        <f>IF(OR(N23="",N23=0),"",M23/N23-1)</f>
        <v/>
      </c>
      <c r="Q23">
        <f>IF(D23="","",IF(COUNTIFS($B$10:$B$1009,B23,$C$10:$C$1009,C23,$D$10:$D$1009,D23,$E$10:$E$1009,E23)&gt;1,"MÜKERRER?",IF(P23="","",IF(P23&gt;=$C$5,"İNCELE",IF(P23&lt;=-$C$5,"Düşük",""))))</f>
        <v/>
      </c>
      <c r="R23" s="16">
        <f>IF(AND(P23&lt;&gt;"",N(P23)&gt;=$C$5,COUNTIFS($B$10:B23,B23,$C$10:C23,C23,$D$10:D23,D23,$E$10:E23,E23)=1),(M23-N23)*E23*L23,0)</f>
        <v/>
      </c>
      <c r="S23" s="19">
        <f>IF(D23="",0,N(E23)*L23)</f>
        <v/>
      </c>
    </row>
    <row r="24">
      <c r="A24" s="11" t="n">
        <v>46246</v>
      </c>
      <c r="B24" s="12" t="inlineStr">
        <is>
          <t>Akdeniz Yağ</t>
        </is>
      </c>
      <c r="C24" s="12" t="inlineStr">
        <is>
          <t>AY2026000377</t>
        </is>
      </c>
      <c r="D24" s="12" t="inlineStr">
        <is>
          <t>Hidrolik yağ 46 (16 lt)</t>
        </is>
      </c>
      <c r="E24" s="13" t="n">
        <v>10</v>
      </c>
      <c r="F24" s="12" t="inlineStr">
        <is>
          <t>BİDON</t>
        </is>
      </c>
      <c r="G24" s="14" t="n">
        <v>1382.4</v>
      </c>
      <c r="H24" s="15" t="n">
        <v>0</v>
      </c>
      <c r="I24" s="16">
        <f>IF(G24="","",G24*(1-N(H24)))</f>
        <v/>
      </c>
      <c r="J24" s="16">
        <f>IF(I24="","",E24*I24)</f>
        <v/>
      </c>
      <c r="K24">
        <f>IF(D24="","",IFERROR(VLOOKUP(D24,'Ürün Eşleştirme'!$A$6:$D$505,2,FALSE),D24))</f>
        <v/>
      </c>
      <c r="L24" s="17">
        <f>IF(D24="","",IFERROR(VLOOKUP(D24,'Ürün Eşleştirme'!$A$6:$D$505,4,FALSE),1))</f>
        <v/>
      </c>
      <c r="M24" s="16">
        <f>IF(I24="","",I24/L24)</f>
        <v/>
      </c>
      <c r="N24" s="16">
        <f>IF(M24="","",IFERROR(AVERAGEIFS($M$10:$M$1009,$K$10:$K$1009,K24,$A$10:$A$1009,"&lt;"&amp;A24,$A$10:$A$1009,"&gt;="&amp;(A24-$C$6)),""))</f>
        <v/>
      </c>
      <c r="O24" s="16">
        <f>IF(M24="","",_xlfn.MINIFS($M$10:$M$1009,$K$10:$K$1009,K24,$A$10:$A$1009,"&lt;="&amp;A24,$A$10:$A$1009,"&gt;="&amp;(A24-$C$6)))</f>
        <v/>
      </c>
      <c r="P24" s="18">
        <f>IF(OR(N24="",N24=0),"",M24/N24-1)</f>
        <v/>
      </c>
      <c r="Q24">
        <f>IF(D24="","",IF(COUNTIFS($B$10:$B$1009,B24,$C$10:$C$1009,C24,$D$10:$D$1009,D24,$E$10:$E$1009,E24)&gt;1,"MÜKERRER?",IF(P24="","",IF(P24&gt;=$C$5,"İNCELE",IF(P24&lt;=-$C$5,"Düşük",""))))</f>
        <v/>
      </c>
      <c r="R24" s="16">
        <f>IF(AND(P24&lt;&gt;"",N(P24)&gt;=$C$5,COUNTIFS($B$10:B24,B24,$C$10:C24,C24,$D$10:D24,D24,$E$10:E24,E24)=1),(M24-N24)*E24*L24,0)</f>
        <v/>
      </c>
      <c r="S24" s="19">
        <f>IF(D24="",0,N(E24)*L24)</f>
        <v/>
      </c>
    </row>
    <row r="25">
      <c r="A25" s="11" t="n"/>
      <c r="B25" s="12" t="n"/>
      <c r="C25" s="12" t="n"/>
      <c r="D25" s="12" t="n"/>
      <c r="E25" s="13" t="n"/>
      <c r="F25" s="12" t="n"/>
      <c r="G25" s="14" t="n"/>
      <c r="H25" s="15" t="n"/>
      <c r="I25" s="16">
        <f>IF(G25="","",G25*(1-N(H25)))</f>
        <v/>
      </c>
      <c r="J25" s="16">
        <f>IF(I25="","",E25*I25)</f>
        <v/>
      </c>
      <c r="K25">
        <f>IF(D25="","",IFERROR(VLOOKUP(D25,'Ürün Eşleştirme'!$A$6:$D$505,2,FALSE),D25))</f>
        <v/>
      </c>
      <c r="L25" s="17">
        <f>IF(D25="","",IFERROR(VLOOKUP(D25,'Ürün Eşleştirme'!$A$6:$D$505,4,FALSE),1))</f>
        <v/>
      </c>
      <c r="M25" s="16">
        <f>IF(I25="","",I25/L25)</f>
        <v/>
      </c>
      <c r="N25" s="16">
        <f>IF(M25="","",IFERROR(AVERAGEIFS($M$10:$M$1009,$K$10:$K$1009,K25,$A$10:$A$1009,"&lt;"&amp;A25,$A$10:$A$1009,"&gt;="&amp;(A25-$C$6)),""))</f>
        <v/>
      </c>
      <c r="O25" s="16">
        <f>IF(M25="","",_xlfn.MINIFS($M$10:$M$1009,$K$10:$K$1009,K25,$A$10:$A$1009,"&lt;="&amp;A25,$A$10:$A$1009,"&gt;="&amp;(A25-$C$6)))</f>
        <v/>
      </c>
      <c r="P25" s="18">
        <f>IF(OR(N25="",N25=0),"",M25/N25-1)</f>
        <v/>
      </c>
      <c r="Q25">
        <f>IF(D25="","",IF(COUNTIFS($B$10:$B$1009,B25,$C$10:$C$1009,C25,$D$10:$D$1009,D25,$E$10:$E$1009,E25)&gt;1,"MÜKERRER?",IF(P25="","",IF(P25&gt;=$C$5,"İNCELE",IF(P25&lt;=-$C$5,"Düşük",""))))</f>
        <v/>
      </c>
      <c r="R25" s="16">
        <f>IF(AND(P25&lt;&gt;"",N(P25)&gt;=$C$5,COUNTIFS($B$10:B25,B25,$C$10:C25,C25,$D$10:D25,D25,$E$10:E25,E25)=1),(M25-N25)*E25*L25,0)</f>
        <v/>
      </c>
      <c r="S25" s="19">
        <f>IF(D25="",0,N(E25)*L25)</f>
        <v/>
      </c>
    </row>
    <row r="26">
      <c r="A26" s="11" t="n"/>
      <c r="B26" s="12" t="n"/>
      <c r="C26" s="12" t="n"/>
      <c r="D26" s="12" t="n"/>
      <c r="E26" s="13" t="n"/>
      <c r="F26" s="12" t="n"/>
      <c r="G26" s="14" t="n"/>
      <c r="H26" s="15" t="n"/>
      <c r="I26" s="16">
        <f>IF(G26="","",G26*(1-N(H26)))</f>
        <v/>
      </c>
      <c r="J26" s="16">
        <f>IF(I26="","",E26*I26)</f>
        <v/>
      </c>
      <c r="K26">
        <f>IF(D26="","",IFERROR(VLOOKUP(D26,'Ürün Eşleştirme'!$A$6:$D$505,2,FALSE),D26))</f>
        <v/>
      </c>
      <c r="L26" s="17">
        <f>IF(D26="","",IFERROR(VLOOKUP(D26,'Ürün Eşleştirme'!$A$6:$D$505,4,FALSE),1))</f>
        <v/>
      </c>
      <c r="M26" s="16">
        <f>IF(I26="","",I26/L26)</f>
        <v/>
      </c>
      <c r="N26" s="16">
        <f>IF(M26="","",IFERROR(AVERAGEIFS($M$10:$M$1009,$K$10:$K$1009,K26,$A$10:$A$1009,"&lt;"&amp;A26,$A$10:$A$1009,"&gt;="&amp;(A26-$C$6)),""))</f>
        <v/>
      </c>
      <c r="O26" s="16">
        <f>IF(M26="","",_xlfn.MINIFS($M$10:$M$1009,$K$10:$K$1009,K26,$A$10:$A$1009,"&lt;="&amp;A26,$A$10:$A$1009,"&gt;="&amp;(A26-$C$6)))</f>
        <v/>
      </c>
      <c r="P26" s="18">
        <f>IF(OR(N26="",N26=0),"",M26/N26-1)</f>
        <v/>
      </c>
      <c r="Q26">
        <f>IF(D26="","",IF(COUNTIFS($B$10:$B$1009,B26,$C$10:$C$1009,C26,$D$10:$D$1009,D26,$E$10:$E$1009,E26)&gt;1,"MÜKERRER?",IF(P26="","",IF(P26&gt;=$C$5,"İNCELE",IF(P26&lt;=-$C$5,"Düşük",""))))</f>
        <v/>
      </c>
      <c r="R26" s="16">
        <f>IF(AND(P26&lt;&gt;"",N(P26)&gt;=$C$5,COUNTIFS($B$10:B26,B26,$C$10:C26,C26,$D$10:D26,D26,$E$10:E26,E26)=1),(M26-N26)*E26*L26,0)</f>
        <v/>
      </c>
      <c r="S26" s="19">
        <f>IF(D26="",0,N(E26)*L26)</f>
        <v/>
      </c>
    </row>
    <row r="27">
      <c r="A27" s="11" t="n"/>
      <c r="B27" s="12" t="n"/>
      <c r="C27" s="12" t="n"/>
      <c r="D27" s="12" t="n"/>
      <c r="E27" s="13" t="n"/>
      <c r="F27" s="12" t="n"/>
      <c r="G27" s="14" t="n"/>
      <c r="H27" s="15" t="n"/>
      <c r="I27" s="16">
        <f>IF(G27="","",G27*(1-N(H27)))</f>
        <v/>
      </c>
      <c r="J27" s="16">
        <f>IF(I27="","",E27*I27)</f>
        <v/>
      </c>
      <c r="K27">
        <f>IF(D27="","",IFERROR(VLOOKUP(D27,'Ürün Eşleştirme'!$A$6:$D$505,2,FALSE),D27))</f>
        <v/>
      </c>
      <c r="L27" s="17">
        <f>IF(D27="","",IFERROR(VLOOKUP(D27,'Ürün Eşleştirme'!$A$6:$D$505,4,FALSE),1))</f>
        <v/>
      </c>
      <c r="M27" s="16">
        <f>IF(I27="","",I27/L27)</f>
        <v/>
      </c>
      <c r="N27" s="16">
        <f>IF(M27="","",IFERROR(AVERAGEIFS($M$10:$M$1009,$K$10:$K$1009,K27,$A$10:$A$1009,"&lt;"&amp;A27,$A$10:$A$1009,"&gt;="&amp;(A27-$C$6)),""))</f>
        <v/>
      </c>
      <c r="O27" s="16">
        <f>IF(M27="","",_xlfn.MINIFS($M$10:$M$1009,$K$10:$K$1009,K27,$A$10:$A$1009,"&lt;="&amp;A27,$A$10:$A$1009,"&gt;="&amp;(A27-$C$6)))</f>
        <v/>
      </c>
      <c r="P27" s="18">
        <f>IF(OR(N27="",N27=0),"",M27/N27-1)</f>
        <v/>
      </c>
      <c r="Q27">
        <f>IF(D27="","",IF(COUNTIFS($B$10:$B$1009,B27,$C$10:$C$1009,C27,$D$10:$D$1009,D27,$E$10:$E$1009,E27)&gt;1,"MÜKERRER?",IF(P27="","",IF(P27&gt;=$C$5,"İNCELE",IF(P27&lt;=-$C$5,"Düşük",""))))</f>
        <v/>
      </c>
      <c r="R27" s="16">
        <f>IF(AND(P27&lt;&gt;"",N(P27)&gt;=$C$5,COUNTIFS($B$10:B27,B27,$C$10:C27,C27,$D$10:D27,D27,$E$10:E27,E27)=1),(M27-N27)*E27*L27,0)</f>
        <v/>
      </c>
      <c r="S27" s="19">
        <f>IF(D27="",0,N(E27)*L27)</f>
        <v/>
      </c>
    </row>
    <row r="28">
      <c r="A28" s="11" t="n"/>
      <c r="B28" s="12" t="n"/>
      <c r="C28" s="12" t="n"/>
      <c r="D28" s="12" t="n"/>
      <c r="E28" s="13" t="n"/>
      <c r="F28" s="12" t="n"/>
      <c r="G28" s="14" t="n"/>
      <c r="H28" s="15" t="n"/>
      <c r="I28" s="16">
        <f>IF(G28="","",G28*(1-N(H28)))</f>
        <v/>
      </c>
      <c r="J28" s="16">
        <f>IF(I28="","",E28*I28)</f>
        <v/>
      </c>
      <c r="K28">
        <f>IF(D28="","",IFERROR(VLOOKUP(D28,'Ürün Eşleştirme'!$A$6:$D$505,2,FALSE),D28))</f>
        <v/>
      </c>
      <c r="L28" s="17">
        <f>IF(D28="","",IFERROR(VLOOKUP(D28,'Ürün Eşleştirme'!$A$6:$D$505,4,FALSE),1))</f>
        <v/>
      </c>
      <c r="M28" s="16">
        <f>IF(I28="","",I28/L28)</f>
        <v/>
      </c>
      <c r="N28" s="16">
        <f>IF(M28="","",IFERROR(AVERAGEIFS($M$10:$M$1009,$K$10:$K$1009,K28,$A$10:$A$1009,"&lt;"&amp;A28,$A$10:$A$1009,"&gt;="&amp;(A28-$C$6)),""))</f>
        <v/>
      </c>
      <c r="O28" s="16">
        <f>IF(M28="","",_xlfn.MINIFS($M$10:$M$1009,$K$10:$K$1009,K28,$A$10:$A$1009,"&lt;="&amp;A28,$A$10:$A$1009,"&gt;="&amp;(A28-$C$6)))</f>
        <v/>
      </c>
      <c r="P28" s="18">
        <f>IF(OR(N28="",N28=0),"",M28/N28-1)</f>
        <v/>
      </c>
      <c r="Q28">
        <f>IF(D28="","",IF(COUNTIFS($B$10:$B$1009,B28,$C$10:$C$1009,C28,$D$10:$D$1009,D28,$E$10:$E$1009,E28)&gt;1,"MÜKERRER?",IF(P28="","",IF(P28&gt;=$C$5,"İNCELE",IF(P28&lt;=-$C$5,"Düşük",""))))</f>
        <v/>
      </c>
      <c r="R28" s="16">
        <f>IF(AND(P28&lt;&gt;"",N(P28)&gt;=$C$5,COUNTIFS($B$10:B28,B28,$C$10:C28,C28,$D$10:D28,D28,$E$10:E28,E28)=1),(M28-N28)*E28*L28,0)</f>
        <v/>
      </c>
      <c r="S28" s="19">
        <f>IF(D28="",0,N(E28)*L28)</f>
        <v/>
      </c>
    </row>
    <row r="29">
      <c r="A29" s="11" t="n"/>
      <c r="B29" s="12" t="n"/>
      <c r="C29" s="12" t="n"/>
      <c r="D29" s="12" t="n"/>
      <c r="E29" s="13" t="n"/>
      <c r="F29" s="12" t="n"/>
      <c r="G29" s="14" t="n"/>
      <c r="H29" s="15" t="n"/>
      <c r="I29" s="16">
        <f>IF(G29="","",G29*(1-N(H29)))</f>
        <v/>
      </c>
      <c r="J29" s="16">
        <f>IF(I29="","",E29*I29)</f>
        <v/>
      </c>
      <c r="K29">
        <f>IF(D29="","",IFERROR(VLOOKUP(D29,'Ürün Eşleştirme'!$A$6:$D$505,2,FALSE),D29))</f>
        <v/>
      </c>
      <c r="L29" s="17">
        <f>IF(D29="","",IFERROR(VLOOKUP(D29,'Ürün Eşleştirme'!$A$6:$D$505,4,FALSE),1))</f>
        <v/>
      </c>
      <c r="M29" s="16">
        <f>IF(I29="","",I29/L29)</f>
        <v/>
      </c>
      <c r="N29" s="16">
        <f>IF(M29="","",IFERROR(AVERAGEIFS($M$10:$M$1009,$K$10:$K$1009,K29,$A$10:$A$1009,"&lt;"&amp;A29,$A$10:$A$1009,"&gt;="&amp;(A29-$C$6)),""))</f>
        <v/>
      </c>
      <c r="O29" s="16">
        <f>IF(M29="","",_xlfn.MINIFS($M$10:$M$1009,$K$10:$K$1009,K29,$A$10:$A$1009,"&lt;="&amp;A29,$A$10:$A$1009,"&gt;="&amp;(A29-$C$6)))</f>
        <v/>
      </c>
      <c r="P29" s="18">
        <f>IF(OR(N29="",N29=0),"",M29/N29-1)</f>
        <v/>
      </c>
      <c r="Q29">
        <f>IF(D29="","",IF(COUNTIFS($B$10:$B$1009,B29,$C$10:$C$1009,C29,$D$10:$D$1009,D29,$E$10:$E$1009,E29)&gt;1,"MÜKERRER?",IF(P29="","",IF(P29&gt;=$C$5,"İNCELE",IF(P29&lt;=-$C$5,"Düşük",""))))</f>
        <v/>
      </c>
      <c r="R29" s="16">
        <f>IF(AND(P29&lt;&gt;"",N(P29)&gt;=$C$5,COUNTIFS($B$10:B29,B29,$C$10:C29,C29,$D$10:D29,D29,$E$10:E29,E29)=1),(M29-N29)*E29*L29,0)</f>
        <v/>
      </c>
      <c r="S29" s="19">
        <f>IF(D29="",0,N(E29)*L29)</f>
        <v/>
      </c>
    </row>
    <row r="30">
      <c r="A30" s="11" t="n"/>
      <c r="B30" s="12" t="n"/>
      <c r="C30" s="12" t="n"/>
      <c r="D30" s="12" t="n"/>
      <c r="E30" s="13" t="n"/>
      <c r="F30" s="12" t="n"/>
      <c r="G30" s="14" t="n"/>
      <c r="H30" s="15" t="n"/>
      <c r="I30" s="16">
        <f>IF(G30="","",G30*(1-N(H30)))</f>
        <v/>
      </c>
      <c r="J30" s="16">
        <f>IF(I30="","",E30*I30)</f>
        <v/>
      </c>
      <c r="K30">
        <f>IF(D30="","",IFERROR(VLOOKUP(D30,'Ürün Eşleştirme'!$A$6:$D$505,2,FALSE),D30))</f>
        <v/>
      </c>
      <c r="L30" s="17">
        <f>IF(D30="","",IFERROR(VLOOKUP(D30,'Ürün Eşleştirme'!$A$6:$D$505,4,FALSE),1))</f>
        <v/>
      </c>
      <c r="M30" s="16">
        <f>IF(I30="","",I30/L30)</f>
        <v/>
      </c>
      <c r="N30" s="16">
        <f>IF(M30="","",IFERROR(AVERAGEIFS($M$10:$M$1009,$K$10:$K$1009,K30,$A$10:$A$1009,"&lt;"&amp;A30,$A$10:$A$1009,"&gt;="&amp;(A30-$C$6)),""))</f>
        <v/>
      </c>
      <c r="O30" s="16">
        <f>IF(M30="","",_xlfn.MINIFS($M$10:$M$1009,$K$10:$K$1009,K30,$A$10:$A$1009,"&lt;="&amp;A30,$A$10:$A$1009,"&gt;="&amp;(A30-$C$6)))</f>
        <v/>
      </c>
      <c r="P30" s="18">
        <f>IF(OR(N30="",N30=0),"",M30/N30-1)</f>
        <v/>
      </c>
      <c r="Q30">
        <f>IF(D30="","",IF(COUNTIFS($B$10:$B$1009,B30,$C$10:$C$1009,C30,$D$10:$D$1009,D30,$E$10:$E$1009,E30)&gt;1,"MÜKERRER?",IF(P30="","",IF(P30&gt;=$C$5,"İNCELE",IF(P30&lt;=-$C$5,"Düşük",""))))</f>
        <v/>
      </c>
      <c r="R30" s="16">
        <f>IF(AND(P30&lt;&gt;"",N(P30)&gt;=$C$5,COUNTIFS($B$10:B30,B30,$C$10:C30,C30,$D$10:D30,D30,$E$10:E30,E30)=1),(M30-N30)*E30*L30,0)</f>
        <v/>
      </c>
      <c r="S30" s="19">
        <f>IF(D30="",0,N(E30)*L30)</f>
        <v/>
      </c>
    </row>
    <row r="31">
      <c r="A31" s="11" t="n"/>
      <c r="B31" s="12" t="n"/>
      <c r="C31" s="12" t="n"/>
      <c r="D31" s="12" t="n"/>
      <c r="E31" s="13" t="n"/>
      <c r="F31" s="12" t="n"/>
      <c r="G31" s="14" t="n"/>
      <c r="H31" s="15" t="n"/>
      <c r="I31" s="16">
        <f>IF(G31="","",G31*(1-N(H31)))</f>
        <v/>
      </c>
      <c r="J31" s="16">
        <f>IF(I31="","",E31*I31)</f>
        <v/>
      </c>
      <c r="K31">
        <f>IF(D31="","",IFERROR(VLOOKUP(D31,'Ürün Eşleştirme'!$A$6:$D$505,2,FALSE),D31))</f>
        <v/>
      </c>
      <c r="L31" s="17">
        <f>IF(D31="","",IFERROR(VLOOKUP(D31,'Ürün Eşleştirme'!$A$6:$D$505,4,FALSE),1))</f>
        <v/>
      </c>
      <c r="M31" s="16">
        <f>IF(I31="","",I31/L31)</f>
        <v/>
      </c>
      <c r="N31" s="16">
        <f>IF(M31="","",IFERROR(AVERAGEIFS($M$10:$M$1009,$K$10:$K$1009,K31,$A$10:$A$1009,"&lt;"&amp;A31,$A$10:$A$1009,"&gt;="&amp;(A31-$C$6)),""))</f>
        <v/>
      </c>
      <c r="O31" s="16">
        <f>IF(M31="","",_xlfn.MINIFS($M$10:$M$1009,$K$10:$K$1009,K31,$A$10:$A$1009,"&lt;="&amp;A31,$A$10:$A$1009,"&gt;="&amp;(A31-$C$6)))</f>
        <v/>
      </c>
      <c r="P31" s="18">
        <f>IF(OR(N31="",N31=0),"",M31/N31-1)</f>
        <v/>
      </c>
      <c r="Q31">
        <f>IF(D31="","",IF(COUNTIFS($B$10:$B$1009,B31,$C$10:$C$1009,C31,$D$10:$D$1009,D31,$E$10:$E$1009,E31)&gt;1,"MÜKERRER?",IF(P31="","",IF(P31&gt;=$C$5,"İNCELE",IF(P31&lt;=-$C$5,"Düşük",""))))</f>
        <v/>
      </c>
      <c r="R31" s="16">
        <f>IF(AND(P31&lt;&gt;"",N(P31)&gt;=$C$5,COUNTIFS($B$10:B31,B31,$C$10:C31,C31,$D$10:D31,D31,$E$10:E31,E31)=1),(M31-N31)*E31*L31,0)</f>
        <v/>
      </c>
      <c r="S31" s="19">
        <f>IF(D31="",0,N(E31)*L31)</f>
        <v/>
      </c>
    </row>
    <row r="32">
      <c r="A32" s="11" t="n"/>
      <c r="B32" s="12" t="n"/>
      <c r="C32" s="12" t="n"/>
      <c r="D32" s="12" t="n"/>
      <c r="E32" s="13" t="n"/>
      <c r="F32" s="12" t="n"/>
      <c r="G32" s="14" t="n"/>
      <c r="H32" s="15" t="n"/>
      <c r="I32" s="16">
        <f>IF(G32="","",G32*(1-N(H32)))</f>
        <v/>
      </c>
      <c r="J32" s="16">
        <f>IF(I32="","",E32*I32)</f>
        <v/>
      </c>
      <c r="K32">
        <f>IF(D32="","",IFERROR(VLOOKUP(D32,'Ürün Eşleştirme'!$A$6:$D$505,2,FALSE),D32))</f>
        <v/>
      </c>
      <c r="L32" s="17">
        <f>IF(D32="","",IFERROR(VLOOKUP(D32,'Ürün Eşleştirme'!$A$6:$D$505,4,FALSE),1))</f>
        <v/>
      </c>
      <c r="M32" s="16">
        <f>IF(I32="","",I32/L32)</f>
        <v/>
      </c>
      <c r="N32" s="16">
        <f>IF(M32="","",IFERROR(AVERAGEIFS($M$10:$M$1009,$K$10:$K$1009,K32,$A$10:$A$1009,"&lt;"&amp;A32,$A$10:$A$1009,"&gt;="&amp;(A32-$C$6)),""))</f>
        <v/>
      </c>
      <c r="O32" s="16">
        <f>IF(M32="","",_xlfn.MINIFS($M$10:$M$1009,$K$10:$K$1009,K32,$A$10:$A$1009,"&lt;="&amp;A32,$A$10:$A$1009,"&gt;="&amp;(A32-$C$6)))</f>
        <v/>
      </c>
      <c r="P32" s="18">
        <f>IF(OR(N32="",N32=0),"",M32/N32-1)</f>
        <v/>
      </c>
      <c r="Q32">
        <f>IF(D32="","",IF(COUNTIFS($B$10:$B$1009,B32,$C$10:$C$1009,C32,$D$10:$D$1009,D32,$E$10:$E$1009,E32)&gt;1,"MÜKERRER?",IF(P32="","",IF(P32&gt;=$C$5,"İNCELE",IF(P32&lt;=-$C$5,"Düşük",""))))</f>
        <v/>
      </c>
      <c r="R32" s="16">
        <f>IF(AND(P32&lt;&gt;"",N(P32)&gt;=$C$5,COUNTIFS($B$10:B32,B32,$C$10:C32,C32,$D$10:D32,D32,$E$10:E32,E32)=1),(M32-N32)*E32*L32,0)</f>
        <v/>
      </c>
      <c r="S32" s="19">
        <f>IF(D32="",0,N(E32)*L32)</f>
        <v/>
      </c>
    </row>
    <row r="33">
      <c r="A33" s="11" t="n"/>
      <c r="B33" s="12" t="n"/>
      <c r="C33" s="12" t="n"/>
      <c r="D33" s="12" t="n"/>
      <c r="E33" s="13" t="n"/>
      <c r="F33" s="12" t="n"/>
      <c r="G33" s="14" t="n"/>
      <c r="H33" s="15" t="n"/>
      <c r="I33" s="16">
        <f>IF(G33="","",G33*(1-N(H33)))</f>
        <v/>
      </c>
      <c r="J33" s="16">
        <f>IF(I33="","",E33*I33)</f>
        <v/>
      </c>
      <c r="K33">
        <f>IF(D33="","",IFERROR(VLOOKUP(D33,'Ürün Eşleştirme'!$A$6:$D$505,2,FALSE),D33))</f>
        <v/>
      </c>
      <c r="L33" s="17">
        <f>IF(D33="","",IFERROR(VLOOKUP(D33,'Ürün Eşleştirme'!$A$6:$D$505,4,FALSE),1))</f>
        <v/>
      </c>
      <c r="M33" s="16">
        <f>IF(I33="","",I33/L33)</f>
        <v/>
      </c>
      <c r="N33" s="16">
        <f>IF(M33="","",IFERROR(AVERAGEIFS($M$10:$M$1009,$K$10:$K$1009,K33,$A$10:$A$1009,"&lt;"&amp;A33,$A$10:$A$1009,"&gt;="&amp;(A33-$C$6)),""))</f>
        <v/>
      </c>
      <c r="O33" s="16">
        <f>IF(M33="","",_xlfn.MINIFS($M$10:$M$1009,$K$10:$K$1009,K33,$A$10:$A$1009,"&lt;="&amp;A33,$A$10:$A$1009,"&gt;="&amp;(A33-$C$6)))</f>
        <v/>
      </c>
      <c r="P33" s="18">
        <f>IF(OR(N33="",N33=0),"",M33/N33-1)</f>
        <v/>
      </c>
      <c r="Q33">
        <f>IF(D33="","",IF(COUNTIFS($B$10:$B$1009,B33,$C$10:$C$1009,C33,$D$10:$D$1009,D33,$E$10:$E$1009,E33)&gt;1,"MÜKERRER?",IF(P33="","",IF(P33&gt;=$C$5,"İNCELE",IF(P33&lt;=-$C$5,"Düşük",""))))</f>
        <v/>
      </c>
      <c r="R33" s="16">
        <f>IF(AND(P33&lt;&gt;"",N(P33)&gt;=$C$5,COUNTIFS($B$10:B33,B33,$C$10:C33,C33,$D$10:D33,D33,$E$10:E33,E33)=1),(M33-N33)*E33*L33,0)</f>
        <v/>
      </c>
      <c r="S33" s="19">
        <f>IF(D33="",0,N(E33)*L33)</f>
        <v/>
      </c>
    </row>
    <row r="34">
      <c r="A34" s="11" t="n"/>
      <c r="B34" s="12" t="n"/>
      <c r="C34" s="12" t="n"/>
      <c r="D34" s="12" t="n"/>
      <c r="E34" s="13" t="n"/>
      <c r="F34" s="12" t="n"/>
      <c r="G34" s="14" t="n"/>
      <c r="H34" s="15" t="n"/>
      <c r="I34" s="16">
        <f>IF(G34="","",G34*(1-N(H34)))</f>
        <v/>
      </c>
      <c r="J34" s="16">
        <f>IF(I34="","",E34*I34)</f>
        <v/>
      </c>
      <c r="K34">
        <f>IF(D34="","",IFERROR(VLOOKUP(D34,'Ürün Eşleştirme'!$A$6:$D$505,2,FALSE),D34))</f>
        <v/>
      </c>
      <c r="L34" s="17">
        <f>IF(D34="","",IFERROR(VLOOKUP(D34,'Ürün Eşleştirme'!$A$6:$D$505,4,FALSE),1))</f>
        <v/>
      </c>
      <c r="M34" s="16">
        <f>IF(I34="","",I34/L34)</f>
        <v/>
      </c>
      <c r="N34" s="16">
        <f>IF(M34="","",IFERROR(AVERAGEIFS($M$10:$M$1009,$K$10:$K$1009,K34,$A$10:$A$1009,"&lt;"&amp;A34,$A$10:$A$1009,"&gt;="&amp;(A34-$C$6)),""))</f>
        <v/>
      </c>
      <c r="O34" s="16">
        <f>IF(M34="","",_xlfn.MINIFS($M$10:$M$1009,$K$10:$K$1009,K34,$A$10:$A$1009,"&lt;="&amp;A34,$A$10:$A$1009,"&gt;="&amp;(A34-$C$6)))</f>
        <v/>
      </c>
      <c r="P34" s="18">
        <f>IF(OR(N34="",N34=0),"",M34/N34-1)</f>
        <v/>
      </c>
      <c r="Q34">
        <f>IF(D34="","",IF(COUNTIFS($B$10:$B$1009,B34,$C$10:$C$1009,C34,$D$10:$D$1009,D34,$E$10:$E$1009,E34)&gt;1,"MÜKERRER?",IF(P34="","",IF(P34&gt;=$C$5,"İNCELE",IF(P34&lt;=-$C$5,"Düşük",""))))</f>
        <v/>
      </c>
      <c r="R34" s="16">
        <f>IF(AND(P34&lt;&gt;"",N(P34)&gt;=$C$5,COUNTIFS($B$10:B34,B34,$C$10:C34,C34,$D$10:D34,D34,$E$10:E34,E34)=1),(M34-N34)*E34*L34,0)</f>
        <v/>
      </c>
      <c r="S34" s="19">
        <f>IF(D34="",0,N(E34)*L34)</f>
        <v/>
      </c>
    </row>
    <row r="35">
      <c r="A35" s="11" t="n"/>
      <c r="B35" s="12" t="n"/>
      <c r="C35" s="12" t="n"/>
      <c r="D35" s="12" t="n"/>
      <c r="E35" s="13" t="n"/>
      <c r="F35" s="12" t="n"/>
      <c r="G35" s="14" t="n"/>
      <c r="H35" s="15" t="n"/>
      <c r="I35" s="16">
        <f>IF(G35="","",G35*(1-N(H35)))</f>
        <v/>
      </c>
      <c r="J35" s="16">
        <f>IF(I35="","",E35*I35)</f>
        <v/>
      </c>
      <c r="K35">
        <f>IF(D35="","",IFERROR(VLOOKUP(D35,'Ürün Eşleştirme'!$A$6:$D$505,2,FALSE),D35))</f>
        <v/>
      </c>
      <c r="L35" s="17">
        <f>IF(D35="","",IFERROR(VLOOKUP(D35,'Ürün Eşleştirme'!$A$6:$D$505,4,FALSE),1))</f>
        <v/>
      </c>
      <c r="M35" s="16">
        <f>IF(I35="","",I35/L35)</f>
        <v/>
      </c>
      <c r="N35" s="16">
        <f>IF(M35="","",IFERROR(AVERAGEIFS($M$10:$M$1009,$K$10:$K$1009,K35,$A$10:$A$1009,"&lt;"&amp;A35,$A$10:$A$1009,"&gt;="&amp;(A35-$C$6)),""))</f>
        <v/>
      </c>
      <c r="O35" s="16">
        <f>IF(M35="","",_xlfn.MINIFS($M$10:$M$1009,$K$10:$K$1009,K35,$A$10:$A$1009,"&lt;="&amp;A35,$A$10:$A$1009,"&gt;="&amp;(A35-$C$6)))</f>
        <v/>
      </c>
      <c r="P35" s="18">
        <f>IF(OR(N35="",N35=0),"",M35/N35-1)</f>
        <v/>
      </c>
      <c r="Q35">
        <f>IF(D35="","",IF(COUNTIFS($B$10:$B$1009,B35,$C$10:$C$1009,C35,$D$10:$D$1009,D35,$E$10:$E$1009,E35)&gt;1,"MÜKERRER?",IF(P35="","",IF(P35&gt;=$C$5,"İNCELE",IF(P35&lt;=-$C$5,"Düşük",""))))</f>
        <v/>
      </c>
      <c r="R35" s="16">
        <f>IF(AND(P35&lt;&gt;"",N(P35)&gt;=$C$5,COUNTIFS($B$10:B35,B35,$C$10:C35,C35,$D$10:D35,D35,$E$10:E35,E35)=1),(M35-N35)*E35*L35,0)</f>
        <v/>
      </c>
      <c r="S35" s="19">
        <f>IF(D35="",0,N(E35)*L35)</f>
        <v/>
      </c>
    </row>
    <row r="36">
      <c r="A36" s="11" t="n"/>
      <c r="B36" s="12" t="n"/>
      <c r="C36" s="12" t="n"/>
      <c r="D36" s="12" t="n"/>
      <c r="E36" s="13" t="n"/>
      <c r="F36" s="12" t="n"/>
      <c r="G36" s="14" t="n"/>
      <c r="H36" s="15" t="n"/>
      <c r="I36" s="16">
        <f>IF(G36="","",G36*(1-N(H36)))</f>
        <v/>
      </c>
      <c r="J36" s="16">
        <f>IF(I36="","",E36*I36)</f>
        <v/>
      </c>
      <c r="K36">
        <f>IF(D36="","",IFERROR(VLOOKUP(D36,'Ürün Eşleştirme'!$A$6:$D$505,2,FALSE),D36))</f>
        <v/>
      </c>
      <c r="L36" s="17">
        <f>IF(D36="","",IFERROR(VLOOKUP(D36,'Ürün Eşleştirme'!$A$6:$D$505,4,FALSE),1))</f>
        <v/>
      </c>
      <c r="M36" s="16">
        <f>IF(I36="","",I36/L36)</f>
        <v/>
      </c>
      <c r="N36" s="16">
        <f>IF(M36="","",IFERROR(AVERAGEIFS($M$10:$M$1009,$K$10:$K$1009,K36,$A$10:$A$1009,"&lt;"&amp;A36,$A$10:$A$1009,"&gt;="&amp;(A36-$C$6)),""))</f>
        <v/>
      </c>
      <c r="O36" s="16">
        <f>IF(M36="","",_xlfn.MINIFS($M$10:$M$1009,$K$10:$K$1009,K36,$A$10:$A$1009,"&lt;="&amp;A36,$A$10:$A$1009,"&gt;="&amp;(A36-$C$6)))</f>
        <v/>
      </c>
      <c r="P36" s="18">
        <f>IF(OR(N36="",N36=0),"",M36/N36-1)</f>
        <v/>
      </c>
      <c r="Q36">
        <f>IF(D36="","",IF(COUNTIFS($B$10:$B$1009,B36,$C$10:$C$1009,C36,$D$10:$D$1009,D36,$E$10:$E$1009,E36)&gt;1,"MÜKERRER?",IF(P36="","",IF(P36&gt;=$C$5,"İNCELE",IF(P36&lt;=-$C$5,"Düşük",""))))</f>
        <v/>
      </c>
      <c r="R36" s="16">
        <f>IF(AND(P36&lt;&gt;"",N(P36)&gt;=$C$5,COUNTIFS($B$10:B36,B36,$C$10:C36,C36,$D$10:D36,D36,$E$10:E36,E36)=1),(M36-N36)*E36*L36,0)</f>
        <v/>
      </c>
      <c r="S36" s="19">
        <f>IF(D36="",0,N(E36)*L36)</f>
        <v/>
      </c>
    </row>
    <row r="37">
      <c r="A37" s="11" t="n"/>
      <c r="B37" s="12" t="n"/>
      <c r="C37" s="12" t="n"/>
      <c r="D37" s="12" t="n"/>
      <c r="E37" s="13" t="n"/>
      <c r="F37" s="12" t="n"/>
      <c r="G37" s="14" t="n"/>
      <c r="H37" s="15" t="n"/>
      <c r="I37" s="16">
        <f>IF(G37="","",G37*(1-N(H37)))</f>
        <v/>
      </c>
      <c r="J37" s="16">
        <f>IF(I37="","",E37*I37)</f>
        <v/>
      </c>
      <c r="K37">
        <f>IF(D37="","",IFERROR(VLOOKUP(D37,'Ürün Eşleştirme'!$A$6:$D$505,2,FALSE),D37))</f>
        <v/>
      </c>
      <c r="L37" s="17">
        <f>IF(D37="","",IFERROR(VLOOKUP(D37,'Ürün Eşleştirme'!$A$6:$D$505,4,FALSE),1))</f>
        <v/>
      </c>
      <c r="M37" s="16">
        <f>IF(I37="","",I37/L37)</f>
        <v/>
      </c>
      <c r="N37" s="16">
        <f>IF(M37="","",IFERROR(AVERAGEIFS($M$10:$M$1009,$K$10:$K$1009,K37,$A$10:$A$1009,"&lt;"&amp;A37,$A$10:$A$1009,"&gt;="&amp;(A37-$C$6)),""))</f>
        <v/>
      </c>
      <c r="O37" s="16">
        <f>IF(M37="","",_xlfn.MINIFS($M$10:$M$1009,$K$10:$K$1009,K37,$A$10:$A$1009,"&lt;="&amp;A37,$A$10:$A$1009,"&gt;="&amp;(A37-$C$6)))</f>
        <v/>
      </c>
      <c r="P37" s="18">
        <f>IF(OR(N37="",N37=0),"",M37/N37-1)</f>
        <v/>
      </c>
      <c r="Q37">
        <f>IF(D37="","",IF(COUNTIFS($B$10:$B$1009,B37,$C$10:$C$1009,C37,$D$10:$D$1009,D37,$E$10:$E$1009,E37)&gt;1,"MÜKERRER?",IF(P37="","",IF(P37&gt;=$C$5,"İNCELE",IF(P37&lt;=-$C$5,"Düşük",""))))</f>
        <v/>
      </c>
      <c r="R37" s="16">
        <f>IF(AND(P37&lt;&gt;"",N(P37)&gt;=$C$5,COUNTIFS($B$10:B37,B37,$C$10:C37,C37,$D$10:D37,D37,$E$10:E37,E37)=1),(M37-N37)*E37*L37,0)</f>
        <v/>
      </c>
      <c r="S37" s="19">
        <f>IF(D37="",0,N(E37)*L37)</f>
        <v/>
      </c>
    </row>
    <row r="38">
      <c r="A38" s="11" t="n"/>
      <c r="B38" s="12" t="n"/>
      <c r="C38" s="12" t="n"/>
      <c r="D38" s="12" t="n"/>
      <c r="E38" s="13" t="n"/>
      <c r="F38" s="12" t="n"/>
      <c r="G38" s="14" t="n"/>
      <c r="H38" s="15" t="n"/>
      <c r="I38" s="16">
        <f>IF(G38="","",G38*(1-N(H38)))</f>
        <v/>
      </c>
      <c r="J38" s="16">
        <f>IF(I38="","",E38*I38)</f>
        <v/>
      </c>
      <c r="K38">
        <f>IF(D38="","",IFERROR(VLOOKUP(D38,'Ürün Eşleştirme'!$A$6:$D$505,2,FALSE),D38))</f>
        <v/>
      </c>
      <c r="L38" s="17">
        <f>IF(D38="","",IFERROR(VLOOKUP(D38,'Ürün Eşleştirme'!$A$6:$D$505,4,FALSE),1))</f>
        <v/>
      </c>
      <c r="M38" s="16">
        <f>IF(I38="","",I38/L38)</f>
        <v/>
      </c>
      <c r="N38" s="16">
        <f>IF(M38="","",IFERROR(AVERAGEIFS($M$10:$M$1009,$K$10:$K$1009,K38,$A$10:$A$1009,"&lt;"&amp;A38,$A$10:$A$1009,"&gt;="&amp;(A38-$C$6)),""))</f>
        <v/>
      </c>
      <c r="O38" s="16">
        <f>IF(M38="","",_xlfn.MINIFS($M$10:$M$1009,$K$10:$K$1009,K38,$A$10:$A$1009,"&lt;="&amp;A38,$A$10:$A$1009,"&gt;="&amp;(A38-$C$6)))</f>
        <v/>
      </c>
      <c r="P38" s="18">
        <f>IF(OR(N38="",N38=0),"",M38/N38-1)</f>
        <v/>
      </c>
      <c r="Q38">
        <f>IF(D38="","",IF(COUNTIFS($B$10:$B$1009,B38,$C$10:$C$1009,C38,$D$10:$D$1009,D38,$E$10:$E$1009,E38)&gt;1,"MÜKERRER?",IF(P38="","",IF(P38&gt;=$C$5,"İNCELE",IF(P38&lt;=-$C$5,"Düşük",""))))</f>
        <v/>
      </c>
      <c r="R38" s="16">
        <f>IF(AND(P38&lt;&gt;"",N(P38)&gt;=$C$5,COUNTIFS($B$10:B38,B38,$C$10:C38,C38,$D$10:D38,D38,$E$10:E38,E38)=1),(M38-N38)*E38*L38,0)</f>
        <v/>
      </c>
      <c r="S38" s="19">
        <f>IF(D38="",0,N(E38)*L38)</f>
        <v/>
      </c>
    </row>
    <row r="39">
      <c r="A39" s="11" t="n"/>
      <c r="B39" s="12" t="n"/>
      <c r="C39" s="12" t="n"/>
      <c r="D39" s="12" t="n"/>
      <c r="E39" s="13" t="n"/>
      <c r="F39" s="12" t="n"/>
      <c r="G39" s="14" t="n"/>
      <c r="H39" s="15" t="n"/>
      <c r="I39" s="16">
        <f>IF(G39="","",G39*(1-N(H39)))</f>
        <v/>
      </c>
      <c r="J39" s="16">
        <f>IF(I39="","",E39*I39)</f>
        <v/>
      </c>
      <c r="K39">
        <f>IF(D39="","",IFERROR(VLOOKUP(D39,'Ürün Eşleştirme'!$A$6:$D$505,2,FALSE),D39))</f>
        <v/>
      </c>
      <c r="L39" s="17">
        <f>IF(D39="","",IFERROR(VLOOKUP(D39,'Ürün Eşleştirme'!$A$6:$D$505,4,FALSE),1))</f>
        <v/>
      </c>
      <c r="M39" s="16">
        <f>IF(I39="","",I39/L39)</f>
        <v/>
      </c>
      <c r="N39" s="16">
        <f>IF(M39="","",IFERROR(AVERAGEIFS($M$10:$M$1009,$K$10:$K$1009,K39,$A$10:$A$1009,"&lt;"&amp;A39,$A$10:$A$1009,"&gt;="&amp;(A39-$C$6)),""))</f>
        <v/>
      </c>
      <c r="O39" s="16">
        <f>IF(M39="","",_xlfn.MINIFS($M$10:$M$1009,$K$10:$K$1009,K39,$A$10:$A$1009,"&lt;="&amp;A39,$A$10:$A$1009,"&gt;="&amp;(A39-$C$6)))</f>
        <v/>
      </c>
      <c r="P39" s="18">
        <f>IF(OR(N39="",N39=0),"",M39/N39-1)</f>
        <v/>
      </c>
      <c r="Q39">
        <f>IF(D39="","",IF(COUNTIFS($B$10:$B$1009,B39,$C$10:$C$1009,C39,$D$10:$D$1009,D39,$E$10:$E$1009,E39)&gt;1,"MÜKERRER?",IF(P39="","",IF(P39&gt;=$C$5,"İNCELE",IF(P39&lt;=-$C$5,"Düşük",""))))</f>
        <v/>
      </c>
      <c r="R39" s="16">
        <f>IF(AND(P39&lt;&gt;"",N(P39)&gt;=$C$5,COUNTIFS($B$10:B39,B39,$C$10:C39,C39,$D$10:D39,D39,$E$10:E39,E39)=1),(M39-N39)*E39*L39,0)</f>
        <v/>
      </c>
      <c r="S39" s="19">
        <f>IF(D39="",0,N(E39)*L39)</f>
        <v/>
      </c>
    </row>
    <row r="40">
      <c r="A40" s="11" t="n"/>
      <c r="B40" s="12" t="n"/>
      <c r="C40" s="12" t="n"/>
      <c r="D40" s="12" t="n"/>
      <c r="E40" s="13" t="n"/>
      <c r="F40" s="12" t="n"/>
      <c r="G40" s="14" t="n"/>
      <c r="H40" s="15" t="n"/>
      <c r="I40" s="16">
        <f>IF(G40="","",G40*(1-N(H40)))</f>
        <v/>
      </c>
      <c r="J40" s="16">
        <f>IF(I40="","",E40*I40)</f>
        <v/>
      </c>
      <c r="K40">
        <f>IF(D40="","",IFERROR(VLOOKUP(D40,'Ürün Eşleştirme'!$A$6:$D$505,2,FALSE),D40))</f>
        <v/>
      </c>
      <c r="L40" s="17">
        <f>IF(D40="","",IFERROR(VLOOKUP(D40,'Ürün Eşleştirme'!$A$6:$D$505,4,FALSE),1))</f>
        <v/>
      </c>
      <c r="M40" s="16">
        <f>IF(I40="","",I40/L40)</f>
        <v/>
      </c>
      <c r="N40" s="16">
        <f>IF(M40="","",IFERROR(AVERAGEIFS($M$10:$M$1009,$K$10:$K$1009,K40,$A$10:$A$1009,"&lt;"&amp;A40,$A$10:$A$1009,"&gt;="&amp;(A40-$C$6)),""))</f>
        <v/>
      </c>
      <c r="O40" s="16">
        <f>IF(M40="","",_xlfn.MINIFS($M$10:$M$1009,$K$10:$K$1009,K40,$A$10:$A$1009,"&lt;="&amp;A40,$A$10:$A$1009,"&gt;="&amp;(A40-$C$6)))</f>
        <v/>
      </c>
      <c r="P40" s="18">
        <f>IF(OR(N40="",N40=0),"",M40/N40-1)</f>
        <v/>
      </c>
      <c r="Q40">
        <f>IF(D40="","",IF(COUNTIFS($B$10:$B$1009,B40,$C$10:$C$1009,C40,$D$10:$D$1009,D40,$E$10:$E$1009,E40)&gt;1,"MÜKERRER?",IF(P40="","",IF(P40&gt;=$C$5,"İNCELE",IF(P40&lt;=-$C$5,"Düşük",""))))</f>
        <v/>
      </c>
      <c r="R40" s="16">
        <f>IF(AND(P40&lt;&gt;"",N(P40)&gt;=$C$5,COUNTIFS($B$10:B40,B40,$C$10:C40,C40,$D$10:D40,D40,$E$10:E40,E40)=1),(M40-N40)*E40*L40,0)</f>
        <v/>
      </c>
      <c r="S40" s="19">
        <f>IF(D40="",0,N(E40)*L40)</f>
        <v/>
      </c>
    </row>
    <row r="41">
      <c r="A41" s="11" t="n"/>
      <c r="B41" s="12" t="n"/>
      <c r="C41" s="12" t="n"/>
      <c r="D41" s="12" t="n"/>
      <c r="E41" s="13" t="n"/>
      <c r="F41" s="12" t="n"/>
      <c r="G41" s="14" t="n"/>
      <c r="H41" s="15" t="n"/>
      <c r="I41" s="16">
        <f>IF(G41="","",G41*(1-N(H41)))</f>
        <v/>
      </c>
      <c r="J41" s="16">
        <f>IF(I41="","",E41*I41)</f>
        <v/>
      </c>
      <c r="K41">
        <f>IF(D41="","",IFERROR(VLOOKUP(D41,'Ürün Eşleştirme'!$A$6:$D$505,2,FALSE),D41))</f>
        <v/>
      </c>
      <c r="L41" s="17">
        <f>IF(D41="","",IFERROR(VLOOKUP(D41,'Ürün Eşleştirme'!$A$6:$D$505,4,FALSE),1))</f>
        <v/>
      </c>
      <c r="M41" s="16">
        <f>IF(I41="","",I41/L41)</f>
        <v/>
      </c>
      <c r="N41" s="16">
        <f>IF(M41="","",IFERROR(AVERAGEIFS($M$10:$M$1009,$K$10:$K$1009,K41,$A$10:$A$1009,"&lt;"&amp;A41,$A$10:$A$1009,"&gt;="&amp;(A41-$C$6)),""))</f>
        <v/>
      </c>
      <c r="O41" s="16">
        <f>IF(M41="","",_xlfn.MINIFS($M$10:$M$1009,$K$10:$K$1009,K41,$A$10:$A$1009,"&lt;="&amp;A41,$A$10:$A$1009,"&gt;="&amp;(A41-$C$6)))</f>
        <v/>
      </c>
      <c r="P41" s="18">
        <f>IF(OR(N41="",N41=0),"",M41/N41-1)</f>
        <v/>
      </c>
      <c r="Q41">
        <f>IF(D41="","",IF(COUNTIFS($B$10:$B$1009,B41,$C$10:$C$1009,C41,$D$10:$D$1009,D41,$E$10:$E$1009,E41)&gt;1,"MÜKERRER?",IF(P41="","",IF(P41&gt;=$C$5,"İNCELE",IF(P41&lt;=-$C$5,"Düşük",""))))</f>
        <v/>
      </c>
      <c r="R41" s="16">
        <f>IF(AND(P41&lt;&gt;"",N(P41)&gt;=$C$5,COUNTIFS($B$10:B41,B41,$C$10:C41,C41,$D$10:D41,D41,$E$10:E41,E41)=1),(M41-N41)*E41*L41,0)</f>
        <v/>
      </c>
      <c r="S41" s="19">
        <f>IF(D41="",0,N(E41)*L41)</f>
        <v/>
      </c>
    </row>
    <row r="42">
      <c r="A42" s="11" t="n"/>
      <c r="B42" s="12" t="n"/>
      <c r="C42" s="12" t="n"/>
      <c r="D42" s="12" t="n"/>
      <c r="E42" s="13" t="n"/>
      <c r="F42" s="12" t="n"/>
      <c r="G42" s="14" t="n"/>
      <c r="H42" s="15" t="n"/>
      <c r="I42" s="16">
        <f>IF(G42="","",G42*(1-N(H42)))</f>
        <v/>
      </c>
      <c r="J42" s="16">
        <f>IF(I42="","",E42*I42)</f>
        <v/>
      </c>
      <c r="K42">
        <f>IF(D42="","",IFERROR(VLOOKUP(D42,'Ürün Eşleştirme'!$A$6:$D$505,2,FALSE),D42))</f>
        <v/>
      </c>
      <c r="L42" s="17">
        <f>IF(D42="","",IFERROR(VLOOKUP(D42,'Ürün Eşleştirme'!$A$6:$D$505,4,FALSE),1))</f>
        <v/>
      </c>
      <c r="M42" s="16">
        <f>IF(I42="","",I42/L42)</f>
        <v/>
      </c>
      <c r="N42" s="16">
        <f>IF(M42="","",IFERROR(AVERAGEIFS($M$10:$M$1009,$K$10:$K$1009,K42,$A$10:$A$1009,"&lt;"&amp;A42,$A$10:$A$1009,"&gt;="&amp;(A42-$C$6)),""))</f>
        <v/>
      </c>
      <c r="O42" s="16">
        <f>IF(M42="","",_xlfn.MINIFS($M$10:$M$1009,$K$10:$K$1009,K42,$A$10:$A$1009,"&lt;="&amp;A42,$A$10:$A$1009,"&gt;="&amp;(A42-$C$6)))</f>
        <v/>
      </c>
      <c r="P42" s="18">
        <f>IF(OR(N42="",N42=0),"",M42/N42-1)</f>
        <v/>
      </c>
      <c r="Q42">
        <f>IF(D42="","",IF(COUNTIFS($B$10:$B$1009,B42,$C$10:$C$1009,C42,$D$10:$D$1009,D42,$E$10:$E$1009,E42)&gt;1,"MÜKERRER?",IF(P42="","",IF(P42&gt;=$C$5,"İNCELE",IF(P42&lt;=-$C$5,"Düşük",""))))</f>
        <v/>
      </c>
      <c r="R42" s="16">
        <f>IF(AND(P42&lt;&gt;"",N(P42)&gt;=$C$5,COUNTIFS($B$10:B42,B42,$C$10:C42,C42,$D$10:D42,D42,$E$10:E42,E42)=1),(M42-N42)*E42*L42,0)</f>
        <v/>
      </c>
      <c r="S42" s="19">
        <f>IF(D42="",0,N(E42)*L42)</f>
        <v/>
      </c>
    </row>
    <row r="43">
      <c r="A43" s="11" t="n"/>
      <c r="B43" s="12" t="n"/>
      <c r="C43" s="12" t="n"/>
      <c r="D43" s="12" t="n"/>
      <c r="E43" s="13" t="n"/>
      <c r="F43" s="12" t="n"/>
      <c r="G43" s="14" t="n"/>
      <c r="H43" s="15" t="n"/>
      <c r="I43" s="16">
        <f>IF(G43="","",G43*(1-N(H43)))</f>
        <v/>
      </c>
      <c r="J43" s="16">
        <f>IF(I43="","",E43*I43)</f>
        <v/>
      </c>
      <c r="K43">
        <f>IF(D43="","",IFERROR(VLOOKUP(D43,'Ürün Eşleştirme'!$A$6:$D$505,2,FALSE),D43))</f>
        <v/>
      </c>
      <c r="L43" s="17">
        <f>IF(D43="","",IFERROR(VLOOKUP(D43,'Ürün Eşleştirme'!$A$6:$D$505,4,FALSE),1))</f>
        <v/>
      </c>
      <c r="M43" s="16">
        <f>IF(I43="","",I43/L43)</f>
        <v/>
      </c>
      <c r="N43" s="16">
        <f>IF(M43="","",IFERROR(AVERAGEIFS($M$10:$M$1009,$K$10:$K$1009,K43,$A$10:$A$1009,"&lt;"&amp;A43,$A$10:$A$1009,"&gt;="&amp;(A43-$C$6)),""))</f>
        <v/>
      </c>
      <c r="O43" s="16">
        <f>IF(M43="","",_xlfn.MINIFS($M$10:$M$1009,$K$10:$K$1009,K43,$A$10:$A$1009,"&lt;="&amp;A43,$A$10:$A$1009,"&gt;="&amp;(A43-$C$6)))</f>
        <v/>
      </c>
      <c r="P43" s="18">
        <f>IF(OR(N43="",N43=0),"",M43/N43-1)</f>
        <v/>
      </c>
      <c r="Q43">
        <f>IF(D43="","",IF(COUNTIFS($B$10:$B$1009,B43,$C$10:$C$1009,C43,$D$10:$D$1009,D43,$E$10:$E$1009,E43)&gt;1,"MÜKERRER?",IF(P43="","",IF(P43&gt;=$C$5,"İNCELE",IF(P43&lt;=-$C$5,"Düşük",""))))</f>
        <v/>
      </c>
      <c r="R43" s="16">
        <f>IF(AND(P43&lt;&gt;"",N(P43)&gt;=$C$5,COUNTIFS($B$10:B43,B43,$C$10:C43,C43,$D$10:D43,D43,$E$10:E43,E43)=1),(M43-N43)*E43*L43,0)</f>
        <v/>
      </c>
      <c r="S43" s="19">
        <f>IF(D43="",0,N(E43)*L43)</f>
        <v/>
      </c>
    </row>
    <row r="44">
      <c r="A44" s="11" t="n"/>
      <c r="B44" s="12" t="n"/>
      <c r="C44" s="12" t="n"/>
      <c r="D44" s="12" t="n"/>
      <c r="E44" s="13" t="n"/>
      <c r="F44" s="12" t="n"/>
      <c r="G44" s="14" t="n"/>
      <c r="H44" s="15" t="n"/>
      <c r="I44" s="16">
        <f>IF(G44="","",G44*(1-N(H44)))</f>
        <v/>
      </c>
      <c r="J44" s="16">
        <f>IF(I44="","",E44*I44)</f>
        <v/>
      </c>
      <c r="K44">
        <f>IF(D44="","",IFERROR(VLOOKUP(D44,'Ürün Eşleştirme'!$A$6:$D$505,2,FALSE),D44))</f>
        <v/>
      </c>
      <c r="L44" s="17">
        <f>IF(D44="","",IFERROR(VLOOKUP(D44,'Ürün Eşleştirme'!$A$6:$D$505,4,FALSE),1))</f>
        <v/>
      </c>
      <c r="M44" s="16">
        <f>IF(I44="","",I44/L44)</f>
        <v/>
      </c>
      <c r="N44" s="16">
        <f>IF(M44="","",IFERROR(AVERAGEIFS($M$10:$M$1009,$K$10:$K$1009,K44,$A$10:$A$1009,"&lt;"&amp;A44,$A$10:$A$1009,"&gt;="&amp;(A44-$C$6)),""))</f>
        <v/>
      </c>
      <c r="O44" s="16">
        <f>IF(M44="","",_xlfn.MINIFS($M$10:$M$1009,$K$10:$K$1009,K44,$A$10:$A$1009,"&lt;="&amp;A44,$A$10:$A$1009,"&gt;="&amp;(A44-$C$6)))</f>
        <v/>
      </c>
      <c r="P44" s="18">
        <f>IF(OR(N44="",N44=0),"",M44/N44-1)</f>
        <v/>
      </c>
      <c r="Q44">
        <f>IF(D44="","",IF(COUNTIFS($B$10:$B$1009,B44,$C$10:$C$1009,C44,$D$10:$D$1009,D44,$E$10:$E$1009,E44)&gt;1,"MÜKERRER?",IF(P44="","",IF(P44&gt;=$C$5,"İNCELE",IF(P44&lt;=-$C$5,"Düşük",""))))</f>
        <v/>
      </c>
      <c r="R44" s="16">
        <f>IF(AND(P44&lt;&gt;"",N(P44)&gt;=$C$5,COUNTIFS($B$10:B44,B44,$C$10:C44,C44,$D$10:D44,D44,$E$10:E44,E44)=1),(M44-N44)*E44*L44,0)</f>
        <v/>
      </c>
      <c r="S44" s="19">
        <f>IF(D44="",0,N(E44)*L44)</f>
        <v/>
      </c>
    </row>
    <row r="45">
      <c r="A45" s="11" t="n"/>
      <c r="B45" s="12" t="n"/>
      <c r="C45" s="12" t="n"/>
      <c r="D45" s="12" t="n"/>
      <c r="E45" s="13" t="n"/>
      <c r="F45" s="12" t="n"/>
      <c r="G45" s="14" t="n"/>
      <c r="H45" s="15" t="n"/>
      <c r="I45" s="16">
        <f>IF(G45="","",G45*(1-N(H45)))</f>
        <v/>
      </c>
      <c r="J45" s="16">
        <f>IF(I45="","",E45*I45)</f>
        <v/>
      </c>
      <c r="K45">
        <f>IF(D45="","",IFERROR(VLOOKUP(D45,'Ürün Eşleştirme'!$A$6:$D$505,2,FALSE),D45))</f>
        <v/>
      </c>
      <c r="L45" s="17">
        <f>IF(D45="","",IFERROR(VLOOKUP(D45,'Ürün Eşleştirme'!$A$6:$D$505,4,FALSE),1))</f>
        <v/>
      </c>
      <c r="M45" s="16">
        <f>IF(I45="","",I45/L45)</f>
        <v/>
      </c>
      <c r="N45" s="16">
        <f>IF(M45="","",IFERROR(AVERAGEIFS($M$10:$M$1009,$K$10:$K$1009,K45,$A$10:$A$1009,"&lt;"&amp;A45,$A$10:$A$1009,"&gt;="&amp;(A45-$C$6)),""))</f>
        <v/>
      </c>
      <c r="O45" s="16">
        <f>IF(M45="","",_xlfn.MINIFS($M$10:$M$1009,$K$10:$K$1009,K45,$A$10:$A$1009,"&lt;="&amp;A45,$A$10:$A$1009,"&gt;="&amp;(A45-$C$6)))</f>
        <v/>
      </c>
      <c r="P45" s="18">
        <f>IF(OR(N45="",N45=0),"",M45/N45-1)</f>
        <v/>
      </c>
      <c r="Q45">
        <f>IF(D45="","",IF(COUNTIFS($B$10:$B$1009,B45,$C$10:$C$1009,C45,$D$10:$D$1009,D45,$E$10:$E$1009,E45)&gt;1,"MÜKERRER?",IF(P45="","",IF(P45&gt;=$C$5,"İNCELE",IF(P45&lt;=-$C$5,"Düşük",""))))</f>
        <v/>
      </c>
      <c r="R45" s="16">
        <f>IF(AND(P45&lt;&gt;"",N(P45)&gt;=$C$5,COUNTIFS($B$10:B45,B45,$C$10:C45,C45,$D$10:D45,D45,$E$10:E45,E45)=1),(M45-N45)*E45*L45,0)</f>
        <v/>
      </c>
      <c r="S45" s="19">
        <f>IF(D45="",0,N(E45)*L45)</f>
        <v/>
      </c>
    </row>
    <row r="46">
      <c r="A46" s="11" t="n"/>
      <c r="B46" s="12" t="n"/>
      <c r="C46" s="12" t="n"/>
      <c r="D46" s="12" t="n"/>
      <c r="E46" s="13" t="n"/>
      <c r="F46" s="12" t="n"/>
      <c r="G46" s="14" t="n"/>
      <c r="H46" s="15" t="n"/>
      <c r="I46" s="16">
        <f>IF(G46="","",G46*(1-N(H46)))</f>
        <v/>
      </c>
      <c r="J46" s="16">
        <f>IF(I46="","",E46*I46)</f>
        <v/>
      </c>
      <c r="K46">
        <f>IF(D46="","",IFERROR(VLOOKUP(D46,'Ürün Eşleştirme'!$A$6:$D$505,2,FALSE),D46))</f>
        <v/>
      </c>
      <c r="L46" s="17">
        <f>IF(D46="","",IFERROR(VLOOKUP(D46,'Ürün Eşleştirme'!$A$6:$D$505,4,FALSE),1))</f>
        <v/>
      </c>
      <c r="M46" s="16">
        <f>IF(I46="","",I46/L46)</f>
        <v/>
      </c>
      <c r="N46" s="16">
        <f>IF(M46="","",IFERROR(AVERAGEIFS($M$10:$M$1009,$K$10:$K$1009,K46,$A$10:$A$1009,"&lt;"&amp;A46,$A$10:$A$1009,"&gt;="&amp;(A46-$C$6)),""))</f>
        <v/>
      </c>
      <c r="O46" s="16">
        <f>IF(M46="","",_xlfn.MINIFS($M$10:$M$1009,$K$10:$K$1009,K46,$A$10:$A$1009,"&lt;="&amp;A46,$A$10:$A$1009,"&gt;="&amp;(A46-$C$6)))</f>
        <v/>
      </c>
      <c r="P46" s="18">
        <f>IF(OR(N46="",N46=0),"",M46/N46-1)</f>
        <v/>
      </c>
      <c r="Q46">
        <f>IF(D46="","",IF(COUNTIFS($B$10:$B$1009,B46,$C$10:$C$1009,C46,$D$10:$D$1009,D46,$E$10:$E$1009,E46)&gt;1,"MÜKERRER?",IF(P46="","",IF(P46&gt;=$C$5,"İNCELE",IF(P46&lt;=-$C$5,"Düşük",""))))</f>
        <v/>
      </c>
      <c r="R46" s="16">
        <f>IF(AND(P46&lt;&gt;"",N(P46)&gt;=$C$5,COUNTIFS($B$10:B46,B46,$C$10:C46,C46,$D$10:D46,D46,$E$10:E46,E46)=1),(M46-N46)*E46*L46,0)</f>
        <v/>
      </c>
      <c r="S46" s="19">
        <f>IF(D46="",0,N(E46)*L46)</f>
        <v/>
      </c>
    </row>
    <row r="47">
      <c r="A47" s="11" t="n"/>
      <c r="B47" s="12" t="n"/>
      <c r="C47" s="12" t="n"/>
      <c r="D47" s="12" t="n"/>
      <c r="E47" s="13" t="n"/>
      <c r="F47" s="12" t="n"/>
      <c r="G47" s="14" t="n"/>
      <c r="H47" s="15" t="n"/>
      <c r="I47" s="16">
        <f>IF(G47="","",G47*(1-N(H47)))</f>
        <v/>
      </c>
      <c r="J47" s="16">
        <f>IF(I47="","",E47*I47)</f>
        <v/>
      </c>
      <c r="K47">
        <f>IF(D47="","",IFERROR(VLOOKUP(D47,'Ürün Eşleştirme'!$A$6:$D$505,2,FALSE),D47))</f>
        <v/>
      </c>
      <c r="L47" s="17">
        <f>IF(D47="","",IFERROR(VLOOKUP(D47,'Ürün Eşleştirme'!$A$6:$D$505,4,FALSE),1))</f>
        <v/>
      </c>
      <c r="M47" s="16">
        <f>IF(I47="","",I47/L47)</f>
        <v/>
      </c>
      <c r="N47" s="16">
        <f>IF(M47="","",IFERROR(AVERAGEIFS($M$10:$M$1009,$K$10:$K$1009,K47,$A$10:$A$1009,"&lt;"&amp;A47,$A$10:$A$1009,"&gt;="&amp;(A47-$C$6)),""))</f>
        <v/>
      </c>
      <c r="O47" s="16">
        <f>IF(M47="","",_xlfn.MINIFS($M$10:$M$1009,$K$10:$K$1009,K47,$A$10:$A$1009,"&lt;="&amp;A47,$A$10:$A$1009,"&gt;="&amp;(A47-$C$6)))</f>
        <v/>
      </c>
      <c r="P47" s="18">
        <f>IF(OR(N47="",N47=0),"",M47/N47-1)</f>
        <v/>
      </c>
      <c r="Q47">
        <f>IF(D47="","",IF(COUNTIFS($B$10:$B$1009,B47,$C$10:$C$1009,C47,$D$10:$D$1009,D47,$E$10:$E$1009,E47)&gt;1,"MÜKERRER?",IF(P47="","",IF(P47&gt;=$C$5,"İNCELE",IF(P47&lt;=-$C$5,"Düşük",""))))</f>
        <v/>
      </c>
      <c r="R47" s="16">
        <f>IF(AND(P47&lt;&gt;"",N(P47)&gt;=$C$5,COUNTIFS($B$10:B47,B47,$C$10:C47,C47,$D$10:D47,D47,$E$10:E47,E47)=1),(M47-N47)*E47*L47,0)</f>
        <v/>
      </c>
      <c r="S47" s="19">
        <f>IF(D47="",0,N(E47)*L47)</f>
        <v/>
      </c>
    </row>
    <row r="48">
      <c r="A48" s="11" t="n"/>
      <c r="B48" s="12" t="n"/>
      <c r="C48" s="12" t="n"/>
      <c r="D48" s="12" t="n"/>
      <c r="E48" s="13" t="n"/>
      <c r="F48" s="12" t="n"/>
      <c r="G48" s="14" t="n"/>
      <c r="H48" s="15" t="n"/>
      <c r="I48" s="16">
        <f>IF(G48="","",G48*(1-N(H48)))</f>
        <v/>
      </c>
      <c r="J48" s="16">
        <f>IF(I48="","",E48*I48)</f>
        <v/>
      </c>
      <c r="K48">
        <f>IF(D48="","",IFERROR(VLOOKUP(D48,'Ürün Eşleştirme'!$A$6:$D$505,2,FALSE),D48))</f>
        <v/>
      </c>
      <c r="L48" s="17">
        <f>IF(D48="","",IFERROR(VLOOKUP(D48,'Ürün Eşleştirme'!$A$6:$D$505,4,FALSE),1))</f>
        <v/>
      </c>
      <c r="M48" s="16">
        <f>IF(I48="","",I48/L48)</f>
        <v/>
      </c>
      <c r="N48" s="16">
        <f>IF(M48="","",IFERROR(AVERAGEIFS($M$10:$M$1009,$K$10:$K$1009,K48,$A$10:$A$1009,"&lt;"&amp;A48,$A$10:$A$1009,"&gt;="&amp;(A48-$C$6)),""))</f>
        <v/>
      </c>
      <c r="O48" s="16">
        <f>IF(M48="","",_xlfn.MINIFS($M$10:$M$1009,$K$10:$K$1009,K48,$A$10:$A$1009,"&lt;="&amp;A48,$A$10:$A$1009,"&gt;="&amp;(A48-$C$6)))</f>
        <v/>
      </c>
      <c r="P48" s="18">
        <f>IF(OR(N48="",N48=0),"",M48/N48-1)</f>
        <v/>
      </c>
      <c r="Q48">
        <f>IF(D48="","",IF(COUNTIFS($B$10:$B$1009,B48,$C$10:$C$1009,C48,$D$10:$D$1009,D48,$E$10:$E$1009,E48)&gt;1,"MÜKERRER?",IF(P48="","",IF(P48&gt;=$C$5,"İNCELE",IF(P48&lt;=-$C$5,"Düşük",""))))</f>
        <v/>
      </c>
      <c r="R48" s="16">
        <f>IF(AND(P48&lt;&gt;"",N(P48)&gt;=$C$5,COUNTIFS($B$10:B48,B48,$C$10:C48,C48,$D$10:D48,D48,$E$10:E48,E48)=1),(M48-N48)*E48*L48,0)</f>
        <v/>
      </c>
      <c r="S48" s="19">
        <f>IF(D48="",0,N(E48)*L48)</f>
        <v/>
      </c>
    </row>
    <row r="49">
      <c r="A49" s="11" t="n"/>
      <c r="B49" s="12" t="n"/>
      <c r="C49" s="12" t="n"/>
      <c r="D49" s="12" t="n"/>
      <c r="E49" s="13" t="n"/>
      <c r="F49" s="12" t="n"/>
      <c r="G49" s="14" t="n"/>
      <c r="H49" s="15" t="n"/>
      <c r="I49" s="16">
        <f>IF(G49="","",G49*(1-N(H49)))</f>
        <v/>
      </c>
      <c r="J49" s="16">
        <f>IF(I49="","",E49*I49)</f>
        <v/>
      </c>
      <c r="K49">
        <f>IF(D49="","",IFERROR(VLOOKUP(D49,'Ürün Eşleştirme'!$A$6:$D$505,2,FALSE),D49))</f>
        <v/>
      </c>
      <c r="L49" s="17">
        <f>IF(D49="","",IFERROR(VLOOKUP(D49,'Ürün Eşleştirme'!$A$6:$D$505,4,FALSE),1))</f>
        <v/>
      </c>
      <c r="M49" s="16">
        <f>IF(I49="","",I49/L49)</f>
        <v/>
      </c>
      <c r="N49" s="16">
        <f>IF(M49="","",IFERROR(AVERAGEIFS($M$10:$M$1009,$K$10:$K$1009,K49,$A$10:$A$1009,"&lt;"&amp;A49,$A$10:$A$1009,"&gt;="&amp;(A49-$C$6)),""))</f>
        <v/>
      </c>
      <c r="O49" s="16">
        <f>IF(M49="","",_xlfn.MINIFS($M$10:$M$1009,$K$10:$K$1009,K49,$A$10:$A$1009,"&lt;="&amp;A49,$A$10:$A$1009,"&gt;="&amp;(A49-$C$6)))</f>
        <v/>
      </c>
      <c r="P49" s="18">
        <f>IF(OR(N49="",N49=0),"",M49/N49-1)</f>
        <v/>
      </c>
      <c r="Q49">
        <f>IF(D49="","",IF(COUNTIFS($B$10:$B$1009,B49,$C$10:$C$1009,C49,$D$10:$D$1009,D49,$E$10:$E$1009,E49)&gt;1,"MÜKERRER?",IF(P49="","",IF(P49&gt;=$C$5,"İNCELE",IF(P49&lt;=-$C$5,"Düşük",""))))</f>
        <v/>
      </c>
      <c r="R49" s="16">
        <f>IF(AND(P49&lt;&gt;"",N(P49)&gt;=$C$5,COUNTIFS($B$10:B49,B49,$C$10:C49,C49,$D$10:D49,D49,$E$10:E49,E49)=1),(M49-N49)*E49*L49,0)</f>
        <v/>
      </c>
      <c r="S49" s="19">
        <f>IF(D49="",0,N(E49)*L49)</f>
        <v/>
      </c>
    </row>
    <row r="50">
      <c r="A50" s="11" t="n"/>
      <c r="B50" s="12" t="n"/>
      <c r="C50" s="12" t="n"/>
      <c r="D50" s="12" t="n"/>
      <c r="E50" s="13" t="n"/>
      <c r="F50" s="12" t="n"/>
      <c r="G50" s="14" t="n"/>
      <c r="H50" s="15" t="n"/>
      <c r="I50" s="16">
        <f>IF(G50="","",G50*(1-N(H50)))</f>
        <v/>
      </c>
      <c r="J50" s="16">
        <f>IF(I50="","",E50*I50)</f>
        <v/>
      </c>
      <c r="K50">
        <f>IF(D50="","",IFERROR(VLOOKUP(D50,'Ürün Eşleştirme'!$A$6:$D$505,2,FALSE),D50))</f>
        <v/>
      </c>
      <c r="L50" s="17">
        <f>IF(D50="","",IFERROR(VLOOKUP(D50,'Ürün Eşleştirme'!$A$6:$D$505,4,FALSE),1))</f>
        <v/>
      </c>
      <c r="M50" s="16">
        <f>IF(I50="","",I50/L50)</f>
        <v/>
      </c>
      <c r="N50" s="16">
        <f>IF(M50="","",IFERROR(AVERAGEIFS($M$10:$M$1009,$K$10:$K$1009,K50,$A$10:$A$1009,"&lt;"&amp;A50,$A$10:$A$1009,"&gt;="&amp;(A50-$C$6)),""))</f>
        <v/>
      </c>
      <c r="O50" s="16">
        <f>IF(M50="","",_xlfn.MINIFS($M$10:$M$1009,$K$10:$K$1009,K50,$A$10:$A$1009,"&lt;="&amp;A50,$A$10:$A$1009,"&gt;="&amp;(A50-$C$6)))</f>
        <v/>
      </c>
      <c r="P50" s="18">
        <f>IF(OR(N50="",N50=0),"",M50/N50-1)</f>
        <v/>
      </c>
      <c r="Q50">
        <f>IF(D50="","",IF(COUNTIFS($B$10:$B$1009,B50,$C$10:$C$1009,C50,$D$10:$D$1009,D50,$E$10:$E$1009,E50)&gt;1,"MÜKERRER?",IF(P50="","",IF(P50&gt;=$C$5,"İNCELE",IF(P50&lt;=-$C$5,"Düşük",""))))</f>
        <v/>
      </c>
      <c r="R50" s="16">
        <f>IF(AND(P50&lt;&gt;"",N(P50)&gt;=$C$5,COUNTIFS($B$10:B50,B50,$C$10:C50,C50,$D$10:D50,D50,$E$10:E50,E50)=1),(M50-N50)*E50*L50,0)</f>
        <v/>
      </c>
      <c r="S50" s="19">
        <f>IF(D50="",0,N(E50)*L50)</f>
        <v/>
      </c>
    </row>
    <row r="51">
      <c r="A51" s="11" t="n"/>
      <c r="B51" s="12" t="n"/>
      <c r="C51" s="12" t="n"/>
      <c r="D51" s="12" t="n"/>
      <c r="E51" s="13" t="n"/>
      <c r="F51" s="12" t="n"/>
      <c r="G51" s="14" t="n"/>
      <c r="H51" s="15" t="n"/>
      <c r="I51" s="16">
        <f>IF(G51="","",G51*(1-N(H51)))</f>
        <v/>
      </c>
      <c r="J51" s="16">
        <f>IF(I51="","",E51*I51)</f>
        <v/>
      </c>
      <c r="K51">
        <f>IF(D51="","",IFERROR(VLOOKUP(D51,'Ürün Eşleştirme'!$A$6:$D$505,2,FALSE),D51))</f>
        <v/>
      </c>
      <c r="L51" s="17">
        <f>IF(D51="","",IFERROR(VLOOKUP(D51,'Ürün Eşleştirme'!$A$6:$D$505,4,FALSE),1))</f>
        <v/>
      </c>
      <c r="M51" s="16">
        <f>IF(I51="","",I51/L51)</f>
        <v/>
      </c>
      <c r="N51" s="16">
        <f>IF(M51="","",IFERROR(AVERAGEIFS($M$10:$M$1009,$K$10:$K$1009,K51,$A$10:$A$1009,"&lt;"&amp;A51,$A$10:$A$1009,"&gt;="&amp;(A51-$C$6)),""))</f>
        <v/>
      </c>
      <c r="O51" s="16">
        <f>IF(M51="","",_xlfn.MINIFS($M$10:$M$1009,$K$10:$K$1009,K51,$A$10:$A$1009,"&lt;="&amp;A51,$A$10:$A$1009,"&gt;="&amp;(A51-$C$6)))</f>
        <v/>
      </c>
      <c r="P51" s="18">
        <f>IF(OR(N51="",N51=0),"",M51/N51-1)</f>
        <v/>
      </c>
      <c r="Q51">
        <f>IF(D51="","",IF(COUNTIFS($B$10:$B$1009,B51,$C$10:$C$1009,C51,$D$10:$D$1009,D51,$E$10:$E$1009,E51)&gt;1,"MÜKERRER?",IF(P51="","",IF(P51&gt;=$C$5,"İNCELE",IF(P51&lt;=-$C$5,"Düşük",""))))</f>
        <v/>
      </c>
      <c r="R51" s="16">
        <f>IF(AND(P51&lt;&gt;"",N(P51)&gt;=$C$5,COUNTIFS($B$10:B51,B51,$C$10:C51,C51,$D$10:D51,D51,$E$10:E51,E51)=1),(M51-N51)*E51*L51,0)</f>
        <v/>
      </c>
      <c r="S51" s="19">
        <f>IF(D51="",0,N(E51)*L51)</f>
        <v/>
      </c>
    </row>
    <row r="52">
      <c r="A52" s="11" t="n"/>
      <c r="B52" s="12" t="n"/>
      <c r="C52" s="12" t="n"/>
      <c r="D52" s="12" t="n"/>
      <c r="E52" s="13" t="n"/>
      <c r="F52" s="12" t="n"/>
      <c r="G52" s="14" t="n"/>
      <c r="H52" s="15" t="n"/>
      <c r="I52" s="16">
        <f>IF(G52="","",G52*(1-N(H52)))</f>
        <v/>
      </c>
      <c r="J52" s="16">
        <f>IF(I52="","",E52*I52)</f>
        <v/>
      </c>
      <c r="K52">
        <f>IF(D52="","",IFERROR(VLOOKUP(D52,'Ürün Eşleştirme'!$A$6:$D$505,2,FALSE),D52))</f>
        <v/>
      </c>
      <c r="L52" s="17">
        <f>IF(D52="","",IFERROR(VLOOKUP(D52,'Ürün Eşleştirme'!$A$6:$D$505,4,FALSE),1))</f>
        <v/>
      </c>
      <c r="M52" s="16">
        <f>IF(I52="","",I52/L52)</f>
        <v/>
      </c>
      <c r="N52" s="16">
        <f>IF(M52="","",IFERROR(AVERAGEIFS($M$10:$M$1009,$K$10:$K$1009,K52,$A$10:$A$1009,"&lt;"&amp;A52,$A$10:$A$1009,"&gt;="&amp;(A52-$C$6)),""))</f>
        <v/>
      </c>
      <c r="O52" s="16">
        <f>IF(M52="","",_xlfn.MINIFS($M$10:$M$1009,$K$10:$K$1009,K52,$A$10:$A$1009,"&lt;="&amp;A52,$A$10:$A$1009,"&gt;="&amp;(A52-$C$6)))</f>
        <v/>
      </c>
      <c r="P52" s="18">
        <f>IF(OR(N52="",N52=0),"",M52/N52-1)</f>
        <v/>
      </c>
      <c r="Q52">
        <f>IF(D52="","",IF(COUNTIFS($B$10:$B$1009,B52,$C$10:$C$1009,C52,$D$10:$D$1009,D52,$E$10:$E$1009,E52)&gt;1,"MÜKERRER?",IF(P52="","",IF(P52&gt;=$C$5,"İNCELE",IF(P52&lt;=-$C$5,"Düşük",""))))</f>
        <v/>
      </c>
      <c r="R52" s="16">
        <f>IF(AND(P52&lt;&gt;"",N(P52)&gt;=$C$5,COUNTIFS($B$10:B52,B52,$C$10:C52,C52,$D$10:D52,D52,$E$10:E52,E52)=1),(M52-N52)*E52*L52,0)</f>
        <v/>
      </c>
      <c r="S52" s="19">
        <f>IF(D52="",0,N(E52)*L52)</f>
        <v/>
      </c>
    </row>
    <row r="53">
      <c r="A53" s="11" t="n"/>
      <c r="B53" s="12" t="n"/>
      <c r="C53" s="12" t="n"/>
      <c r="D53" s="12" t="n"/>
      <c r="E53" s="13" t="n"/>
      <c r="F53" s="12" t="n"/>
      <c r="G53" s="14" t="n"/>
      <c r="H53" s="15" t="n"/>
      <c r="I53" s="16">
        <f>IF(G53="","",G53*(1-N(H53)))</f>
        <v/>
      </c>
      <c r="J53" s="16">
        <f>IF(I53="","",E53*I53)</f>
        <v/>
      </c>
      <c r="K53">
        <f>IF(D53="","",IFERROR(VLOOKUP(D53,'Ürün Eşleştirme'!$A$6:$D$505,2,FALSE),D53))</f>
        <v/>
      </c>
      <c r="L53" s="17">
        <f>IF(D53="","",IFERROR(VLOOKUP(D53,'Ürün Eşleştirme'!$A$6:$D$505,4,FALSE),1))</f>
        <v/>
      </c>
      <c r="M53" s="16">
        <f>IF(I53="","",I53/L53)</f>
        <v/>
      </c>
      <c r="N53" s="16">
        <f>IF(M53="","",IFERROR(AVERAGEIFS($M$10:$M$1009,$K$10:$K$1009,K53,$A$10:$A$1009,"&lt;"&amp;A53,$A$10:$A$1009,"&gt;="&amp;(A53-$C$6)),""))</f>
        <v/>
      </c>
      <c r="O53" s="16">
        <f>IF(M53="","",_xlfn.MINIFS($M$10:$M$1009,$K$10:$K$1009,K53,$A$10:$A$1009,"&lt;="&amp;A53,$A$10:$A$1009,"&gt;="&amp;(A53-$C$6)))</f>
        <v/>
      </c>
      <c r="P53" s="18">
        <f>IF(OR(N53="",N53=0),"",M53/N53-1)</f>
        <v/>
      </c>
      <c r="Q53">
        <f>IF(D53="","",IF(COUNTIFS($B$10:$B$1009,B53,$C$10:$C$1009,C53,$D$10:$D$1009,D53,$E$10:$E$1009,E53)&gt;1,"MÜKERRER?",IF(P53="","",IF(P53&gt;=$C$5,"İNCELE",IF(P53&lt;=-$C$5,"Düşük",""))))</f>
        <v/>
      </c>
      <c r="R53" s="16">
        <f>IF(AND(P53&lt;&gt;"",N(P53)&gt;=$C$5,COUNTIFS($B$10:B53,B53,$C$10:C53,C53,$D$10:D53,D53,$E$10:E53,E53)=1),(M53-N53)*E53*L53,0)</f>
        <v/>
      </c>
      <c r="S53" s="19">
        <f>IF(D53="",0,N(E53)*L53)</f>
        <v/>
      </c>
    </row>
    <row r="54">
      <c r="A54" s="11" t="n"/>
      <c r="B54" s="12" t="n"/>
      <c r="C54" s="12" t="n"/>
      <c r="D54" s="12" t="n"/>
      <c r="E54" s="13" t="n"/>
      <c r="F54" s="12" t="n"/>
      <c r="G54" s="14" t="n"/>
      <c r="H54" s="15" t="n"/>
      <c r="I54" s="16">
        <f>IF(G54="","",G54*(1-N(H54)))</f>
        <v/>
      </c>
      <c r="J54" s="16">
        <f>IF(I54="","",E54*I54)</f>
        <v/>
      </c>
      <c r="K54">
        <f>IF(D54="","",IFERROR(VLOOKUP(D54,'Ürün Eşleştirme'!$A$6:$D$505,2,FALSE),D54))</f>
        <v/>
      </c>
      <c r="L54" s="17">
        <f>IF(D54="","",IFERROR(VLOOKUP(D54,'Ürün Eşleştirme'!$A$6:$D$505,4,FALSE),1))</f>
        <v/>
      </c>
      <c r="M54" s="16">
        <f>IF(I54="","",I54/L54)</f>
        <v/>
      </c>
      <c r="N54" s="16">
        <f>IF(M54="","",IFERROR(AVERAGEIFS($M$10:$M$1009,$K$10:$K$1009,K54,$A$10:$A$1009,"&lt;"&amp;A54,$A$10:$A$1009,"&gt;="&amp;(A54-$C$6)),""))</f>
        <v/>
      </c>
      <c r="O54" s="16">
        <f>IF(M54="","",_xlfn.MINIFS($M$10:$M$1009,$K$10:$K$1009,K54,$A$10:$A$1009,"&lt;="&amp;A54,$A$10:$A$1009,"&gt;="&amp;(A54-$C$6)))</f>
        <v/>
      </c>
      <c r="P54" s="18">
        <f>IF(OR(N54="",N54=0),"",M54/N54-1)</f>
        <v/>
      </c>
      <c r="Q54">
        <f>IF(D54="","",IF(COUNTIFS($B$10:$B$1009,B54,$C$10:$C$1009,C54,$D$10:$D$1009,D54,$E$10:$E$1009,E54)&gt;1,"MÜKERRER?",IF(P54="","",IF(P54&gt;=$C$5,"İNCELE",IF(P54&lt;=-$C$5,"Düşük",""))))</f>
        <v/>
      </c>
      <c r="R54" s="16">
        <f>IF(AND(P54&lt;&gt;"",N(P54)&gt;=$C$5,COUNTIFS($B$10:B54,B54,$C$10:C54,C54,$D$10:D54,D54,$E$10:E54,E54)=1),(M54-N54)*E54*L54,0)</f>
        <v/>
      </c>
      <c r="S54" s="19">
        <f>IF(D54="",0,N(E54)*L54)</f>
        <v/>
      </c>
    </row>
    <row r="55">
      <c r="A55" s="11" t="n"/>
      <c r="B55" s="12" t="n"/>
      <c r="C55" s="12" t="n"/>
      <c r="D55" s="12" t="n"/>
      <c r="E55" s="13" t="n"/>
      <c r="F55" s="12" t="n"/>
      <c r="G55" s="14" t="n"/>
      <c r="H55" s="15" t="n"/>
      <c r="I55" s="16">
        <f>IF(G55="","",G55*(1-N(H55)))</f>
        <v/>
      </c>
      <c r="J55" s="16">
        <f>IF(I55="","",E55*I55)</f>
        <v/>
      </c>
      <c r="K55">
        <f>IF(D55="","",IFERROR(VLOOKUP(D55,'Ürün Eşleştirme'!$A$6:$D$505,2,FALSE),D55))</f>
        <v/>
      </c>
      <c r="L55" s="17">
        <f>IF(D55="","",IFERROR(VLOOKUP(D55,'Ürün Eşleştirme'!$A$6:$D$505,4,FALSE),1))</f>
        <v/>
      </c>
      <c r="M55" s="16">
        <f>IF(I55="","",I55/L55)</f>
        <v/>
      </c>
      <c r="N55" s="16">
        <f>IF(M55="","",IFERROR(AVERAGEIFS($M$10:$M$1009,$K$10:$K$1009,K55,$A$10:$A$1009,"&lt;"&amp;A55,$A$10:$A$1009,"&gt;="&amp;(A55-$C$6)),""))</f>
        <v/>
      </c>
      <c r="O55" s="16">
        <f>IF(M55="","",_xlfn.MINIFS($M$10:$M$1009,$K$10:$K$1009,K55,$A$10:$A$1009,"&lt;="&amp;A55,$A$10:$A$1009,"&gt;="&amp;(A55-$C$6)))</f>
        <v/>
      </c>
      <c r="P55" s="18">
        <f>IF(OR(N55="",N55=0),"",M55/N55-1)</f>
        <v/>
      </c>
      <c r="Q55">
        <f>IF(D55="","",IF(COUNTIFS($B$10:$B$1009,B55,$C$10:$C$1009,C55,$D$10:$D$1009,D55,$E$10:$E$1009,E55)&gt;1,"MÜKERRER?",IF(P55="","",IF(P55&gt;=$C$5,"İNCELE",IF(P55&lt;=-$C$5,"Düşük",""))))</f>
        <v/>
      </c>
      <c r="R55" s="16">
        <f>IF(AND(P55&lt;&gt;"",N(P55)&gt;=$C$5,COUNTIFS($B$10:B55,B55,$C$10:C55,C55,$D$10:D55,D55,$E$10:E55,E55)=1),(M55-N55)*E55*L55,0)</f>
        <v/>
      </c>
      <c r="S55" s="19">
        <f>IF(D55="",0,N(E55)*L55)</f>
        <v/>
      </c>
    </row>
    <row r="56">
      <c r="A56" s="11" t="n"/>
      <c r="B56" s="12" t="n"/>
      <c r="C56" s="12" t="n"/>
      <c r="D56" s="12" t="n"/>
      <c r="E56" s="13" t="n"/>
      <c r="F56" s="12" t="n"/>
      <c r="G56" s="14" t="n"/>
      <c r="H56" s="15" t="n"/>
      <c r="I56" s="16">
        <f>IF(G56="","",G56*(1-N(H56)))</f>
        <v/>
      </c>
      <c r="J56" s="16">
        <f>IF(I56="","",E56*I56)</f>
        <v/>
      </c>
      <c r="K56">
        <f>IF(D56="","",IFERROR(VLOOKUP(D56,'Ürün Eşleştirme'!$A$6:$D$505,2,FALSE),D56))</f>
        <v/>
      </c>
      <c r="L56" s="17">
        <f>IF(D56="","",IFERROR(VLOOKUP(D56,'Ürün Eşleştirme'!$A$6:$D$505,4,FALSE),1))</f>
        <v/>
      </c>
      <c r="M56" s="16">
        <f>IF(I56="","",I56/L56)</f>
        <v/>
      </c>
      <c r="N56" s="16">
        <f>IF(M56="","",IFERROR(AVERAGEIFS($M$10:$M$1009,$K$10:$K$1009,K56,$A$10:$A$1009,"&lt;"&amp;A56,$A$10:$A$1009,"&gt;="&amp;(A56-$C$6)),""))</f>
        <v/>
      </c>
      <c r="O56" s="16">
        <f>IF(M56="","",_xlfn.MINIFS($M$10:$M$1009,$K$10:$K$1009,K56,$A$10:$A$1009,"&lt;="&amp;A56,$A$10:$A$1009,"&gt;="&amp;(A56-$C$6)))</f>
        <v/>
      </c>
      <c r="P56" s="18">
        <f>IF(OR(N56="",N56=0),"",M56/N56-1)</f>
        <v/>
      </c>
      <c r="Q56">
        <f>IF(D56="","",IF(COUNTIFS($B$10:$B$1009,B56,$C$10:$C$1009,C56,$D$10:$D$1009,D56,$E$10:$E$1009,E56)&gt;1,"MÜKERRER?",IF(P56="","",IF(P56&gt;=$C$5,"İNCELE",IF(P56&lt;=-$C$5,"Düşük",""))))</f>
        <v/>
      </c>
      <c r="R56" s="16">
        <f>IF(AND(P56&lt;&gt;"",N(P56)&gt;=$C$5,COUNTIFS($B$10:B56,B56,$C$10:C56,C56,$D$10:D56,D56,$E$10:E56,E56)=1),(M56-N56)*E56*L56,0)</f>
        <v/>
      </c>
      <c r="S56" s="19">
        <f>IF(D56="",0,N(E56)*L56)</f>
        <v/>
      </c>
    </row>
    <row r="57">
      <c r="A57" s="11" t="n"/>
      <c r="B57" s="12" t="n"/>
      <c r="C57" s="12" t="n"/>
      <c r="D57" s="12" t="n"/>
      <c r="E57" s="13" t="n"/>
      <c r="F57" s="12" t="n"/>
      <c r="G57" s="14" t="n"/>
      <c r="H57" s="15" t="n"/>
      <c r="I57" s="16">
        <f>IF(G57="","",G57*(1-N(H57)))</f>
        <v/>
      </c>
      <c r="J57" s="16">
        <f>IF(I57="","",E57*I57)</f>
        <v/>
      </c>
      <c r="K57">
        <f>IF(D57="","",IFERROR(VLOOKUP(D57,'Ürün Eşleştirme'!$A$6:$D$505,2,FALSE),D57))</f>
        <v/>
      </c>
      <c r="L57" s="17">
        <f>IF(D57="","",IFERROR(VLOOKUP(D57,'Ürün Eşleştirme'!$A$6:$D$505,4,FALSE),1))</f>
        <v/>
      </c>
      <c r="M57" s="16">
        <f>IF(I57="","",I57/L57)</f>
        <v/>
      </c>
      <c r="N57" s="16">
        <f>IF(M57="","",IFERROR(AVERAGEIFS($M$10:$M$1009,$K$10:$K$1009,K57,$A$10:$A$1009,"&lt;"&amp;A57,$A$10:$A$1009,"&gt;="&amp;(A57-$C$6)),""))</f>
        <v/>
      </c>
      <c r="O57" s="16">
        <f>IF(M57="","",_xlfn.MINIFS($M$10:$M$1009,$K$10:$K$1009,K57,$A$10:$A$1009,"&lt;="&amp;A57,$A$10:$A$1009,"&gt;="&amp;(A57-$C$6)))</f>
        <v/>
      </c>
      <c r="P57" s="18">
        <f>IF(OR(N57="",N57=0),"",M57/N57-1)</f>
        <v/>
      </c>
      <c r="Q57">
        <f>IF(D57="","",IF(COUNTIFS($B$10:$B$1009,B57,$C$10:$C$1009,C57,$D$10:$D$1009,D57,$E$10:$E$1009,E57)&gt;1,"MÜKERRER?",IF(P57="","",IF(P57&gt;=$C$5,"İNCELE",IF(P57&lt;=-$C$5,"Düşük",""))))</f>
        <v/>
      </c>
      <c r="R57" s="16">
        <f>IF(AND(P57&lt;&gt;"",N(P57)&gt;=$C$5,COUNTIFS($B$10:B57,B57,$C$10:C57,C57,$D$10:D57,D57,$E$10:E57,E57)=1),(M57-N57)*E57*L57,0)</f>
        <v/>
      </c>
      <c r="S57" s="19">
        <f>IF(D57="",0,N(E57)*L57)</f>
        <v/>
      </c>
    </row>
    <row r="58">
      <c r="A58" s="11" t="n"/>
      <c r="B58" s="12" t="n"/>
      <c r="C58" s="12" t="n"/>
      <c r="D58" s="12" t="n"/>
      <c r="E58" s="13" t="n"/>
      <c r="F58" s="12" t="n"/>
      <c r="G58" s="14" t="n"/>
      <c r="H58" s="15" t="n"/>
      <c r="I58" s="16">
        <f>IF(G58="","",G58*(1-N(H58)))</f>
        <v/>
      </c>
      <c r="J58" s="16">
        <f>IF(I58="","",E58*I58)</f>
        <v/>
      </c>
      <c r="K58">
        <f>IF(D58="","",IFERROR(VLOOKUP(D58,'Ürün Eşleştirme'!$A$6:$D$505,2,FALSE),D58))</f>
        <v/>
      </c>
      <c r="L58" s="17">
        <f>IF(D58="","",IFERROR(VLOOKUP(D58,'Ürün Eşleştirme'!$A$6:$D$505,4,FALSE),1))</f>
        <v/>
      </c>
      <c r="M58" s="16">
        <f>IF(I58="","",I58/L58)</f>
        <v/>
      </c>
      <c r="N58" s="16">
        <f>IF(M58="","",IFERROR(AVERAGEIFS($M$10:$M$1009,$K$10:$K$1009,K58,$A$10:$A$1009,"&lt;"&amp;A58,$A$10:$A$1009,"&gt;="&amp;(A58-$C$6)),""))</f>
        <v/>
      </c>
      <c r="O58" s="16">
        <f>IF(M58="","",_xlfn.MINIFS($M$10:$M$1009,$K$10:$K$1009,K58,$A$10:$A$1009,"&lt;="&amp;A58,$A$10:$A$1009,"&gt;="&amp;(A58-$C$6)))</f>
        <v/>
      </c>
      <c r="P58" s="18">
        <f>IF(OR(N58="",N58=0),"",M58/N58-1)</f>
        <v/>
      </c>
      <c r="Q58">
        <f>IF(D58="","",IF(COUNTIFS($B$10:$B$1009,B58,$C$10:$C$1009,C58,$D$10:$D$1009,D58,$E$10:$E$1009,E58)&gt;1,"MÜKERRER?",IF(P58="","",IF(P58&gt;=$C$5,"İNCELE",IF(P58&lt;=-$C$5,"Düşük",""))))</f>
        <v/>
      </c>
      <c r="R58" s="16">
        <f>IF(AND(P58&lt;&gt;"",N(P58)&gt;=$C$5,COUNTIFS($B$10:B58,B58,$C$10:C58,C58,$D$10:D58,D58,$E$10:E58,E58)=1),(M58-N58)*E58*L58,0)</f>
        <v/>
      </c>
      <c r="S58" s="19">
        <f>IF(D58="",0,N(E58)*L58)</f>
        <v/>
      </c>
    </row>
    <row r="59">
      <c r="A59" s="11" t="n"/>
      <c r="B59" s="12" t="n"/>
      <c r="C59" s="12" t="n"/>
      <c r="D59" s="12" t="n"/>
      <c r="E59" s="13" t="n"/>
      <c r="F59" s="12" t="n"/>
      <c r="G59" s="14" t="n"/>
      <c r="H59" s="15" t="n"/>
      <c r="I59" s="16">
        <f>IF(G59="","",G59*(1-N(H59)))</f>
        <v/>
      </c>
      <c r="J59" s="16">
        <f>IF(I59="","",E59*I59)</f>
        <v/>
      </c>
      <c r="K59">
        <f>IF(D59="","",IFERROR(VLOOKUP(D59,'Ürün Eşleştirme'!$A$6:$D$505,2,FALSE),D59))</f>
        <v/>
      </c>
      <c r="L59" s="17">
        <f>IF(D59="","",IFERROR(VLOOKUP(D59,'Ürün Eşleştirme'!$A$6:$D$505,4,FALSE),1))</f>
        <v/>
      </c>
      <c r="M59" s="16">
        <f>IF(I59="","",I59/L59)</f>
        <v/>
      </c>
      <c r="N59" s="16">
        <f>IF(M59="","",IFERROR(AVERAGEIFS($M$10:$M$1009,$K$10:$K$1009,K59,$A$10:$A$1009,"&lt;"&amp;A59,$A$10:$A$1009,"&gt;="&amp;(A59-$C$6)),""))</f>
        <v/>
      </c>
      <c r="O59" s="16">
        <f>IF(M59="","",_xlfn.MINIFS($M$10:$M$1009,$K$10:$K$1009,K59,$A$10:$A$1009,"&lt;="&amp;A59,$A$10:$A$1009,"&gt;="&amp;(A59-$C$6)))</f>
        <v/>
      </c>
      <c r="P59" s="18">
        <f>IF(OR(N59="",N59=0),"",M59/N59-1)</f>
        <v/>
      </c>
      <c r="Q59">
        <f>IF(D59="","",IF(COUNTIFS($B$10:$B$1009,B59,$C$10:$C$1009,C59,$D$10:$D$1009,D59,$E$10:$E$1009,E59)&gt;1,"MÜKERRER?",IF(P59="","",IF(P59&gt;=$C$5,"İNCELE",IF(P59&lt;=-$C$5,"Düşük",""))))</f>
        <v/>
      </c>
      <c r="R59" s="16">
        <f>IF(AND(P59&lt;&gt;"",N(P59)&gt;=$C$5,COUNTIFS($B$10:B59,B59,$C$10:C59,C59,$D$10:D59,D59,$E$10:E59,E59)=1),(M59-N59)*E59*L59,0)</f>
        <v/>
      </c>
      <c r="S59" s="19">
        <f>IF(D59="",0,N(E59)*L59)</f>
        <v/>
      </c>
    </row>
    <row r="60">
      <c r="A60" s="11" t="n"/>
      <c r="B60" s="12" t="n"/>
      <c r="C60" s="12" t="n"/>
      <c r="D60" s="12" t="n"/>
      <c r="E60" s="13" t="n"/>
      <c r="F60" s="12" t="n"/>
      <c r="G60" s="14" t="n"/>
      <c r="H60" s="15" t="n"/>
      <c r="I60" s="16">
        <f>IF(G60="","",G60*(1-N(H60)))</f>
        <v/>
      </c>
      <c r="J60" s="16">
        <f>IF(I60="","",E60*I60)</f>
        <v/>
      </c>
      <c r="K60">
        <f>IF(D60="","",IFERROR(VLOOKUP(D60,'Ürün Eşleştirme'!$A$6:$D$505,2,FALSE),D60))</f>
        <v/>
      </c>
      <c r="L60" s="17">
        <f>IF(D60="","",IFERROR(VLOOKUP(D60,'Ürün Eşleştirme'!$A$6:$D$505,4,FALSE),1))</f>
        <v/>
      </c>
      <c r="M60" s="16">
        <f>IF(I60="","",I60/L60)</f>
        <v/>
      </c>
      <c r="N60" s="16">
        <f>IF(M60="","",IFERROR(AVERAGEIFS($M$10:$M$1009,$K$10:$K$1009,K60,$A$10:$A$1009,"&lt;"&amp;A60,$A$10:$A$1009,"&gt;="&amp;(A60-$C$6)),""))</f>
        <v/>
      </c>
      <c r="O60" s="16">
        <f>IF(M60="","",_xlfn.MINIFS($M$10:$M$1009,$K$10:$K$1009,K60,$A$10:$A$1009,"&lt;="&amp;A60,$A$10:$A$1009,"&gt;="&amp;(A60-$C$6)))</f>
        <v/>
      </c>
      <c r="P60" s="18">
        <f>IF(OR(N60="",N60=0),"",M60/N60-1)</f>
        <v/>
      </c>
      <c r="Q60">
        <f>IF(D60="","",IF(COUNTIFS($B$10:$B$1009,B60,$C$10:$C$1009,C60,$D$10:$D$1009,D60,$E$10:$E$1009,E60)&gt;1,"MÜKERRER?",IF(P60="","",IF(P60&gt;=$C$5,"İNCELE",IF(P60&lt;=-$C$5,"Düşük",""))))</f>
        <v/>
      </c>
      <c r="R60" s="16">
        <f>IF(AND(P60&lt;&gt;"",N(P60)&gt;=$C$5,COUNTIFS($B$10:B60,B60,$C$10:C60,C60,$D$10:D60,D60,$E$10:E60,E60)=1),(M60-N60)*E60*L60,0)</f>
        <v/>
      </c>
      <c r="S60" s="19">
        <f>IF(D60="",0,N(E60)*L60)</f>
        <v/>
      </c>
    </row>
    <row r="61">
      <c r="A61" s="11" t="n"/>
      <c r="B61" s="12" t="n"/>
      <c r="C61" s="12" t="n"/>
      <c r="D61" s="12" t="n"/>
      <c r="E61" s="13" t="n"/>
      <c r="F61" s="12" t="n"/>
      <c r="G61" s="14" t="n"/>
      <c r="H61" s="15" t="n"/>
      <c r="I61" s="16">
        <f>IF(G61="","",G61*(1-N(H61)))</f>
        <v/>
      </c>
      <c r="J61" s="16">
        <f>IF(I61="","",E61*I61)</f>
        <v/>
      </c>
      <c r="K61">
        <f>IF(D61="","",IFERROR(VLOOKUP(D61,'Ürün Eşleştirme'!$A$6:$D$505,2,FALSE),D61))</f>
        <v/>
      </c>
      <c r="L61" s="17">
        <f>IF(D61="","",IFERROR(VLOOKUP(D61,'Ürün Eşleştirme'!$A$6:$D$505,4,FALSE),1))</f>
        <v/>
      </c>
      <c r="M61" s="16">
        <f>IF(I61="","",I61/L61)</f>
        <v/>
      </c>
      <c r="N61" s="16">
        <f>IF(M61="","",IFERROR(AVERAGEIFS($M$10:$M$1009,$K$10:$K$1009,K61,$A$10:$A$1009,"&lt;"&amp;A61,$A$10:$A$1009,"&gt;="&amp;(A61-$C$6)),""))</f>
        <v/>
      </c>
      <c r="O61" s="16">
        <f>IF(M61="","",_xlfn.MINIFS($M$10:$M$1009,$K$10:$K$1009,K61,$A$10:$A$1009,"&lt;="&amp;A61,$A$10:$A$1009,"&gt;="&amp;(A61-$C$6)))</f>
        <v/>
      </c>
      <c r="P61" s="18">
        <f>IF(OR(N61="",N61=0),"",M61/N61-1)</f>
        <v/>
      </c>
      <c r="Q61">
        <f>IF(D61="","",IF(COUNTIFS($B$10:$B$1009,B61,$C$10:$C$1009,C61,$D$10:$D$1009,D61,$E$10:$E$1009,E61)&gt;1,"MÜKERRER?",IF(P61="","",IF(P61&gt;=$C$5,"İNCELE",IF(P61&lt;=-$C$5,"Düşük",""))))</f>
        <v/>
      </c>
      <c r="R61" s="16">
        <f>IF(AND(P61&lt;&gt;"",N(P61)&gt;=$C$5,COUNTIFS($B$10:B61,B61,$C$10:C61,C61,$D$10:D61,D61,$E$10:E61,E61)=1),(M61-N61)*E61*L61,0)</f>
        <v/>
      </c>
      <c r="S61" s="19">
        <f>IF(D61="",0,N(E61)*L61)</f>
        <v/>
      </c>
    </row>
    <row r="62">
      <c r="A62" s="11" t="n"/>
      <c r="B62" s="12" t="n"/>
      <c r="C62" s="12" t="n"/>
      <c r="D62" s="12" t="n"/>
      <c r="E62" s="13" t="n"/>
      <c r="F62" s="12" t="n"/>
      <c r="G62" s="14" t="n"/>
      <c r="H62" s="15" t="n"/>
      <c r="I62" s="16">
        <f>IF(G62="","",G62*(1-N(H62)))</f>
        <v/>
      </c>
      <c r="J62" s="16">
        <f>IF(I62="","",E62*I62)</f>
        <v/>
      </c>
      <c r="K62">
        <f>IF(D62="","",IFERROR(VLOOKUP(D62,'Ürün Eşleştirme'!$A$6:$D$505,2,FALSE),D62))</f>
        <v/>
      </c>
      <c r="L62" s="17">
        <f>IF(D62="","",IFERROR(VLOOKUP(D62,'Ürün Eşleştirme'!$A$6:$D$505,4,FALSE),1))</f>
        <v/>
      </c>
      <c r="M62" s="16">
        <f>IF(I62="","",I62/L62)</f>
        <v/>
      </c>
      <c r="N62" s="16">
        <f>IF(M62="","",IFERROR(AVERAGEIFS($M$10:$M$1009,$K$10:$K$1009,K62,$A$10:$A$1009,"&lt;"&amp;A62,$A$10:$A$1009,"&gt;="&amp;(A62-$C$6)),""))</f>
        <v/>
      </c>
      <c r="O62" s="16">
        <f>IF(M62="","",_xlfn.MINIFS($M$10:$M$1009,$K$10:$K$1009,K62,$A$10:$A$1009,"&lt;="&amp;A62,$A$10:$A$1009,"&gt;="&amp;(A62-$C$6)))</f>
        <v/>
      </c>
      <c r="P62" s="18">
        <f>IF(OR(N62="",N62=0),"",M62/N62-1)</f>
        <v/>
      </c>
      <c r="Q62">
        <f>IF(D62="","",IF(COUNTIFS($B$10:$B$1009,B62,$C$10:$C$1009,C62,$D$10:$D$1009,D62,$E$10:$E$1009,E62)&gt;1,"MÜKERRER?",IF(P62="","",IF(P62&gt;=$C$5,"İNCELE",IF(P62&lt;=-$C$5,"Düşük",""))))</f>
        <v/>
      </c>
      <c r="R62" s="16">
        <f>IF(AND(P62&lt;&gt;"",N(P62)&gt;=$C$5,COUNTIFS($B$10:B62,B62,$C$10:C62,C62,$D$10:D62,D62,$E$10:E62,E62)=1),(M62-N62)*E62*L62,0)</f>
        <v/>
      </c>
      <c r="S62" s="19">
        <f>IF(D62="",0,N(E62)*L62)</f>
        <v/>
      </c>
    </row>
    <row r="63">
      <c r="A63" s="11" t="n"/>
      <c r="B63" s="12" t="n"/>
      <c r="C63" s="12" t="n"/>
      <c r="D63" s="12" t="n"/>
      <c r="E63" s="13" t="n"/>
      <c r="F63" s="12" t="n"/>
      <c r="G63" s="14" t="n"/>
      <c r="H63" s="15" t="n"/>
      <c r="I63" s="16">
        <f>IF(G63="","",G63*(1-N(H63)))</f>
        <v/>
      </c>
      <c r="J63" s="16">
        <f>IF(I63="","",E63*I63)</f>
        <v/>
      </c>
      <c r="K63">
        <f>IF(D63="","",IFERROR(VLOOKUP(D63,'Ürün Eşleştirme'!$A$6:$D$505,2,FALSE),D63))</f>
        <v/>
      </c>
      <c r="L63" s="17">
        <f>IF(D63="","",IFERROR(VLOOKUP(D63,'Ürün Eşleştirme'!$A$6:$D$505,4,FALSE),1))</f>
        <v/>
      </c>
      <c r="M63" s="16">
        <f>IF(I63="","",I63/L63)</f>
        <v/>
      </c>
      <c r="N63" s="16">
        <f>IF(M63="","",IFERROR(AVERAGEIFS($M$10:$M$1009,$K$10:$K$1009,K63,$A$10:$A$1009,"&lt;"&amp;A63,$A$10:$A$1009,"&gt;="&amp;(A63-$C$6)),""))</f>
        <v/>
      </c>
      <c r="O63" s="16">
        <f>IF(M63="","",_xlfn.MINIFS($M$10:$M$1009,$K$10:$K$1009,K63,$A$10:$A$1009,"&lt;="&amp;A63,$A$10:$A$1009,"&gt;="&amp;(A63-$C$6)))</f>
        <v/>
      </c>
      <c r="P63" s="18">
        <f>IF(OR(N63="",N63=0),"",M63/N63-1)</f>
        <v/>
      </c>
      <c r="Q63">
        <f>IF(D63="","",IF(COUNTIFS($B$10:$B$1009,B63,$C$10:$C$1009,C63,$D$10:$D$1009,D63,$E$10:$E$1009,E63)&gt;1,"MÜKERRER?",IF(P63="","",IF(P63&gt;=$C$5,"İNCELE",IF(P63&lt;=-$C$5,"Düşük",""))))</f>
        <v/>
      </c>
      <c r="R63" s="16">
        <f>IF(AND(P63&lt;&gt;"",N(P63)&gt;=$C$5,COUNTIFS($B$10:B63,B63,$C$10:C63,C63,$D$10:D63,D63,$E$10:E63,E63)=1),(M63-N63)*E63*L63,0)</f>
        <v/>
      </c>
      <c r="S63" s="19">
        <f>IF(D63="",0,N(E63)*L63)</f>
        <v/>
      </c>
    </row>
    <row r="64">
      <c r="A64" s="11" t="n"/>
      <c r="B64" s="12" t="n"/>
      <c r="C64" s="12" t="n"/>
      <c r="D64" s="12" t="n"/>
      <c r="E64" s="13" t="n"/>
      <c r="F64" s="12" t="n"/>
      <c r="G64" s="14" t="n"/>
      <c r="H64" s="15" t="n"/>
      <c r="I64" s="16">
        <f>IF(G64="","",G64*(1-N(H64)))</f>
        <v/>
      </c>
      <c r="J64" s="16">
        <f>IF(I64="","",E64*I64)</f>
        <v/>
      </c>
      <c r="K64">
        <f>IF(D64="","",IFERROR(VLOOKUP(D64,'Ürün Eşleştirme'!$A$6:$D$505,2,FALSE),D64))</f>
        <v/>
      </c>
      <c r="L64" s="17">
        <f>IF(D64="","",IFERROR(VLOOKUP(D64,'Ürün Eşleştirme'!$A$6:$D$505,4,FALSE),1))</f>
        <v/>
      </c>
      <c r="M64" s="16">
        <f>IF(I64="","",I64/L64)</f>
        <v/>
      </c>
      <c r="N64" s="16">
        <f>IF(M64="","",IFERROR(AVERAGEIFS($M$10:$M$1009,$K$10:$K$1009,K64,$A$10:$A$1009,"&lt;"&amp;A64,$A$10:$A$1009,"&gt;="&amp;(A64-$C$6)),""))</f>
        <v/>
      </c>
      <c r="O64" s="16">
        <f>IF(M64="","",_xlfn.MINIFS($M$10:$M$1009,$K$10:$K$1009,K64,$A$10:$A$1009,"&lt;="&amp;A64,$A$10:$A$1009,"&gt;="&amp;(A64-$C$6)))</f>
        <v/>
      </c>
      <c r="P64" s="18">
        <f>IF(OR(N64="",N64=0),"",M64/N64-1)</f>
        <v/>
      </c>
      <c r="Q64">
        <f>IF(D64="","",IF(COUNTIFS($B$10:$B$1009,B64,$C$10:$C$1009,C64,$D$10:$D$1009,D64,$E$10:$E$1009,E64)&gt;1,"MÜKERRER?",IF(P64="","",IF(P64&gt;=$C$5,"İNCELE",IF(P64&lt;=-$C$5,"Düşük",""))))</f>
        <v/>
      </c>
      <c r="R64" s="16">
        <f>IF(AND(P64&lt;&gt;"",N(P64)&gt;=$C$5,COUNTIFS($B$10:B64,B64,$C$10:C64,C64,$D$10:D64,D64,$E$10:E64,E64)=1),(M64-N64)*E64*L64,0)</f>
        <v/>
      </c>
      <c r="S64" s="19">
        <f>IF(D64="",0,N(E64)*L64)</f>
        <v/>
      </c>
    </row>
    <row r="65">
      <c r="A65" s="11" t="n"/>
      <c r="B65" s="12" t="n"/>
      <c r="C65" s="12" t="n"/>
      <c r="D65" s="12" t="n"/>
      <c r="E65" s="13" t="n"/>
      <c r="F65" s="12" t="n"/>
      <c r="G65" s="14" t="n"/>
      <c r="H65" s="15" t="n"/>
      <c r="I65" s="16">
        <f>IF(G65="","",G65*(1-N(H65)))</f>
        <v/>
      </c>
      <c r="J65" s="16">
        <f>IF(I65="","",E65*I65)</f>
        <v/>
      </c>
      <c r="K65">
        <f>IF(D65="","",IFERROR(VLOOKUP(D65,'Ürün Eşleştirme'!$A$6:$D$505,2,FALSE),D65))</f>
        <v/>
      </c>
      <c r="L65" s="17">
        <f>IF(D65="","",IFERROR(VLOOKUP(D65,'Ürün Eşleştirme'!$A$6:$D$505,4,FALSE),1))</f>
        <v/>
      </c>
      <c r="M65" s="16">
        <f>IF(I65="","",I65/L65)</f>
        <v/>
      </c>
      <c r="N65" s="16">
        <f>IF(M65="","",IFERROR(AVERAGEIFS($M$10:$M$1009,$K$10:$K$1009,K65,$A$10:$A$1009,"&lt;"&amp;A65,$A$10:$A$1009,"&gt;="&amp;(A65-$C$6)),""))</f>
        <v/>
      </c>
      <c r="O65" s="16">
        <f>IF(M65="","",_xlfn.MINIFS($M$10:$M$1009,$K$10:$K$1009,K65,$A$10:$A$1009,"&lt;="&amp;A65,$A$10:$A$1009,"&gt;="&amp;(A65-$C$6)))</f>
        <v/>
      </c>
      <c r="P65" s="18">
        <f>IF(OR(N65="",N65=0),"",M65/N65-1)</f>
        <v/>
      </c>
      <c r="Q65">
        <f>IF(D65="","",IF(COUNTIFS($B$10:$B$1009,B65,$C$10:$C$1009,C65,$D$10:$D$1009,D65,$E$10:$E$1009,E65)&gt;1,"MÜKERRER?",IF(P65="","",IF(P65&gt;=$C$5,"İNCELE",IF(P65&lt;=-$C$5,"Düşük",""))))</f>
        <v/>
      </c>
      <c r="R65" s="16">
        <f>IF(AND(P65&lt;&gt;"",N(P65)&gt;=$C$5,COUNTIFS($B$10:B65,B65,$C$10:C65,C65,$D$10:D65,D65,$E$10:E65,E65)=1),(M65-N65)*E65*L65,0)</f>
        <v/>
      </c>
      <c r="S65" s="19">
        <f>IF(D65="",0,N(E65)*L65)</f>
        <v/>
      </c>
    </row>
    <row r="66">
      <c r="A66" s="11" t="n"/>
      <c r="B66" s="12" t="n"/>
      <c r="C66" s="12" t="n"/>
      <c r="D66" s="12" t="n"/>
      <c r="E66" s="13" t="n"/>
      <c r="F66" s="12" t="n"/>
      <c r="G66" s="14" t="n"/>
      <c r="H66" s="15" t="n"/>
      <c r="I66" s="16">
        <f>IF(G66="","",G66*(1-N(H66)))</f>
        <v/>
      </c>
      <c r="J66" s="16">
        <f>IF(I66="","",E66*I66)</f>
        <v/>
      </c>
      <c r="K66">
        <f>IF(D66="","",IFERROR(VLOOKUP(D66,'Ürün Eşleştirme'!$A$6:$D$505,2,FALSE),D66))</f>
        <v/>
      </c>
      <c r="L66" s="17">
        <f>IF(D66="","",IFERROR(VLOOKUP(D66,'Ürün Eşleştirme'!$A$6:$D$505,4,FALSE),1))</f>
        <v/>
      </c>
      <c r="M66" s="16">
        <f>IF(I66="","",I66/L66)</f>
        <v/>
      </c>
      <c r="N66" s="16">
        <f>IF(M66="","",IFERROR(AVERAGEIFS($M$10:$M$1009,$K$10:$K$1009,K66,$A$10:$A$1009,"&lt;"&amp;A66,$A$10:$A$1009,"&gt;="&amp;(A66-$C$6)),""))</f>
        <v/>
      </c>
      <c r="O66" s="16">
        <f>IF(M66="","",_xlfn.MINIFS($M$10:$M$1009,$K$10:$K$1009,K66,$A$10:$A$1009,"&lt;="&amp;A66,$A$10:$A$1009,"&gt;="&amp;(A66-$C$6)))</f>
        <v/>
      </c>
      <c r="P66" s="18">
        <f>IF(OR(N66="",N66=0),"",M66/N66-1)</f>
        <v/>
      </c>
      <c r="Q66">
        <f>IF(D66="","",IF(COUNTIFS($B$10:$B$1009,B66,$C$10:$C$1009,C66,$D$10:$D$1009,D66,$E$10:$E$1009,E66)&gt;1,"MÜKERRER?",IF(P66="","",IF(P66&gt;=$C$5,"İNCELE",IF(P66&lt;=-$C$5,"Düşük",""))))</f>
        <v/>
      </c>
      <c r="R66" s="16">
        <f>IF(AND(P66&lt;&gt;"",N(P66)&gt;=$C$5,COUNTIFS($B$10:B66,B66,$C$10:C66,C66,$D$10:D66,D66,$E$10:E66,E66)=1),(M66-N66)*E66*L66,0)</f>
        <v/>
      </c>
      <c r="S66" s="19">
        <f>IF(D66="",0,N(E66)*L66)</f>
        <v/>
      </c>
    </row>
    <row r="67">
      <c r="A67" s="11" t="n"/>
      <c r="B67" s="12" t="n"/>
      <c r="C67" s="12" t="n"/>
      <c r="D67" s="12" t="n"/>
      <c r="E67" s="13" t="n"/>
      <c r="F67" s="12" t="n"/>
      <c r="G67" s="14" t="n"/>
      <c r="H67" s="15" t="n"/>
      <c r="I67" s="16">
        <f>IF(G67="","",G67*(1-N(H67)))</f>
        <v/>
      </c>
      <c r="J67" s="16">
        <f>IF(I67="","",E67*I67)</f>
        <v/>
      </c>
      <c r="K67">
        <f>IF(D67="","",IFERROR(VLOOKUP(D67,'Ürün Eşleştirme'!$A$6:$D$505,2,FALSE),D67))</f>
        <v/>
      </c>
      <c r="L67" s="17">
        <f>IF(D67="","",IFERROR(VLOOKUP(D67,'Ürün Eşleştirme'!$A$6:$D$505,4,FALSE),1))</f>
        <v/>
      </c>
      <c r="M67" s="16">
        <f>IF(I67="","",I67/L67)</f>
        <v/>
      </c>
      <c r="N67" s="16">
        <f>IF(M67="","",IFERROR(AVERAGEIFS($M$10:$M$1009,$K$10:$K$1009,K67,$A$10:$A$1009,"&lt;"&amp;A67,$A$10:$A$1009,"&gt;="&amp;(A67-$C$6)),""))</f>
        <v/>
      </c>
      <c r="O67" s="16">
        <f>IF(M67="","",_xlfn.MINIFS($M$10:$M$1009,$K$10:$K$1009,K67,$A$10:$A$1009,"&lt;="&amp;A67,$A$10:$A$1009,"&gt;="&amp;(A67-$C$6)))</f>
        <v/>
      </c>
      <c r="P67" s="18">
        <f>IF(OR(N67="",N67=0),"",M67/N67-1)</f>
        <v/>
      </c>
      <c r="Q67">
        <f>IF(D67="","",IF(COUNTIFS($B$10:$B$1009,B67,$C$10:$C$1009,C67,$D$10:$D$1009,D67,$E$10:$E$1009,E67)&gt;1,"MÜKERRER?",IF(P67="","",IF(P67&gt;=$C$5,"İNCELE",IF(P67&lt;=-$C$5,"Düşük",""))))</f>
        <v/>
      </c>
      <c r="R67" s="16">
        <f>IF(AND(P67&lt;&gt;"",N(P67)&gt;=$C$5,COUNTIFS($B$10:B67,B67,$C$10:C67,C67,$D$10:D67,D67,$E$10:E67,E67)=1),(M67-N67)*E67*L67,0)</f>
        <v/>
      </c>
      <c r="S67" s="19">
        <f>IF(D67="",0,N(E67)*L67)</f>
        <v/>
      </c>
    </row>
    <row r="68">
      <c r="A68" s="11" t="n"/>
      <c r="B68" s="12" t="n"/>
      <c r="C68" s="12" t="n"/>
      <c r="D68" s="12" t="n"/>
      <c r="E68" s="13" t="n"/>
      <c r="F68" s="12" t="n"/>
      <c r="G68" s="14" t="n"/>
      <c r="H68" s="15" t="n"/>
      <c r="I68" s="16">
        <f>IF(G68="","",G68*(1-N(H68)))</f>
        <v/>
      </c>
      <c r="J68" s="16">
        <f>IF(I68="","",E68*I68)</f>
        <v/>
      </c>
      <c r="K68">
        <f>IF(D68="","",IFERROR(VLOOKUP(D68,'Ürün Eşleştirme'!$A$6:$D$505,2,FALSE),D68))</f>
        <v/>
      </c>
      <c r="L68" s="17">
        <f>IF(D68="","",IFERROR(VLOOKUP(D68,'Ürün Eşleştirme'!$A$6:$D$505,4,FALSE),1))</f>
        <v/>
      </c>
      <c r="M68" s="16">
        <f>IF(I68="","",I68/L68)</f>
        <v/>
      </c>
      <c r="N68" s="16">
        <f>IF(M68="","",IFERROR(AVERAGEIFS($M$10:$M$1009,$K$10:$K$1009,K68,$A$10:$A$1009,"&lt;"&amp;A68,$A$10:$A$1009,"&gt;="&amp;(A68-$C$6)),""))</f>
        <v/>
      </c>
      <c r="O68" s="16">
        <f>IF(M68="","",_xlfn.MINIFS($M$10:$M$1009,$K$10:$K$1009,K68,$A$10:$A$1009,"&lt;="&amp;A68,$A$10:$A$1009,"&gt;="&amp;(A68-$C$6)))</f>
        <v/>
      </c>
      <c r="P68" s="18">
        <f>IF(OR(N68="",N68=0),"",M68/N68-1)</f>
        <v/>
      </c>
      <c r="Q68">
        <f>IF(D68="","",IF(COUNTIFS($B$10:$B$1009,B68,$C$10:$C$1009,C68,$D$10:$D$1009,D68,$E$10:$E$1009,E68)&gt;1,"MÜKERRER?",IF(P68="","",IF(P68&gt;=$C$5,"İNCELE",IF(P68&lt;=-$C$5,"Düşük",""))))</f>
        <v/>
      </c>
      <c r="R68" s="16">
        <f>IF(AND(P68&lt;&gt;"",N(P68)&gt;=$C$5,COUNTIFS($B$10:B68,B68,$C$10:C68,C68,$D$10:D68,D68,$E$10:E68,E68)=1),(M68-N68)*E68*L68,0)</f>
        <v/>
      </c>
      <c r="S68" s="19">
        <f>IF(D68="",0,N(E68)*L68)</f>
        <v/>
      </c>
    </row>
    <row r="69">
      <c r="A69" s="11" t="n"/>
      <c r="B69" s="12" t="n"/>
      <c r="C69" s="12" t="n"/>
      <c r="D69" s="12" t="n"/>
      <c r="E69" s="13" t="n"/>
      <c r="F69" s="12" t="n"/>
      <c r="G69" s="14" t="n"/>
      <c r="H69" s="15" t="n"/>
      <c r="I69" s="16">
        <f>IF(G69="","",G69*(1-N(H69)))</f>
        <v/>
      </c>
      <c r="J69" s="16">
        <f>IF(I69="","",E69*I69)</f>
        <v/>
      </c>
      <c r="K69">
        <f>IF(D69="","",IFERROR(VLOOKUP(D69,'Ürün Eşleştirme'!$A$6:$D$505,2,FALSE),D69))</f>
        <v/>
      </c>
      <c r="L69" s="17">
        <f>IF(D69="","",IFERROR(VLOOKUP(D69,'Ürün Eşleştirme'!$A$6:$D$505,4,FALSE),1))</f>
        <v/>
      </c>
      <c r="M69" s="16">
        <f>IF(I69="","",I69/L69)</f>
        <v/>
      </c>
      <c r="N69" s="16">
        <f>IF(M69="","",IFERROR(AVERAGEIFS($M$10:$M$1009,$K$10:$K$1009,K69,$A$10:$A$1009,"&lt;"&amp;A69,$A$10:$A$1009,"&gt;="&amp;(A69-$C$6)),""))</f>
        <v/>
      </c>
      <c r="O69" s="16">
        <f>IF(M69="","",_xlfn.MINIFS($M$10:$M$1009,$K$10:$K$1009,K69,$A$10:$A$1009,"&lt;="&amp;A69,$A$10:$A$1009,"&gt;="&amp;(A69-$C$6)))</f>
        <v/>
      </c>
      <c r="P69" s="18">
        <f>IF(OR(N69="",N69=0),"",M69/N69-1)</f>
        <v/>
      </c>
      <c r="Q69">
        <f>IF(D69="","",IF(COUNTIFS($B$10:$B$1009,B69,$C$10:$C$1009,C69,$D$10:$D$1009,D69,$E$10:$E$1009,E69)&gt;1,"MÜKERRER?",IF(P69="","",IF(P69&gt;=$C$5,"İNCELE",IF(P69&lt;=-$C$5,"Düşük",""))))</f>
        <v/>
      </c>
      <c r="R69" s="16">
        <f>IF(AND(P69&lt;&gt;"",N(P69)&gt;=$C$5,COUNTIFS($B$10:B69,B69,$C$10:C69,C69,$D$10:D69,D69,$E$10:E69,E69)=1),(M69-N69)*E69*L69,0)</f>
        <v/>
      </c>
      <c r="S69" s="19">
        <f>IF(D69="",0,N(E69)*L69)</f>
        <v/>
      </c>
    </row>
    <row r="70">
      <c r="A70" s="11" t="n"/>
      <c r="B70" s="12" t="n"/>
      <c r="C70" s="12" t="n"/>
      <c r="D70" s="12" t="n"/>
      <c r="E70" s="13" t="n"/>
      <c r="F70" s="12" t="n"/>
      <c r="G70" s="14" t="n"/>
      <c r="H70" s="15" t="n"/>
      <c r="I70" s="16">
        <f>IF(G70="","",G70*(1-N(H70)))</f>
        <v/>
      </c>
      <c r="J70" s="16">
        <f>IF(I70="","",E70*I70)</f>
        <v/>
      </c>
      <c r="K70">
        <f>IF(D70="","",IFERROR(VLOOKUP(D70,'Ürün Eşleştirme'!$A$6:$D$505,2,FALSE),D70))</f>
        <v/>
      </c>
      <c r="L70" s="17">
        <f>IF(D70="","",IFERROR(VLOOKUP(D70,'Ürün Eşleştirme'!$A$6:$D$505,4,FALSE),1))</f>
        <v/>
      </c>
      <c r="M70" s="16">
        <f>IF(I70="","",I70/L70)</f>
        <v/>
      </c>
      <c r="N70" s="16">
        <f>IF(M70="","",IFERROR(AVERAGEIFS($M$10:$M$1009,$K$10:$K$1009,K70,$A$10:$A$1009,"&lt;"&amp;A70,$A$10:$A$1009,"&gt;="&amp;(A70-$C$6)),""))</f>
        <v/>
      </c>
      <c r="O70" s="16">
        <f>IF(M70="","",_xlfn.MINIFS($M$10:$M$1009,$K$10:$K$1009,K70,$A$10:$A$1009,"&lt;="&amp;A70,$A$10:$A$1009,"&gt;="&amp;(A70-$C$6)))</f>
        <v/>
      </c>
      <c r="P70" s="18">
        <f>IF(OR(N70="",N70=0),"",M70/N70-1)</f>
        <v/>
      </c>
      <c r="Q70">
        <f>IF(D70="","",IF(COUNTIFS($B$10:$B$1009,B70,$C$10:$C$1009,C70,$D$10:$D$1009,D70,$E$10:$E$1009,E70)&gt;1,"MÜKERRER?",IF(P70="","",IF(P70&gt;=$C$5,"İNCELE",IF(P70&lt;=-$C$5,"Düşük",""))))</f>
        <v/>
      </c>
      <c r="R70" s="16">
        <f>IF(AND(P70&lt;&gt;"",N(P70)&gt;=$C$5,COUNTIFS($B$10:B70,B70,$C$10:C70,C70,$D$10:D70,D70,$E$10:E70,E70)=1),(M70-N70)*E70*L70,0)</f>
        <v/>
      </c>
      <c r="S70" s="19">
        <f>IF(D70="",0,N(E70)*L70)</f>
        <v/>
      </c>
    </row>
    <row r="71">
      <c r="A71" s="11" t="n"/>
      <c r="B71" s="12" t="n"/>
      <c r="C71" s="12" t="n"/>
      <c r="D71" s="12" t="n"/>
      <c r="E71" s="13" t="n"/>
      <c r="F71" s="12" t="n"/>
      <c r="G71" s="14" t="n"/>
      <c r="H71" s="15" t="n"/>
      <c r="I71" s="16">
        <f>IF(G71="","",G71*(1-N(H71)))</f>
        <v/>
      </c>
      <c r="J71" s="16">
        <f>IF(I71="","",E71*I71)</f>
        <v/>
      </c>
      <c r="K71">
        <f>IF(D71="","",IFERROR(VLOOKUP(D71,'Ürün Eşleştirme'!$A$6:$D$505,2,FALSE),D71))</f>
        <v/>
      </c>
      <c r="L71" s="17">
        <f>IF(D71="","",IFERROR(VLOOKUP(D71,'Ürün Eşleştirme'!$A$6:$D$505,4,FALSE),1))</f>
        <v/>
      </c>
      <c r="M71" s="16">
        <f>IF(I71="","",I71/L71)</f>
        <v/>
      </c>
      <c r="N71" s="16">
        <f>IF(M71="","",IFERROR(AVERAGEIFS($M$10:$M$1009,$K$10:$K$1009,K71,$A$10:$A$1009,"&lt;"&amp;A71,$A$10:$A$1009,"&gt;="&amp;(A71-$C$6)),""))</f>
        <v/>
      </c>
      <c r="O71" s="16">
        <f>IF(M71="","",_xlfn.MINIFS($M$10:$M$1009,$K$10:$K$1009,K71,$A$10:$A$1009,"&lt;="&amp;A71,$A$10:$A$1009,"&gt;="&amp;(A71-$C$6)))</f>
        <v/>
      </c>
      <c r="P71" s="18">
        <f>IF(OR(N71="",N71=0),"",M71/N71-1)</f>
        <v/>
      </c>
      <c r="Q71">
        <f>IF(D71="","",IF(COUNTIFS($B$10:$B$1009,B71,$C$10:$C$1009,C71,$D$10:$D$1009,D71,$E$10:$E$1009,E71)&gt;1,"MÜKERRER?",IF(P71="","",IF(P71&gt;=$C$5,"İNCELE",IF(P71&lt;=-$C$5,"Düşük",""))))</f>
        <v/>
      </c>
      <c r="R71" s="16">
        <f>IF(AND(P71&lt;&gt;"",N(P71)&gt;=$C$5,COUNTIFS($B$10:B71,B71,$C$10:C71,C71,$D$10:D71,D71,$E$10:E71,E71)=1),(M71-N71)*E71*L71,0)</f>
        <v/>
      </c>
      <c r="S71" s="19">
        <f>IF(D71="",0,N(E71)*L71)</f>
        <v/>
      </c>
    </row>
    <row r="72">
      <c r="A72" s="11" t="n"/>
      <c r="B72" s="12" t="n"/>
      <c r="C72" s="12" t="n"/>
      <c r="D72" s="12" t="n"/>
      <c r="E72" s="13" t="n"/>
      <c r="F72" s="12" t="n"/>
      <c r="G72" s="14" t="n"/>
      <c r="H72" s="15" t="n"/>
      <c r="I72" s="16">
        <f>IF(G72="","",G72*(1-N(H72)))</f>
        <v/>
      </c>
      <c r="J72" s="16">
        <f>IF(I72="","",E72*I72)</f>
        <v/>
      </c>
      <c r="K72">
        <f>IF(D72="","",IFERROR(VLOOKUP(D72,'Ürün Eşleştirme'!$A$6:$D$505,2,FALSE),D72))</f>
        <v/>
      </c>
      <c r="L72" s="17">
        <f>IF(D72="","",IFERROR(VLOOKUP(D72,'Ürün Eşleştirme'!$A$6:$D$505,4,FALSE),1))</f>
        <v/>
      </c>
      <c r="M72" s="16">
        <f>IF(I72="","",I72/L72)</f>
        <v/>
      </c>
      <c r="N72" s="16">
        <f>IF(M72="","",IFERROR(AVERAGEIFS($M$10:$M$1009,$K$10:$K$1009,K72,$A$10:$A$1009,"&lt;"&amp;A72,$A$10:$A$1009,"&gt;="&amp;(A72-$C$6)),""))</f>
        <v/>
      </c>
      <c r="O72" s="16">
        <f>IF(M72="","",_xlfn.MINIFS($M$10:$M$1009,$K$10:$K$1009,K72,$A$10:$A$1009,"&lt;="&amp;A72,$A$10:$A$1009,"&gt;="&amp;(A72-$C$6)))</f>
        <v/>
      </c>
      <c r="P72" s="18">
        <f>IF(OR(N72="",N72=0),"",M72/N72-1)</f>
        <v/>
      </c>
      <c r="Q72">
        <f>IF(D72="","",IF(COUNTIFS($B$10:$B$1009,B72,$C$10:$C$1009,C72,$D$10:$D$1009,D72,$E$10:$E$1009,E72)&gt;1,"MÜKERRER?",IF(P72="","",IF(P72&gt;=$C$5,"İNCELE",IF(P72&lt;=-$C$5,"Düşük",""))))</f>
        <v/>
      </c>
      <c r="R72" s="16">
        <f>IF(AND(P72&lt;&gt;"",N(P72)&gt;=$C$5,COUNTIFS($B$10:B72,B72,$C$10:C72,C72,$D$10:D72,D72,$E$10:E72,E72)=1),(M72-N72)*E72*L72,0)</f>
        <v/>
      </c>
      <c r="S72" s="19">
        <f>IF(D72="",0,N(E72)*L72)</f>
        <v/>
      </c>
    </row>
    <row r="73">
      <c r="A73" s="11" t="n"/>
      <c r="B73" s="12" t="n"/>
      <c r="C73" s="12" t="n"/>
      <c r="D73" s="12" t="n"/>
      <c r="E73" s="13" t="n"/>
      <c r="F73" s="12" t="n"/>
      <c r="G73" s="14" t="n"/>
      <c r="H73" s="15" t="n"/>
      <c r="I73" s="16">
        <f>IF(G73="","",G73*(1-N(H73)))</f>
        <v/>
      </c>
      <c r="J73" s="16">
        <f>IF(I73="","",E73*I73)</f>
        <v/>
      </c>
      <c r="K73">
        <f>IF(D73="","",IFERROR(VLOOKUP(D73,'Ürün Eşleştirme'!$A$6:$D$505,2,FALSE),D73))</f>
        <v/>
      </c>
      <c r="L73" s="17">
        <f>IF(D73="","",IFERROR(VLOOKUP(D73,'Ürün Eşleştirme'!$A$6:$D$505,4,FALSE),1))</f>
        <v/>
      </c>
      <c r="M73" s="16">
        <f>IF(I73="","",I73/L73)</f>
        <v/>
      </c>
      <c r="N73" s="16">
        <f>IF(M73="","",IFERROR(AVERAGEIFS($M$10:$M$1009,$K$10:$K$1009,K73,$A$10:$A$1009,"&lt;"&amp;A73,$A$10:$A$1009,"&gt;="&amp;(A73-$C$6)),""))</f>
        <v/>
      </c>
      <c r="O73" s="16">
        <f>IF(M73="","",_xlfn.MINIFS($M$10:$M$1009,$K$10:$K$1009,K73,$A$10:$A$1009,"&lt;="&amp;A73,$A$10:$A$1009,"&gt;="&amp;(A73-$C$6)))</f>
        <v/>
      </c>
      <c r="P73" s="18">
        <f>IF(OR(N73="",N73=0),"",M73/N73-1)</f>
        <v/>
      </c>
      <c r="Q73">
        <f>IF(D73="","",IF(COUNTIFS($B$10:$B$1009,B73,$C$10:$C$1009,C73,$D$10:$D$1009,D73,$E$10:$E$1009,E73)&gt;1,"MÜKERRER?",IF(P73="","",IF(P73&gt;=$C$5,"İNCELE",IF(P73&lt;=-$C$5,"Düşük",""))))</f>
        <v/>
      </c>
      <c r="R73" s="16">
        <f>IF(AND(P73&lt;&gt;"",N(P73)&gt;=$C$5,COUNTIFS($B$10:B73,B73,$C$10:C73,C73,$D$10:D73,D73,$E$10:E73,E73)=1),(M73-N73)*E73*L73,0)</f>
        <v/>
      </c>
      <c r="S73" s="19">
        <f>IF(D73="",0,N(E73)*L73)</f>
        <v/>
      </c>
    </row>
    <row r="74">
      <c r="A74" s="11" t="n"/>
      <c r="B74" s="12" t="n"/>
      <c r="C74" s="12" t="n"/>
      <c r="D74" s="12" t="n"/>
      <c r="E74" s="13" t="n"/>
      <c r="F74" s="12" t="n"/>
      <c r="G74" s="14" t="n"/>
      <c r="H74" s="15" t="n"/>
      <c r="I74" s="16">
        <f>IF(G74="","",G74*(1-N(H74)))</f>
        <v/>
      </c>
      <c r="J74" s="16">
        <f>IF(I74="","",E74*I74)</f>
        <v/>
      </c>
      <c r="K74">
        <f>IF(D74="","",IFERROR(VLOOKUP(D74,'Ürün Eşleştirme'!$A$6:$D$505,2,FALSE),D74))</f>
        <v/>
      </c>
      <c r="L74" s="17">
        <f>IF(D74="","",IFERROR(VLOOKUP(D74,'Ürün Eşleştirme'!$A$6:$D$505,4,FALSE),1))</f>
        <v/>
      </c>
      <c r="M74" s="16">
        <f>IF(I74="","",I74/L74)</f>
        <v/>
      </c>
      <c r="N74" s="16">
        <f>IF(M74="","",IFERROR(AVERAGEIFS($M$10:$M$1009,$K$10:$K$1009,K74,$A$10:$A$1009,"&lt;"&amp;A74,$A$10:$A$1009,"&gt;="&amp;(A74-$C$6)),""))</f>
        <v/>
      </c>
      <c r="O74" s="16">
        <f>IF(M74="","",_xlfn.MINIFS($M$10:$M$1009,$K$10:$K$1009,K74,$A$10:$A$1009,"&lt;="&amp;A74,$A$10:$A$1009,"&gt;="&amp;(A74-$C$6)))</f>
        <v/>
      </c>
      <c r="P74" s="18">
        <f>IF(OR(N74="",N74=0),"",M74/N74-1)</f>
        <v/>
      </c>
      <c r="Q74">
        <f>IF(D74="","",IF(COUNTIFS($B$10:$B$1009,B74,$C$10:$C$1009,C74,$D$10:$D$1009,D74,$E$10:$E$1009,E74)&gt;1,"MÜKERRER?",IF(P74="","",IF(P74&gt;=$C$5,"İNCELE",IF(P74&lt;=-$C$5,"Düşük",""))))</f>
        <v/>
      </c>
      <c r="R74" s="16">
        <f>IF(AND(P74&lt;&gt;"",N(P74)&gt;=$C$5,COUNTIFS($B$10:B74,B74,$C$10:C74,C74,$D$10:D74,D74,$E$10:E74,E74)=1),(M74-N74)*E74*L74,0)</f>
        <v/>
      </c>
      <c r="S74" s="19">
        <f>IF(D74="",0,N(E74)*L74)</f>
        <v/>
      </c>
    </row>
    <row r="75">
      <c r="A75" s="11" t="n"/>
      <c r="B75" s="12" t="n"/>
      <c r="C75" s="12" t="n"/>
      <c r="D75" s="12" t="n"/>
      <c r="E75" s="13" t="n"/>
      <c r="F75" s="12" t="n"/>
      <c r="G75" s="14" t="n"/>
      <c r="H75" s="15" t="n"/>
      <c r="I75" s="16">
        <f>IF(G75="","",G75*(1-N(H75)))</f>
        <v/>
      </c>
      <c r="J75" s="16">
        <f>IF(I75="","",E75*I75)</f>
        <v/>
      </c>
      <c r="K75">
        <f>IF(D75="","",IFERROR(VLOOKUP(D75,'Ürün Eşleştirme'!$A$6:$D$505,2,FALSE),D75))</f>
        <v/>
      </c>
      <c r="L75" s="17">
        <f>IF(D75="","",IFERROR(VLOOKUP(D75,'Ürün Eşleştirme'!$A$6:$D$505,4,FALSE),1))</f>
        <v/>
      </c>
      <c r="M75" s="16">
        <f>IF(I75="","",I75/L75)</f>
        <v/>
      </c>
      <c r="N75" s="16">
        <f>IF(M75="","",IFERROR(AVERAGEIFS($M$10:$M$1009,$K$10:$K$1009,K75,$A$10:$A$1009,"&lt;"&amp;A75,$A$10:$A$1009,"&gt;="&amp;(A75-$C$6)),""))</f>
        <v/>
      </c>
      <c r="O75" s="16">
        <f>IF(M75="","",_xlfn.MINIFS($M$10:$M$1009,$K$10:$K$1009,K75,$A$10:$A$1009,"&lt;="&amp;A75,$A$10:$A$1009,"&gt;="&amp;(A75-$C$6)))</f>
        <v/>
      </c>
      <c r="P75" s="18">
        <f>IF(OR(N75="",N75=0),"",M75/N75-1)</f>
        <v/>
      </c>
      <c r="Q75">
        <f>IF(D75="","",IF(COUNTIFS($B$10:$B$1009,B75,$C$10:$C$1009,C75,$D$10:$D$1009,D75,$E$10:$E$1009,E75)&gt;1,"MÜKERRER?",IF(P75="","",IF(P75&gt;=$C$5,"İNCELE",IF(P75&lt;=-$C$5,"Düşük",""))))</f>
        <v/>
      </c>
      <c r="R75" s="16">
        <f>IF(AND(P75&lt;&gt;"",N(P75)&gt;=$C$5,COUNTIFS($B$10:B75,B75,$C$10:C75,C75,$D$10:D75,D75,$E$10:E75,E75)=1),(M75-N75)*E75*L75,0)</f>
        <v/>
      </c>
      <c r="S75" s="19">
        <f>IF(D75="",0,N(E75)*L75)</f>
        <v/>
      </c>
    </row>
    <row r="76">
      <c r="A76" s="11" t="n"/>
      <c r="B76" s="12" t="n"/>
      <c r="C76" s="12" t="n"/>
      <c r="D76" s="12" t="n"/>
      <c r="E76" s="13" t="n"/>
      <c r="F76" s="12" t="n"/>
      <c r="G76" s="14" t="n"/>
      <c r="H76" s="15" t="n"/>
      <c r="I76" s="16">
        <f>IF(G76="","",G76*(1-N(H76)))</f>
        <v/>
      </c>
      <c r="J76" s="16">
        <f>IF(I76="","",E76*I76)</f>
        <v/>
      </c>
      <c r="K76">
        <f>IF(D76="","",IFERROR(VLOOKUP(D76,'Ürün Eşleştirme'!$A$6:$D$505,2,FALSE),D76))</f>
        <v/>
      </c>
      <c r="L76" s="17">
        <f>IF(D76="","",IFERROR(VLOOKUP(D76,'Ürün Eşleştirme'!$A$6:$D$505,4,FALSE),1))</f>
        <v/>
      </c>
      <c r="M76" s="16">
        <f>IF(I76="","",I76/L76)</f>
        <v/>
      </c>
      <c r="N76" s="16">
        <f>IF(M76="","",IFERROR(AVERAGEIFS($M$10:$M$1009,$K$10:$K$1009,K76,$A$10:$A$1009,"&lt;"&amp;A76,$A$10:$A$1009,"&gt;="&amp;(A76-$C$6)),""))</f>
        <v/>
      </c>
      <c r="O76" s="16">
        <f>IF(M76="","",_xlfn.MINIFS($M$10:$M$1009,$K$10:$K$1009,K76,$A$10:$A$1009,"&lt;="&amp;A76,$A$10:$A$1009,"&gt;="&amp;(A76-$C$6)))</f>
        <v/>
      </c>
      <c r="P76" s="18">
        <f>IF(OR(N76="",N76=0),"",M76/N76-1)</f>
        <v/>
      </c>
      <c r="Q76">
        <f>IF(D76="","",IF(COUNTIFS($B$10:$B$1009,B76,$C$10:$C$1009,C76,$D$10:$D$1009,D76,$E$10:$E$1009,E76)&gt;1,"MÜKERRER?",IF(P76="","",IF(P76&gt;=$C$5,"İNCELE",IF(P76&lt;=-$C$5,"Düşük",""))))</f>
        <v/>
      </c>
      <c r="R76" s="16">
        <f>IF(AND(P76&lt;&gt;"",N(P76)&gt;=$C$5,COUNTIFS($B$10:B76,B76,$C$10:C76,C76,$D$10:D76,D76,$E$10:E76,E76)=1),(M76-N76)*E76*L76,0)</f>
        <v/>
      </c>
      <c r="S76" s="19">
        <f>IF(D76="",0,N(E76)*L76)</f>
        <v/>
      </c>
    </row>
    <row r="77">
      <c r="A77" s="11" t="n"/>
      <c r="B77" s="12" t="n"/>
      <c r="C77" s="12" t="n"/>
      <c r="D77" s="12" t="n"/>
      <c r="E77" s="13" t="n"/>
      <c r="F77" s="12" t="n"/>
      <c r="G77" s="14" t="n"/>
      <c r="H77" s="15" t="n"/>
      <c r="I77" s="16">
        <f>IF(G77="","",G77*(1-N(H77)))</f>
        <v/>
      </c>
      <c r="J77" s="16">
        <f>IF(I77="","",E77*I77)</f>
        <v/>
      </c>
      <c r="K77">
        <f>IF(D77="","",IFERROR(VLOOKUP(D77,'Ürün Eşleştirme'!$A$6:$D$505,2,FALSE),D77))</f>
        <v/>
      </c>
      <c r="L77" s="17">
        <f>IF(D77="","",IFERROR(VLOOKUP(D77,'Ürün Eşleştirme'!$A$6:$D$505,4,FALSE),1))</f>
        <v/>
      </c>
      <c r="M77" s="16">
        <f>IF(I77="","",I77/L77)</f>
        <v/>
      </c>
      <c r="N77" s="16">
        <f>IF(M77="","",IFERROR(AVERAGEIFS($M$10:$M$1009,$K$10:$K$1009,K77,$A$10:$A$1009,"&lt;"&amp;A77,$A$10:$A$1009,"&gt;="&amp;(A77-$C$6)),""))</f>
        <v/>
      </c>
      <c r="O77" s="16">
        <f>IF(M77="","",_xlfn.MINIFS($M$10:$M$1009,$K$10:$K$1009,K77,$A$10:$A$1009,"&lt;="&amp;A77,$A$10:$A$1009,"&gt;="&amp;(A77-$C$6)))</f>
        <v/>
      </c>
      <c r="P77" s="18">
        <f>IF(OR(N77="",N77=0),"",M77/N77-1)</f>
        <v/>
      </c>
      <c r="Q77">
        <f>IF(D77="","",IF(COUNTIFS($B$10:$B$1009,B77,$C$10:$C$1009,C77,$D$10:$D$1009,D77,$E$10:$E$1009,E77)&gt;1,"MÜKERRER?",IF(P77="","",IF(P77&gt;=$C$5,"İNCELE",IF(P77&lt;=-$C$5,"Düşük",""))))</f>
        <v/>
      </c>
      <c r="R77" s="16">
        <f>IF(AND(P77&lt;&gt;"",N(P77)&gt;=$C$5,COUNTIFS($B$10:B77,B77,$C$10:C77,C77,$D$10:D77,D77,$E$10:E77,E77)=1),(M77-N77)*E77*L77,0)</f>
        <v/>
      </c>
      <c r="S77" s="19">
        <f>IF(D77="",0,N(E77)*L77)</f>
        <v/>
      </c>
    </row>
    <row r="78">
      <c r="A78" s="11" t="n"/>
      <c r="B78" s="12" t="n"/>
      <c r="C78" s="12" t="n"/>
      <c r="D78" s="12" t="n"/>
      <c r="E78" s="13" t="n"/>
      <c r="F78" s="12" t="n"/>
      <c r="G78" s="14" t="n"/>
      <c r="H78" s="15" t="n"/>
      <c r="I78" s="16">
        <f>IF(G78="","",G78*(1-N(H78)))</f>
        <v/>
      </c>
      <c r="J78" s="16">
        <f>IF(I78="","",E78*I78)</f>
        <v/>
      </c>
      <c r="K78">
        <f>IF(D78="","",IFERROR(VLOOKUP(D78,'Ürün Eşleştirme'!$A$6:$D$505,2,FALSE),D78))</f>
        <v/>
      </c>
      <c r="L78" s="17">
        <f>IF(D78="","",IFERROR(VLOOKUP(D78,'Ürün Eşleştirme'!$A$6:$D$505,4,FALSE),1))</f>
        <v/>
      </c>
      <c r="M78" s="16">
        <f>IF(I78="","",I78/L78)</f>
        <v/>
      </c>
      <c r="N78" s="16">
        <f>IF(M78="","",IFERROR(AVERAGEIFS($M$10:$M$1009,$K$10:$K$1009,K78,$A$10:$A$1009,"&lt;"&amp;A78,$A$10:$A$1009,"&gt;="&amp;(A78-$C$6)),""))</f>
        <v/>
      </c>
      <c r="O78" s="16">
        <f>IF(M78="","",_xlfn.MINIFS($M$10:$M$1009,$K$10:$K$1009,K78,$A$10:$A$1009,"&lt;="&amp;A78,$A$10:$A$1009,"&gt;="&amp;(A78-$C$6)))</f>
        <v/>
      </c>
      <c r="P78" s="18">
        <f>IF(OR(N78="",N78=0),"",M78/N78-1)</f>
        <v/>
      </c>
      <c r="Q78">
        <f>IF(D78="","",IF(COUNTIFS($B$10:$B$1009,B78,$C$10:$C$1009,C78,$D$10:$D$1009,D78,$E$10:$E$1009,E78)&gt;1,"MÜKERRER?",IF(P78="","",IF(P78&gt;=$C$5,"İNCELE",IF(P78&lt;=-$C$5,"Düşük",""))))</f>
        <v/>
      </c>
      <c r="R78" s="16">
        <f>IF(AND(P78&lt;&gt;"",N(P78)&gt;=$C$5,COUNTIFS($B$10:B78,B78,$C$10:C78,C78,$D$10:D78,D78,$E$10:E78,E78)=1),(M78-N78)*E78*L78,0)</f>
        <v/>
      </c>
      <c r="S78" s="19">
        <f>IF(D78="",0,N(E78)*L78)</f>
        <v/>
      </c>
    </row>
    <row r="79">
      <c r="A79" s="11" t="n"/>
      <c r="B79" s="12" t="n"/>
      <c r="C79" s="12" t="n"/>
      <c r="D79" s="12" t="n"/>
      <c r="E79" s="13" t="n"/>
      <c r="F79" s="12" t="n"/>
      <c r="G79" s="14" t="n"/>
      <c r="H79" s="15" t="n"/>
      <c r="I79" s="16">
        <f>IF(G79="","",G79*(1-N(H79)))</f>
        <v/>
      </c>
      <c r="J79" s="16">
        <f>IF(I79="","",E79*I79)</f>
        <v/>
      </c>
      <c r="K79">
        <f>IF(D79="","",IFERROR(VLOOKUP(D79,'Ürün Eşleştirme'!$A$6:$D$505,2,FALSE),D79))</f>
        <v/>
      </c>
      <c r="L79" s="17">
        <f>IF(D79="","",IFERROR(VLOOKUP(D79,'Ürün Eşleştirme'!$A$6:$D$505,4,FALSE),1))</f>
        <v/>
      </c>
      <c r="M79" s="16">
        <f>IF(I79="","",I79/L79)</f>
        <v/>
      </c>
      <c r="N79" s="16">
        <f>IF(M79="","",IFERROR(AVERAGEIFS($M$10:$M$1009,$K$10:$K$1009,K79,$A$10:$A$1009,"&lt;"&amp;A79,$A$10:$A$1009,"&gt;="&amp;(A79-$C$6)),""))</f>
        <v/>
      </c>
      <c r="O79" s="16">
        <f>IF(M79="","",_xlfn.MINIFS($M$10:$M$1009,$K$10:$K$1009,K79,$A$10:$A$1009,"&lt;="&amp;A79,$A$10:$A$1009,"&gt;="&amp;(A79-$C$6)))</f>
        <v/>
      </c>
      <c r="P79" s="18">
        <f>IF(OR(N79="",N79=0),"",M79/N79-1)</f>
        <v/>
      </c>
      <c r="Q79">
        <f>IF(D79="","",IF(COUNTIFS($B$10:$B$1009,B79,$C$10:$C$1009,C79,$D$10:$D$1009,D79,$E$10:$E$1009,E79)&gt;1,"MÜKERRER?",IF(P79="","",IF(P79&gt;=$C$5,"İNCELE",IF(P79&lt;=-$C$5,"Düşük",""))))</f>
        <v/>
      </c>
      <c r="R79" s="16">
        <f>IF(AND(P79&lt;&gt;"",N(P79)&gt;=$C$5,COUNTIFS($B$10:B79,B79,$C$10:C79,C79,$D$10:D79,D79,$E$10:E79,E79)=1),(M79-N79)*E79*L79,0)</f>
        <v/>
      </c>
      <c r="S79" s="19">
        <f>IF(D79="",0,N(E79)*L79)</f>
        <v/>
      </c>
    </row>
    <row r="80">
      <c r="A80" s="11" t="n"/>
      <c r="B80" s="12" t="n"/>
      <c r="C80" s="12" t="n"/>
      <c r="D80" s="12" t="n"/>
      <c r="E80" s="13" t="n"/>
      <c r="F80" s="12" t="n"/>
      <c r="G80" s="14" t="n"/>
      <c r="H80" s="15" t="n"/>
      <c r="I80" s="16">
        <f>IF(G80="","",G80*(1-N(H80)))</f>
        <v/>
      </c>
      <c r="J80" s="16">
        <f>IF(I80="","",E80*I80)</f>
        <v/>
      </c>
      <c r="K80">
        <f>IF(D80="","",IFERROR(VLOOKUP(D80,'Ürün Eşleştirme'!$A$6:$D$505,2,FALSE),D80))</f>
        <v/>
      </c>
      <c r="L80" s="17">
        <f>IF(D80="","",IFERROR(VLOOKUP(D80,'Ürün Eşleştirme'!$A$6:$D$505,4,FALSE),1))</f>
        <v/>
      </c>
      <c r="M80" s="16">
        <f>IF(I80="","",I80/L80)</f>
        <v/>
      </c>
      <c r="N80" s="16">
        <f>IF(M80="","",IFERROR(AVERAGEIFS($M$10:$M$1009,$K$10:$K$1009,K80,$A$10:$A$1009,"&lt;"&amp;A80,$A$10:$A$1009,"&gt;="&amp;(A80-$C$6)),""))</f>
        <v/>
      </c>
      <c r="O80" s="16">
        <f>IF(M80="","",_xlfn.MINIFS($M$10:$M$1009,$K$10:$K$1009,K80,$A$10:$A$1009,"&lt;="&amp;A80,$A$10:$A$1009,"&gt;="&amp;(A80-$C$6)))</f>
        <v/>
      </c>
      <c r="P80" s="18">
        <f>IF(OR(N80="",N80=0),"",M80/N80-1)</f>
        <v/>
      </c>
      <c r="Q80">
        <f>IF(D80="","",IF(COUNTIFS($B$10:$B$1009,B80,$C$10:$C$1009,C80,$D$10:$D$1009,D80,$E$10:$E$1009,E80)&gt;1,"MÜKERRER?",IF(P80="","",IF(P80&gt;=$C$5,"İNCELE",IF(P80&lt;=-$C$5,"Düşük",""))))</f>
        <v/>
      </c>
      <c r="R80" s="16">
        <f>IF(AND(P80&lt;&gt;"",N(P80)&gt;=$C$5,COUNTIFS($B$10:B80,B80,$C$10:C80,C80,$D$10:D80,D80,$E$10:E80,E80)=1),(M80-N80)*E80*L80,0)</f>
        <v/>
      </c>
      <c r="S80" s="19">
        <f>IF(D80="",0,N(E80)*L80)</f>
        <v/>
      </c>
    </row>
    <row r="81">
      <c r="A81" s="11" t="n"/>
      <c r="B81" s="12" t="n"/>
      <c r="C81" s="12" t="n"/>
      <c r="D81" s="12" t="n"/>
      <c r="E81" s="13" t="n"/>
      <c r="F81" s="12" t="n"/>
      <c r="G81" s="14" t="n"/>
      <c r="H81" s="15" t="n"/>
      <c r="I81" s="16">
        <f>IF(G81="","",G81*(1-N(H81)))</f>
        <v/>
      </c>
      <c r="J81" s="16">
        <f>IF(I81="","",E81*I81)</f>
        <v/>
      </c>
      <c r="K81">
        <f>IF(D81="","",IFERROR(VLOOKUP(D81,'Ürün Eşleştirme'!$A$6:$D$505,2,FALSE),D81))</f>
        <v/>
      </c>
      <c r="L81" s="17">
        <f>IF(D81="","",IFERROR(VLOOKUP(D81,'Ürün Eşleştirme'!$A$6:$D$505,4,FALSE),1))</f>
        <v/>
      </c>
      <c r="M81" s="16">
        <f>IF(I81="","",I81/L81)</f>
        <v/>
      </c>
      <c r="N81" s="16">
        <f>IF(M81="","",IFERROR(AVERAGEIFS($M$10:$M$1009,$K$10:$K$1009,K81,$A$10:$A$1009,"&lt;"&amp;A81,$A$10:$A$1009,"&gt;="&amp;(A81-$C$6)),""))</f>
        <v/>
      </c>
      <c r="O81" s="16">
        <f>IF(M81="","",_xlfn.MINIFS($M$10:$M$1009,$K$10:$K$1009,K81,$A$10:$A$1009,"&lt;="&amp;A81,$A$10:$A$1009,"&gt;="&amp;(A81-$C$6)))</f>
        <v/>
      </c>
      <c r="P81" s="18">
        <f>IF(OR(N81="",N81=0),"",M81/N81-1)</f>
        <v/>
      </c>
      <c r="Q81">
        <f>IF(D81="","",IF(COUNTIFS($B$10:$B$1009,B81,$C$10:$C$1009,C81,$D$10:$D$1009,D81,$E$10:$E$1009,E81)&gt;1,"MÜKERRER?",IF(P81="","",IF(P81&gt;=$C$5,"İNCELE",IF(P81&lt;=-$C$5,"Düşük",""))))</f>
        <v/>
      </c>
      <c r="R81" s="16">
        <f>IF(AND(P81&lt;&gt;"",N(P81)&gt;=$C$5,COUNTIFS($B$10:B81,B81,$C$10:C81,C81,$D$10:D81,D81,$E$10:E81,E81)=1),(M81-N81)*E81*L81,0)</f>
        <v/>
      </c>
      <c r="S81" s="19">
        <f>IF(D81="",0,N(E81)*L81)</f>
        <v/>
      </c>
    </row>
    <row r="82">
      <c r="A82" s="11" t="n"/>
      <c r="B82" s="12" t="n"/>
      <c r="C82" s="12" t="n"/>
      <c r="D82" s="12" t="n"/>
      <c r="E82" s="13" t="n"/>
      <c r="F82" s="12" t="n"/>
      <c r="G82" s="14" t="n"/>
      <c r="H82" s="15" t="n"/>
      <c r="I82" s="16">
        <f>IF(G82="","",G82*(1-N(H82)))</f>
        <v/>
      </c>
      <c r="J82" s="16">
        <f>IF(I82="","",E82*I82)</f>
        <v/>
      </c>
      <c r="K82">
        <f>IF(D82="","",IFERROR(VLOOKUP(D82,'Ürün Eşleştirme'!$A$6:$D$505,2,FALSE),D82))</f>
        <v/>
      </c>
      <c r="L82" s="17">
        <f>IF(D82="","",IFERROR(VLOOKUP(D82,'Ürün Eşleştirme'!$A$6:$D$505,4,FALSE),1))</f>
        <v/>
      </c>
      <c r="M82" s="16">
        <f>IF(I82="","",I82/L82)</f>
        <v/>
      </c>
      <c r="N82" s="16">
        <f>IF(M82="","",IFERROR(AVERAGEIFS($M$10:$M$1009,$K$10:$K$1009,K82,$A$10:$A$1009,"&lt;"&amp;A82,$A$10:$A$1009,"&gt;="&amp;(A82-$C$6)),""))</f>
        <v/>
      </c>
      <c r="O82" s="16">
        <f>IF(M82="","",_xlfn.MINIFS($M$10:$M$1009,$K$10:$K$1009,K82,$A$10:$A$1009,"&lt;="&amp;A82,$A$10:$A$1009,"&gt;="&amp;(A82-$C$6)))</f>
        <v/>
      </c>
      <c r="P82" s="18">
        <f>IF(OR(N82="",N82=0),"",M82/N82-1)</f>
        <v/>
      </c>
      <c r="Q82">
        <f>IF(D82="","",IF(COUNTIFS($B$10:$B$1009,B82,$C$10:$C$1009,C82,$D$10:$D$1009,D82,$E$10:$E$1009,E82)&gt;1,"MÜKERRER?",IF(P82="","",IF(P82&gt;=$C$5,"İNCELE",IF(P82&lt;=-$C$5,"Düşük",""))))</f>
        <v/>
      </c>
      <c r="R82" s="16">
        <f>IF(AND(P82&lt;&gt;"",N(P82)&gt;=$C$5,COUNTIFS($B$10:B82,B82,$C$10:C82,C82,$D$10:D82,D82,$E$10:E82,E82)=1),(M82-N82)*E82*L82,0)</f>
        <v/>
      </c>
      <c r="S82" s="19">
        <f>IF(D82="",0,N(E82)*L82)</f>
        <v/>
      </c>
    </row>
    <row r="83">
      <c r="A83" s="11" t="n"/>
      <c r="B83" s="12" t="n"/>
      <c r="C83" s="12" t="n"/>
      <c r="D83" s="12" t="n"/>
      <c r="E83" s="13" t="n"/>
      <c r="F83" s="12" t="n"/>
      <c r="G83" s="14" t="n"/>
      <c r="H83" s="15" t="n"/>
      <c r="I83" s="16">
        <f>IF(G83="","",G83*(1-N(H83)))</f>
        <v/>
      </c>
      <c r="J83" s="16">
        <f>IF(I83="","",E83*I83)</f>
        <v/>
      </c>
      <c r="K83">
        <f>IF(D83="","",IFERROR(VLOOKUP(D83,'Ürün Eşleştirme'!$A$6:$D$505,2,FALSE),D83))</f>
        <v/>
      </c>
      <c r="L83" s="17">
        <f>IF(D83="","",IFERROR(VLOOKUP(D83,'Ürün Eşleştirme'!$A$6:$D$505,4,FALSE),1))</f>
        <v/>
      </c>
      <c r="M83" s="16">
        <f>IF(I83="","",I83/L83)</f>
        <v/>
      </c>
      <c r="N83" s="16">
        <f>IF(M83="","",IFERROR(AVERAGEIFS($M$10:$M$1009,$K$10:$K$1009,K83,$A$10:$A$1009,"&lt;"&amp;A83,$A$10:$A$1009,"&gt;="&amp;(A83-$C$6)),""))</f>
        <v/>
      </c>
      <c r="O83" s="16">
        <f>IF(M83="","",_xlfn.MINIFS($M$10:$M$1009,$K$10:$K$1009,K83,$A$10:$A$1009,"&lt;="&amp;A83,$A$10:$A$1009,"&gt;="&amp;(A83-$C$6)))</f>
        <v/>
      </c>
      <c r="P83" s="18">
        <f>IF(OR(N83="",N83=0),"",M83/N83-1)</f>
        <v/>
      </c>
      <c r="Q83">
        <f>IF(D83="","",IF(COUNTIFS($B$10:$B$1009,B83,$C$10:$C$1009,C83,$D$10:$D$1009,D83,$E$10:$E$1009,E83)&gt;1,"MÜKERRER?",IF(P83="","",IF(P83&gt;=$C$5,"İNCELE",IF(P83&lt;=-$C$5,"Düşük",""))))</f>
        <v/>
      </c>
      <c r="R83" s="16">
        <f>IF(AND(P83&lt;&gt;"",N(P83)&gt;=$C$5,COUNTIFS($B$10:B83,B83,$C$10:C83,C83,$D$10:D83,D83,$E$10:E83,E83)=1),(M83-N83)*E83*L83,0)</f>
        <v/>
      </c>
      <c r="S83" s="19">
        <f>IF(D83="",0,N(E83)*L83)</f>
        <v/>
      </c>
    </row>
    <row r="84">
      <c r="A84" s="11" t="n"/>
      <c r="B84" s="12" t="n"/>
      <c r="C84" s="12" t="n"/>
      <c r="D84" s="12" t="n"/>
      <c r="E84" s="13" t="n"/>
      <c r="F84" s="12" t="n"/>
      <c r="G84" s="14" t="n"/>
      <c r="H84" s="15" t="n"/>
      <c r="I84" s="16">
        <f>IF(G84="","",G84*(1-N(H84)))</f>
        <v/>
      </c>
      <c r="J84" s="16">
        <f>IF(I84="","",E84*I84)</f>
        <v/>
      </c>
      <c r="K84">
        <f>IF(D84="","",IFERROR(VLOOKUP(D84,'Ürün Eşleştirme'!$A$6:$D$505,2,FALSE),D84))</f>
        <v/>
      </c>
      <c r="L84" s="17">
        <f>IF(D84="","",IFERROR(VLOOKUP(D84,'Ürün Eşleştirme'!$A$6:$D$505,4,FALSE),1))</f>
        <v/>
      </c>
      <c r="M84" s="16">
        <f>IF(I84="","",I84/L84)</f>
        <v/>
      </c>
      <c r="N84" s="16">
        <f>IF(M84="","",IFERROR(AVERAGEIFS($M$10:$M$1009,$K$10:$K$1009,K84,$A$10:$A$1009,"&lt;"&amp;A84,$A$10:$A$1009,"&gt;="&amp;(A84-$C$6)),""))</f>
        <v/>
      </c>
      <c r="O84" s="16">
        <f>IF(M84="","",_xlfn.MINIFS($M$10:$M$1009,$K$10:$K$1009,K84,$A$10:$A$1009,"&lt;="&amp;A84,$A$10:$A$1009,"&gt;="&amp;(A84-$C$6)))</f>
        <v/>
      </c>
      <c r="P84" s="18">
        <f>IF(OR(N84="",N84=0),"",M84/N84-1)</f>
        <v/>
      </c>
      <c r="Q84">
        <f>IF(D84="","",IF(COUNTIFS($B$10:$B$1009,B84,$C$10:$C$1009,C84,$D$10:$D$1009,D84,$E$10:$E$1009,E84)&gt;1,"MÜKERRER?",IF(P84="","",IF(P84&gt;=$C$5,"İNCELE",IF(P84&lt;=-$C$5,"Düşük",""))))</f>
        <v/>
      </c>
      <c r="R84" s="16">
        <f>IF(AND(P84&lt;&gt;"",N(P84)&gt;=$C$5,COUNTIFS($B$10:B84,B84,$C$10:C84,C84,$D$10:D84,D84,$E$10:E84,E84)=1),(M84-N84)*E84*L84,0)</f>
        <v/>
      </c>
      <c r="S84" s="19">
        <f>IF(D84="",0,N(E84)*L84)</f>
        <v/>
      </c>
    </row>
    <row r="85">
      <c r="A85" s="11" t="n"/>
      <c r="B85" s="12" t="n"/>
      <c r="C85" s="12" t="n"/>
      <c r="D85" s="12" t="n"/>
      <c r="E85" s="13" t="n"/>
      <c r="F85" s="12" t="n"/>
      <c r="G85" s="14" t="n"/>
      <c r="H85" s="15" t="n"/>
      <c r="I85" s="16">
        <f>IF(G85="","",G85*(1-N(H85)))</f>
        <v/>
      </c>
      <c r="J85" s="16">
        <f>IF(I85="","",E85*I85)</f>
        <v/>
      </c>
      <c r="K85">
        <f>IF(D85="","",IFERROR(VLOOKUP(D85,'Ürün Eşleştirme'!$A$6:$D$505,2,FALSE),D85))</f>
        <v/>
      </c>
      <c r="L85" s="17">
        <f>IF(D85="","",IFERROR(VLOOKUP(D85,'Ürün Eşleştirme'!$A$6:$D$505,4,FALSE),1))</f>
        <v/>
      </c>
      <c r="M85" s="16">
        <f>IF(I85="","",I85/L85)</f>
        <v/>
      </c>
      <c r="N85" s="16">
        <f>IF(M85="","",IFERROR(AVERAGEIFS($M$10:$M$1009,$K$10:$K$1009,K85,$A$10:$A$1009,"&lt;"&amp;A85,$A$10:$A$1009,"&gt;="&amp;(A85-$C$6)),""))</f>
        <v/>
      </c>
      <c r="O85" s="16">
        <f>IF(M85="","",_xlfn.MINIFS($M$10:$M$1009,$K$10:$K$1009,K85,$A$10:$A$1009,"&lt;="&amp;A85,$A$10:$A$1009,"&gt;="&amp;(A85-$C$6)))</f>
        <v/>
      </c>
      <c r="P85" s="18">
        <f>IF(OR(N85="",N85=0),"",M85/N85-1)</f>
        <v/>
      </c>
      <c r="Q85">
        <f>IF(D85="","",IF(COUNTIFS($B$10:$B$1009,B85,$C$10:$C$1009,C85,$D$10:$D$1009,D85,$E$10:$E$1009,E85)&gt;1,"MÜKERRER?",IF(P85="","",IF(P85&gt;=$C$5,"İNCELE",IF(P85&lt;=-$C$5,"Düşük",""))))</f>
        <v/>
      </c>
      <c r="R85" s="16">
        <f>IF(AND(P85&lt;&gt;"",N(P85)&gt;=$C$5,COUNTIFS($B$10:B85,B85,$C$10:C85,C85,$D$10:D85,D85,$E$10:E85,E85)=1),(M85-N85)*E85*L85,0)</f>
        <v/>
      </c>
      <c r="S85" s="19">
        <f>IF(D85="",0,N(E85)*L85)</f>
        <v/>
      </c>
    </row>
    <row r="86">
      <c r="A86" s="11" t="n"/>
      <c r="B86" s="12" t="n"/>
      <c r="C86" s="12" t="n"/>
      <c r="D86" s="12" t="n"/>
      <c r="E86" s="13" t="n"/>
      <c r="F86" s="12" t="n"/>
      <c r="G86" s="14" t="n"/>
      <c r="H86" s="15" t="n"/>
      <c r="I86" s="16">
        <f>IF(G86="","",G86*(1-N(H86)))</f>
        <v/>
      </c>
      <c r="J86" s="16">
        <f>IF(I86="","",E86*I86)</f>
        <v/>
      </c>
      <c r="K86">
        <f>IF(D86="","",IFERROR(VLOOKUP(D86,'Ürün Eşleştirme'!$A$6:$D$505,2,FALSE),D86))</f>
        <v/>
      </c>
      <c r="L86" s="17">
        <f>IF(D86="","",IFERROR(VLOOKUP(D86,'Ürün Eşleştirme'!$A$6:$D$505,4,FALSE),1))</f>
        <v/>
      </c>
      <c r="M86" s="16">
        <f>IF(I86="","",I86/L86)</f>
        <v/>
      </c>
      <c r="N86" s="16">
        <f>IF(M86="","",IFERROR(AVERAGEIFS($M$10:$M$1009,$K$10:$K$1009,K86,$A$10:$A$1009,"&lt;"&amp;A86,$A$10:$A$1009,"&gt;="&amp;(A86-$C$6)),""))</f>
        <v/>
      </c>
      <c r="O86" s="16">
        <f>IF(M86="","",_xlfn.MINIFS($M$10:$M$1009,$K$10:$K$1009,K86,$A$10:$A$1009,"&lt;="&amp;A86,$A$10:$A$1009,"&gt;="&amp;(A86-$C$6)))</f>
        <v/>
      </c>
      <c r="P86" s="18">
        <f>IF(OR(N86="",N86=0),"",M86/N86-1)</f>
        <v/>
      </c>
      <c r="Q86">
        <f>IF(D86="","",IF(COUNTIFS($B$10:$B$1009,B86,$C$10:$C$1009,C86,$D$10:$D$1009,D86,$E$10:$E$1009,E86)&gt;1,"MÜKERRER?",IF(P86="","",IF(P86&gt;=$C$5,"İNCELE",IF(P86&lt;=-$C$5,"Düşük",""))))</f>
        <v/>
      </c>
      <c r="R86" s="16">
        <f>IF(AND(P86&lt;&gt;"",N(P86)&gt;=$C$5,COUNTIFS($B$10:B86,B86,$C$10:C86,C86,$D$10:D86,D86,$E$10:E86,E86)=1),(M86-N86)*E86*L86,0)</f>
        <v/>
      </c>
      <c r="S86" s="19">
        <f>IF(D86="",0,N(E86)*L86)</f>
        <v/>
      </c>
    </row>
    <row r="87">
      <c r="A87" s="11" t="n"/>
      <c r="B87" s="12" t="n"/>
      <c r="C87" s="12" t="n"/>
      <c r="D87" s="12" t="n"/>
      <c r="E87" s="13" t="n"/>
      <c r="F87" s="12" t="n"/>
      <c r="G87" s="14" t="n"/>
      <c r="H87" s="15" t="n"/>
      <c r="I87" s="16">
        <f>IF(G87="","",G87*(1-N(H87)))</f>
        <v/>
      </c>
      <c r="J87" s="16">
        <f>IF(I87="","",E87*I87)</f>
        <v/>
      </c>
      <c r="K87">
        <f>IF(D87="","",IFERROR(VLOOKUP(D87,'Ürün Eşleştirme'!$A$6:$D$505,2,FALSE),D87))</f>
        <v/>
      </c>
      <c r="L87" s="17">
        <f>IF(D87="","",IFERROR(VLOOKUP(D87,'Ürün Eşleştirme'!$A$6:$D$505,4,FALSE),1))</f>
        <v/>
      </c>
      <c r="M87" s="16">
        <f>IF(I87="","",I87/L87)</f>
        <v/>
      </c>
      <c r="N87" s="16">
        <f>IF(M87="","",IFERROR(AVERAGEIFS($M$10:$M$1009,$K$10:$K$1009,K87,$A$10:$A$1009,"&lt;"&amp;A87,$A$10:$A$1009,"&gt;="&amp;(A87-$C$6)),""))</f>
        <v/>
      </c>
      <c r="O87" s="16">
        <f>IF(M87="","",_xlfn.MINIFS($M$10:$M$1009,$K$10:$K$1009,K87,$A$10:$A$1009,"&lt;="&amp;A87,$A$10:$A$1009,"&gt;="&amp;(A87-$C$6)))</f>
        <v/>
      </c>
      <c r="P87" s="18">
        <f>IF(OR(N87="",N87=0),"",M87/N87-1)</f>
        <v/>
      </c>
      <c r="Q87">
        <f>IF(D87="","",IF(COUNTIFS($B$10:$B$1009,B87,$C$10:$C$1009,C87,$D$10:$D$1009,D87,$E$10:$E$1009,E87)&gt;1,"MÜKERRER?",IF(P87="","",IF(P87&gt;=$C$5,"İNCELE",IF(P87&lt;=-$C$5,"Düşük",""))))</f>
        <v/>
      </c>
      <c r="R87" s="16">
        <f>IF(AND(P87&lt;&gt;"",N(P87)&gt;=$C$5,COUNTIFS($B$10:B87,B87,$C$10:C87,C87,$D$10:D87,D87,$E$10:E87,E87)=1),(M87-N87)*E87*L87,0)</f>
        <v/>
      </c>
      <c r="S87" s="19">
        <f>IF(D87="",0,N(E87)*L87)</f>
        <v/>
      </c>
    </row>
    <row r="88">
      <c r="A88" s="11" t="n"/>
      <c r="B88" s="12" t="n"/>
      <c r="C88" s="12" t="n"/>
      <c r="D88" s="12" t="n"/>
      <c r="E88" s="13" t="n"/>
      <c r="F88" s="12" t="n"/>
      <c r="G88" s="14" t="n"/>
      <c r="H88" s="15" t="n"/>
      <c r="I88" s="16">
        <f>IF(G88="","",G88*(1-N(H88)))</f>
        <v/>
      </c>
      <c r="J88" s="16">
        <f>IF(I88="","",E88*I88)</f>
        <v/>
      </c>
      <c r="K88">
        <f>IF(D88="","",IFERROR(VLOOKUP(D88,'Ürün Eşleştirme'!$A$6:$D$505,2,FALSE),D88))</f>
        <v/>
      </c>
      <c r="L88" s="17">
        <f>IF(D88="","",IFERROR(VLOOKUP(D88,'Ürün Eşleştirme'!$A$6:$D$505,4,FALSE),1))</f>
        <v/>
      </c>
      <c r="M88" s="16">
        <f>IF(I88="","",I88/L88)</f>
        <v/>
      </c>
      <c r="N88" s="16">
        <f>IF(M88="","",IFERROR(AVERAGEIFS($M$10:$M$1009,$K$10:$K$1009,K88,$A$10:$A$1009,"&lt;"&amp;A88,$A$10:$A$1009,"&gt;="&amp;(A88-$C$6)),""))</f>
        <v/>
      </c>
      <c r="O88" s="16">
        <f>IF(M88="","",_xlfn.MINIFS($M$10:$M$1009,$K$10:$K$1009,K88,$A$10:$A$1009,"&lt;="&amp;A88,$A$10:$A$1009,"&gt;="&amp;(A88-$C$6)))</f>
        <v/>
      </c>
      <c r="P88" s="18">
        <f>IF(OR(N88="",N88=0),"",M88/N88-1)</f>
        <v/>
      </c>
      <c r="Q88">
        <f>IF(D88="","",IF(COUNTIFS($B$10:$B$1009,B88,$C$10:$C$1009,C88,$D$10:$D$1009,D88,$E$10:$E$1009,E88)&gt;1,"MÜKERRER?",IF(P88="","",IF(P88&gt;=$C$5,"İNCELE",IF(P88&lt;=-$C$5,"Düşük",""))))</f>
        <v/>
      </c>
      <c r="R88" s="16">
        <f>IF(AND(P88&lt;&gt;"",N(P88)&gt;=$C$5,COUNTIFS($B$10:B88,B88,$C$10:C88,C88,$D$10:D88,D88,$E$10:E88,E88)=1),(M88-N88)*E88*L88,0)</f>
        <v/>
      </c>
      <c r="S88" s="19">
        <f>IF(D88="",0,N(E88)*L88)</f>
        <v/>
      </c>
    </row>
    <row r="89">
      <c r="A89" s="11" t="n"/>
      <c r="B89" s="12" t="n"/>
      <c r="C89" s="12" t="n"/>
      <c r="D89" s="12" t="n"/>
      <c r="E89" s="13" t="n"/>
      <c r="F89" s="12" t="n"/>
      <c r="G89" s="14" t="n"/>
      <c r="H89" s="15" t="n"/>
      <c r="I89" s="16">
        <f>IF(G89="","",G89*(1-N(H89)))</f>
        <v/>
      </c>
      <c r="J89" s="16">
        <f>IF(I89="","",E89*I89)</f>
        <v/>
      </c>
      <c r="K89">
        <f>IF(D89="","",IFERROR(VLOOKUP(D89,'Ürün Eşleştirme'!$A$6:$D$505,2,FALSE),D89))</f>
        <v/>
      </c>
      <c r="L89" s="17">
        <f>IF(D89="","",IFERROR(VLOOKUP(D89,'Ürün Eşleştirme'!$A$6:$D$505,4,FALSE),1))</f>
        <v/>
      </c>
      <c r="M89" s="16">
        <f>IF(I89="","",I89/L89)</f>
        <v/>
      </c>
      <c r="N89" s="16">
        <f>IF(M89="","",IFERROR(AVERAGEIFS($M$10:$M$1009,$K$10:$K$1009,K89,$A$10:$A$1009,"&lt;"&amp;A89,$A$10:$A$1009,"&gt;="&amp;(A89-$C$6)),""))</f>
        <v/>
      </c>
      <c r="O89" s="16">
        <f>IF(M89="","",_xlfn.MINIFS($M$10:$M$1009,$K$10:$K$1009,K89,$A$10:$A$1009,"&lt;="&amp;A89,$A$10:$A$1009,"&gt;="&amp;(A89-$C$6)))</f>
        <v/>
      </c>
      <c r="P89" s="18">
        <f>IF(OR(N89="",N89=0),"",M89/N89-1)</f>
        <v/>
      </c>
      <c r="Q89">
        <f>IF(D89="","",IF(COUNTIFS($B$10:$B$1009,B89,$C$10:$C$1009,C89,$D$10:$D$1009,D89,$E$10:$E$1009,E89)&gt;1,"MÜKERRER?",IF(P89="","",IF(P89&gt;=$C$5,"İNCELE",IF(P89&lt;=-$C$5,"Düşük",""))))</f>
        <v/>
      </c>
      <c r="R89" s="16">
        <f>IF(AND(P89&lt;&gt;"",N(P89)&gt;=$C$5,COUNTIFS($B$10:B89,B89,$C$10:C89,C89,$D$10:D89,D89,$E$10:E89,E89)=1),(M89-N89)*E89*L89,0)</f>
        <v/>
      </c>
      <c r="S89" s="19">
        <f>IF(D89="",0,N(E89)*L89)</f>
        <v/>
      </c>
    </row>
    <row r="90">
      <c r="A90" s="11" t="n"/>
      <c r="B90" s="12" t="n"/>
      <c r="C90" s="12" t="n"/>
      <c r="D90" s="12" t="n"/>
      <c r="E90" s="13" t="n"/>
      <c r="F90" s="12" t="n"/>
      <c r="G90" s="14" t="n"/>
      <c r="H90" s="15" t="n"/>
      <c r="I90" s="16">
        <f>IF(G90="","",G90*(1-N(H90)))</f>
        <v/>
      </c>
      <c r="J90" s="16">
        <f>IF(I90="","",E90*I90)</f>
        <v/>
      </c>
      <c r="K90">
        <f>IF(D90="","",IFERROR(VLOOKUP(D90,'Ürün Eşleştirme'!$A$6:$D$505,2,FALSE),D90))</f>
        <v/>
      </c>
      <c r="L90" s="17">
        <f>IF(D90="","",IFERROR(VLOOKUP(D90,'Ürün Eşleştirme'!$A$6:$D$505,4,FALSE),1))</f>
        <v/>
      </c>
      <c r="M90" s="16">
        <f>IF(I90="","",I90/L90)</f>
        <v/>
      </c>
      <c r="N90" s="16">
        <f>IF(M90="","",IFERROR(AVERAGEIFS($M$10:$M$1009,$K$10:$K$1009,K90,$A$10:$A$1009,"&lt;"&amp;A90,$A$10:$A$1009,"&gt;="&amp;(A90-$C$6)),""))</f>
        <v/>
      </c>
      <c r="O90" s="16">
        <f>IF(M90="","",_xlfn.MINIFS($M$10:$M$1009,$K$10:$K$1009,K90,$A$10:$A$1009,"&lt;="&amp;A90,$A$10:$A$1009,"&gt;="&amp;(A90-$C$6)))</f>
        <v/>
      </c>
      <c r="P90" s="18">
        <f>IF(OR(N90="",N90=0),"",M90/N90-1)</f>
        <v/>
      </c>
      <c r="Q90">
        <f>IF(D90="","",IF(COUNTIFS($B$10:$B$1009,B90,$C$10:$C$1009,C90,$D$10:$D$1009,D90,$E$10:$E$1009,E90)&gt;1,"MÜKERRER?",IF(P90="","",IF(P90&gt;=$C$5,"İNCELE",IF(P90&lt;=-$C$5,"Düşük",""))))</f>
        <v/>
      </c>
      <c r="R90" s="16">
        <f>IF(AND(P90&lt;&gt;"",N(P90)&gt;=$C$5,COUNTIFS($B$10:B90,B90,$C$10:C90,C90,$D$10:D90,D90,$E$10:E90,E90)=1),(M90-N90)*E90*L90,0)</f>
        <v/>
      </c>
      <c r="S90" s="19">
        <f>IF(D90="",0,N(E90)*L90)</f>
        <v/>
      </c>
    </row>
    <row r="91">
      <c r="A91" s="11" t="n"/>
      <c r="B91" s="12" t="n"/>
      <c r="C91" s="12" t="n"/>
      <c r="D91" s="12" t="n"/>
      <c r="E91" s="13" t="n"/>
      <c r="F91" s="12" t="n"/>
      <c r="G91" s="14" t="n"/>
      <c r="H91" s="15" t="n"/>
      <c r="I91" s="16">
        <f>IF(G91="","",G91*(1-N(H91)))</f>
        <v/>
      </c>
      <c r="J91" s="16">
        <f>IF(I91="","",E91*I91)</f>
        <v/>
      </c>
      <c r="K91">
        <f>IF(D91="","",IFERROR(VLOOKUP(D91,'Ürün Eşleştirme'!$A$6:$D$505,2,FALSE),D91))</f>
        <v/>
      </c>
      <c r="L91" s="17">
        <f>IF(D91="","",IFERROR(VLOOKUP(D91,'Ürün Eşleştirme'!$A$6:$D$505,4,FALSE),1))</f>
        <v/>
      </c>
      <c r="M91" s="16">
        <f>IF(I91="","",I91/L91)</f>
        <v/>
      </c>
      <c r="N91" s="16">
        <f>IF(M91="","",IFERROR(AVERAGEIFS($M$10:$M$1009,$K$10:$K$1009,K91,$A$10:$A$1009,"&lt;"&amp;A91,$A$10:$A$1009,"&gt;="&amp;(A91-$C$6)),""))</f>
        <v/>
      </c>
      <c r="O91" s="16">
        <f>IF(M91="","",_xlfn.MINIFS($M$10:$M$1009,$K$10:$K$1009,K91,$A$10:$A$1009,"&lt;="&amp;A91,$A$10:$A$1009,"&gt;="&amp;(A91-$C$6)))</f>
        <v/>
      </c>
      <c r="P91" s="18">
        <f>IF(OR(N91="",N91=0),"",M91/N91-1)</f>
        <v/>
      </c>
      <c r="Q91">
        <f>IF(D91="","",IF(COUNTIFS($B$10:$B$1009,B91,$C$10:$C$1009,C91,$D$10:$D$1009,D91,$E$10:$E$1009,E91)&gt;1,"MÜKERRER?",IF(P91="","",IF(P91&gt;=$C$5,"İNCELE",IF(P91&lt;=-$C$5,"Düşük",""))))</f>
        <v/>
      </c>
      <c r="R91" s="16">
        <f>IF(AND(P91&lt;&gt;"",N(P91)&gt;=$C$5,COUNTIFS($B$10:B91,B91,$C$10:C91,C91,$D$10:D91,D91,$E$10:E91,E91)=1),(M91-N91)*E91*L91,0)</f>
        <v/>
      </c>
      <c r="S91" s="19">
        <f>IF(D91="",0,N(E91)*L91)</f>
        <v/>
      </c>
    </row>
    <row r="92">
      <c r="A92" s="11" t="n"/>
      <c r="B92" s="12" t="n"/>
      <c r="C92" s="12" t="n"/>
      <c r="D92" s="12" t="n"/>
      <c r="E92" s="13" t="n"/>
      <c r="F92" s="12" t="n"/>
      <c r="G92" s="14" t="n"/>
      <c r="H92" s="15" t="n"/>
      <c r="I92" s="16">
        <f>IF(G92="","",G92*(1-N(H92)))</f>
        <v/>
      </c>
      <c r="J92" s="16">
        <f>IF(I92="","",E92*I92)</f>
        <v/>
      </c>
      <c r="K92">
        <f>IF(D92="","",IFERROR(VLOOKUP(D92,'Ürün Eşleştirme'!$A$6:$D$505,2,FALSE),D92))</f>
        <v/>
      </c>
      <c r="L92" s="17">
        <f>IF(D92="","",IFERROR(VLOOKUP(D92,'Ürün Eşleştirme'!$A$6:$D$505,4,FALSE),1))</f>
        <v/>
      </c>
      <c r="M92" s="16">
        <f>IF(I92="","",I92/L92)</f>
        <v/>
      </c>
      <c r="N92" s="16">
        <f>IF(M92="","",IFERROR(AVERAGEIFS($M$10:$M$1009,$K$10:$K$1009,K92,$A$10:$A$1009,"&lt;"&amp;A92,$A$10:$A$1009,"&gt;="&amp;(A92-$C$6)),""))</f>
        <v/>
      </c>
      <c r="O92" s="16">
        <f>IF(M92="","",_xlfn.MINIFS($M$10:$M$1009,$K$10:$K$1009,K92,$A$10:$A$1009,"&lt;="&amp;A92,$A$10:$A$1009,"&gt;="&amp;(A92-$C$6)))</f>
        <v/>
      </c>
      <c r="P92" s="18">
        <f>IF(OR(N92="",N92=0),"",M92/N92-1)</f>
        <v/>
      </c>
      <c r="Q92">
        <f>IF(D92="","",IF(COUNTIFS($B$10:$B$1009,B92,$C$10:$C$1009,C92,$D$10:$D$1009,D92,$E$10:$E$1009,E92)&gt;1,"MÜKERRER?",IF(P92="","",IF(P92&gt;=$C$5,"İNCELE",IF(P92&lt;=-$C$5,"Düşük",""))))</f>
        <v/>
      </c>
      <c r="R92" s="16">
        <f>IF(AND(P92&lt;&gt;"",N(P92)&gt;=$C$5,COUNTIFS($B$10:B92,B92,$C$10:C92,C92,$D$10:D92,D92,$E$10:E92,E92)=1),(M92-N92)*E92*L92,0)</f>
        <v/>
      </c>
      <c r="S92" s="19">
        <f>IF(D92="",0,N(E92)*L92)</f>
        <v/>
      </c>
    </row>
    <row r="93">
      <c r="A93" s="11" t="n"/>
      <c r="B93" s="12" t="n"/>
      <c r="C93" s="12" t="n"/>
      <c r="D93" s="12" t="n"/>
      <c r="E93" s="13" t="n"/>
      <c r="F93" s="12" t="n"/>
      <c r="G93" s="14" t="n"/>
      <c r="H93" s="15" t="n"/>
      <c r="I93" s="16">
        <f>IF(G93="","",G93*(1-N(H93)))</f>
        <v/>
      </c>
      <c r="J93" s="16">
        <f>IF(I93="","",E93*I93)</f>
        <v/>
      </c>
      <c r="K93">
        <f>IF(D93="","",IFERROR(VLOOKUP(D93,'Ürün Eşleştirme'!$A$6:$D$505,2,FALSE),D93))</f>
        <v/>
      </c>
      <c r="L93" s="17">
        <f>IF(D93="","",IFERROR(VLOOKUP(D93,'Ürün Eşleştirme'!$A$6:$D$505,4,FALSE),1))</f>
        <v/>
      </c>
      <c r="M93" s="16">
        <f>IF(I93="","",I93/L93)</f>
        <v/>
      </c>
      <c r="N93" s="16">
        <f>IF(M93="","",IFERROR(AVERAGEIFS($M$10:$M$1009,$K$10:$K$1009,K93,$A$10:$A$1009,"&lt;"&amp;A93,$A$10:$A$1009,"&gt;="&amp;(A93-$C$6)),""))</f>
        <v/>
      </c>
      <c r="O93" s="16">
        <f>IF(M93="","",_xlfn.MINIFS($M$10:$M$1009,$K$10:$K$1009,K93,$A$10:$A$1009,"&lt;="&amp;A93,$A$10:$A$1009,"&gt;="&amp;(A93-$C$6)))</f>
        <v/>
      </c>
      <c r="P93" s="18">
        <f>IF(OR(N93="",N93=0),"",M93/N93-1)</f>
        <v/>
      </c>
      <c r="Q93">
        <f>IF(D93="","",IF(COUNTIFS($B$10:$B$1009,B93,$C$10:$C$1009,C93,$D$10:$D$1009,D93,$E$10:$E$1009,E93)&gt;1,"MÜKERRER?",IF(P93="","",IF(P93&gt;=$C$5,"İNCELE",IF(P93&lt;=-$C$5,"Düşük",""))))</f>
        <v/>
      </c>
      <c r="R93" s="16">
        <f>IF(AND(P93&lt;&gt;"",N(P93)&gt;=$C$5,COUNTIFS($B$10:B93,B93,$C$10:C93,C93,$D$10:D93,D93,$E$10:E93,E93)=1),(M93-N93)*E93*L93,0)</f>
        <v/>
      </c>
      <c r="S93" s="19">
        <f>IF(D93="",0,N(E93)*L93)</f>
        <v/>
      </c>
    </row>
    <row r="94">
      <c r="A94" s="11" t="n"/>
      <c r="B94" s="12" t="n"/>
      <c r="C94" s="12" t="n"/>
      <c r="D94" s="12" t="n"/>
      <c r="E94" s="13" t="n"/>
      <c r="F94" s="12" t="n"/>
      <c r="G94" s="14" t="n"/>
      <c r="H94" s="15" t="n"/>
      <c r="I94" s="16">
        <f>IF(G94="","",G94*(1-N(H94)))</f>
        <v/>
      </c>
      <c r="J94" s="16">
        <f>IF(I94="","",E94*I94)</f>
        <v/>
      </c>
      <c r="K94">
        <f>IF(D94="","",IFERROR(VLOOKUP(D94,'Ürün Eşleştirme'!$A$6:$D$505,2,FALSE),D94))</f>
        <v/>
      </c>
      <c r="L94" s="17">
        <f>IF(D94="","",IFERROR(VLOOKUP(D94,'Ürün Eşleştirme'!$A$6:$D$505,4,FALSE),1))</f>
        <v/>
      </c>
      <c r="M94" s="16">
        <f>IF(I94="","",I94/L94)</f>
        <v/>
      </c>
      <c r="N94" s="16">
        <f>IF(M94="","",IFERROR(AVERAGEIFS($M$10:$M$1009,$K$10:$K$1009,K94,$A$10:$A$1009,"&lt;"&amp;A94,$A$10:$A$1009,"&gt;="&amp;(A94-$C$6)),""))</f>
        <v/>
      </c>
      <c r="O94" s="16">
        <f>IF(M94="","",_xlfn.MINIFS($M$10:$M$1009,$K$10:$K$1009,K94,$A$10:$A$1009,"&lt;="&amp;A94,$A$10:$A$1009,"&gt;="&amp;(A94-$C$6)))</f>
        <v/>
      </c>
      <c r="P94" s="18">
        <f>IF(OR(N94="",N94=0),"",M94/N94-1)</f>
        <v/>
      </c>
      <c r="Q94">
        <f>IF(D94="","",IF(COUNTIFS($B$10:$B$1009,B94,$C$10:$C$1009,C94,$D$10:$D$1009,D94,$E$10:$E$1009,E94)&gt;1,"MÜKERRER?",IF(P94="","",IF(P94&gt;=$C$5,"İNCELE",IF(P94&lt;=-$C$5,"Düşük",""))))</f>
        <v/>
      </c>
      <c r="R94" s="16">
        <f>IF(AND(P94&lt;&gt;"",N(P94)&gt;=$C$5,COUNTIFS($B$10:B94,B94,$C$10:C94,C94,$D$10:D94,D94,$E$10:E94,E94)=1),(M94-N94)*E94*L94,0)</f>
        <v/>
      </c>
      <c r="S94" s="19">
        <f>IF(D94="",0,N(E94)*L94)</f>
        <v/>
      </c>
    </row>
    <row r="95">
      <c r="A95" s="11" t="n"/>
      <c r="B95" s="12" t="n"/>
      <c r="C95" s="12" t="n"/>
      <c r="D95" s="12" t="n"/>
      <c r="E95" s="13" t="n"/>
      <c r="F95" s="12" t="n"/>
      <c r="G95" s="14" t="n"/>
      <c r="H95" s="15" t="n"/>
      <c r="I95" s="16">
        <f>IF(G95="","",G95*(1-N(H95)))</f>
        <v/>
      </c>
      <c r="J95" s="16">
        <f>IF(I95="","",E95*I95)</f>
        <v/>
      </c>
      <c r="K95">
        <f>IF(D95="","",IFERROR(VLOOKUP(D95,'Ürün Eşleştirme'!$A$6:$D$505,2,FALSE),D95))</f>
        <v/>
      </c>
      <c r="L95" s="17">
        <f>IF(D95="","",IFERROR(VLOOKUP(D95,'Ürün Eşleştirme'!$A$6:$D$505,4,FALSE),1))</f>
        <v/>
      </c>
      <c r="M95" s="16">
        <f>IF(I95="","",I95/L95)</f>
        <v/>
      </c>
      <c r="N95" s="16">
        <f>IF(M95="","",IFERROR(AVERAGEIFS($M$10:$M$1009,$K$10:$K$1009,K95,$A$10:$A$1009,"&lt;"&amp;A95,$A$10:$A$1009,"&gt;="&amp;(A95-$C$6)),""))</f>
        <v/>
      </c>
      <c r="O95" s="16">
        <f>IF(M95="","",_xlfn.MINIFS($M$10:$M$1009,$K$10:$K$1009,K95,$A$10:$A$1009,"&lt;="&amp;A95,$A$10:$A$1009,"&gt;="&amp;(A95-$C$6)))</f>
        <v/>
      </c>
      <c r="P95" s="18">
        <f>IF(OR(N95="",N95=0),"",M95/N95-1)</f>
        <v/>
      </c>
      <c r="Q95">
        <f>IF(D95="","",IF(COUNTIFS($B$10:$B$1009,B95,$C$10:$C$1009,C95,$D$10:$D$1009,D95,$E$10:$E$1009,E95)&gt;1,"MÜKERRER?",IF(P95="","",IF(P95&gt;=$C$5,"İNCELE",IF(P95&lt;=-$C$5,"Düşük",""))))</f>
        <v/>
      </c>
      <c r="R95" s="16">
        <f>IF(AND(P95&lt;&gt;"",N(P95)&gt;=$C$5,COUNTIFS($B$10:B95,B95,$C$10:C95,C95,$D$10:D95,D95,$E$10:E95,E95)=1),(M95-N95)*E95*L95,0)</f>
        <v/>
      </c>
      <c r="S95" s="19">
        <f>IF(D95="",0,N(E95)*L95)</f>
        <v/>
      </c>
    </row>
    <row r="96">
      <c r="A96" s="11" t="n"/>
      <c r="B96" s="12" t="n"/>
      <c r="C96" s="12" t="n"/>
      <c r="D96" s="12" t="n"/>
      <c r="E96" s="13" t="n"/>
      <c r="F96" s="12" t="n"/>
      <c r="G96" s="14" t="n"/>
      <c r="H96" s="15" t="n"/>
      <c r="I96" s="16">
        <f>IF(G96="","",G96*(1-N(H96)))</f>
        <v/>
      </c>
      <c r="J96" s="16">
        <f>IF(I96="","",E96*I96)</f>
        <v/>
      </c>
      <c r="K96">
        <f>IF(D96="","",IFERROR(VLOOKUP(D96,'Ürün Eşleştirme'!$A$6:$D$505,2,FALSE),D96))</f>
        <v/>
      </c>
      <c r="L96" s="17">
        <f>IF(D96="","",IFERROR(VLOOKUP(D96,'Ürün Eşleştirme'!$A$6:$D$505,4,FALSE),1))</f>
        <v/>
      </c>
      <c r="M96" s="16">
        <f>IF(I96="","",I96/L96)</f>
        <v/>
      </c>
      <c r="N96" s="16">
        <f>IF(M96="","",IFERROR(AVERAGEIFS($M$10:$M$1009,$K$10:$K$1009,K96,$A$10:$A$1009,"&lt;"&amp;A96,$A$10:$A$1009,"&gt;="&amp;(A96-$C$6)),""))</f>
        <v/>
      </c>
      <c r="O96" s="16">
        <f>IF(M96="","",_xlfn.MINIFS($M$10:$M$1009,$K$10:$K$1009,K96,$A$10:$A$1009,"&lt;="&amp;A96,$A$10:$A$1009,"&gt;="&amp;(A96-$C$6)))</f>
        <v/>
      </c>
      <c r="P96" s="18">
        <f>IF(OR(N96="",N96=0),"",M96/N96-1)</f>
        <v/>
      </c>
      <c r="Q96">
        <f>IF(D96="","",IF(COUNTIFS($B$10:$B$1009,B96,$C$10:$C$1009,C96,$D$10:$D$1009,D96,$E$10:$E$1009,E96)&gt;1,"MÜKERRER?",IF(P96="","",IF(P96&gt;=$C$5,"İNCELE",IF(P96&lt;=-$C$5,"Düşük",""))))</f>
        <v/>
      </c>
      <c r="R96" s="16">
        <f>IF(AND(P96&lt;&gt;"",N(P96)&gt;=$C$5,COUNTIFS($B$10:B96,B96,$C$10:C96,C96,$D$10:D96,D96,$E$10:E96,E96)=1),(M96-N96)*E96*L96,0)</f>
        <v/>
      </c>
      <c r="S96" s="19">
        <f>IF(D96="",0,N(E96)*L96)</f>
        <v/>
      </c>
    </row>
    <row r="97">
      <c r="A97" s="11" t="n"/>
      <c r="B97" s="12" t="n"/>
      <c r="C97" s="12" t="n"/>
      <c r="D97" s="12" t="n"/>
      <c r="E97" s="13" t="n"/>
      <c r="F97" s="12" t="n"/>
      <c r="G97" s="14" t="n"/>
      <c r="H97" s="15" t="n"/>
      <c r="I97" s="16">
        <f>IF(G97="","",G97*(1-N(H97)))</f>
        <v/>
      </c>
      <c r="J97" s="16">
        <f>IF(I97="","",E97*I97)</f>
        <v/>
      </c>
      <c r="K97">
        <f>IF(D97="","",IFERROR(VLOOKUP(D97,'Ürün Eşleştirme'!$A$6:$D$505,2,FALSE),D97))</f>
        <v/>
      </c>
      <c r="L97" s="17">
        <f>IF(D97="","",IFERROR(VLOOKUP(D97,'Ürün Eşleştirme'!$A$6:$D$505,4,FALSE),1))</f>
        <v/>
      </c>
      <c r="M97" s="16">
        <f>IF(I97="","",I97/L97)</f>
        <v/>
      </c>
      <c r="N97" s="16">
        <f>IF(M97="","",IFERROR(AVERAGEIFS($M$10:$M$1009,$K$10:$K$1009,K97,$A$10:$A$1009,"&lt;"&amp;A97,$A$10:$A$1009,"&gt;="&amp;(A97-$C$6)),""))</f>
        <v/>
      </c>
      <c r="O97" s="16">
        <f>IF(M97="","",_xlfn.MINIFS($M$10:$M$1009,$K$10:$K$1009,K97,$A$10:$A$1009,"&lt;="&amp;A97,$A$10:$A$1009,"&gt;="&amp;(A97-$C$6)))</f>
        <v/>
      </c>
      <c r="P97" s="18">
        <f>IF(OR(N97="",N97=0),"",M97/N97-1)</f>
        <v/>
      </c>
      <c r="Q97">
        <f>IF(D97="","",IF(COUNTIFS($B$10:$B$1009,B97,$C$10:$C$1009,C97,$D$10:$D$1009,D97,$E$10:$E$1009,E97)&gt;1,"MÜKERRER?",IF(P97="","",IF(P97&gt;=$C$5,"İNCELE",IF(P97&lt;=-$C$5,"Düşük",""))))</f>
        <v/>
      </c>
      <c r="R97" s="16">
        <f>IF(AND(P97&lt;&gt;"",N(P97)&gt;=$C$5,COUNTIFS($B$10:B97,B97,$C$10:C97,C97,$D$10:D97,D97,$E$10:E97,E97)=1),(M97-N97)*E97*L97,0)</f>
        <v/>
      </c>
      <c r="S97" s="19">
        <f>IF(D97="",0,N(E97)*L97)</f>
        <v/>
      </c>
    </row>
    <row r="98">
      <c r="A98" s="11" t="n"/>
      <c r="B98" s="12" t="n"/>
      <c r="C98" s="12" t="n"/>
      <c r="D98" s="12" t="n"/>
      <c r="E98" s="13" t="n"/>
      <c r="F98" s="12" t="n"/>
      <c r="G98" s="14" t="n"/>
      <c r="H98" s="15" t="n"/>
      <c r="I98" s="16">
        <f>IF(G98="","",G98*(1-N(H98)))</f>
        <v/>
      </c>
      <c r="J98" s="16">
        <f>IF(I98="","",E98*I98)</f>
        <v/>
      </c>
      <c r="K98">
        <f>IF(D98="","",IFERROR(VLOOKUP(D98,'Ürün Eşleştirme'!$A$6:$D$505,2,FALSE),D98))</f>
        <v/>
      </c>
      <c r="L98" s="17">
        <f>IF(D98="","",IFERROR(VLOOKUP(D98,'Ürün Eşleştirme'!$A$6:$D$505,4,FALSE),1))</f>
        <v/>
      </c>
      <c r="M98" s="16">
        <f>IF(I98="","",I98/L98)</f>
        <v/>
      </c>
      <c r="N98" s="16">
        <f>IF(M98="","",IFERROR(AVERAGEIFS($M$10:$M$1009,$K$10:$K$1009,K98,$A$10:$A$1009,"&lt;"&amp;A98,$A$10:$A$1009,"&gt;="&amp;(A98-$C$6)),""))</f>
        <v/>
      </c>
      <c r="O98" s="16">
        <f>IF(M98="","",_xlfn.MINIFS($M$10:$M$1009,$K$10:$K$1009,K98,$A$10:$A$1009,"&lt;="&amp;A98,$A$10:$A$1009,"&gt;="&amp;(A98-$C$6)))</f>
        <v/>
      </c>
      <c r="P98" s="18">
        <f>IF(OR(N98="",N98=0),"",M98/N98-1)</f>
        <v/>
      </c>
      <c r="Q98">
        <f>IF(D98="","",IF(COUNTIFS($B$10:$B$1009,B98,$C$10:$C$1009,C98,$D$10:$D$1009,D98,$E$10:$E$1009,E98)&gt;1,"MÜKERRER?",IF(P98="","",IF(P98&gt;=$C$5,"İNCELE",IF(P98&lt;=-$C$5,"Düşük",""))))</f>
        <v/>
      </c>
      <c r="R98" s="16">
        <f>IF(AND(P98&lt;&gt;"",N(P98)&gt;=$C$5,COUNTIFS($B$10:B98,B98,$C$10:C98,C98,$D$10:D98,D98,$E$10:E98,E98)=1),(M98-N98)*E98*L98,0)</f>
        <v/>
      </c>
      <c r="S98" s="19">
        <f>IF(D98="",0,N(E98)*L98)</f>
        <v/>
      </c>
    </row>
    <row r="99">
      <c r="A99" s="11" t="n"/>
      <c r="B99" s="12" t="n"/>
      <c r="C99" s="12" t="n"/>
      <c r="D99" s="12" t="n"/>
      <c r="E99" s="13" t="n"/>
      <c r="F99" s="12" t="n"/>
      <c r="G99" s="14" t="n"/>
      <c r="H99" s="15" t="n"/>
      <c r="I99" s="16">
        <f>IF(G99="","",G99*(1-N(H99)))</f>
        <v/>
      </c>
      <c r="J99" s="16">
        <f>IF(I99="","",E99*I99)</f>
        <v/>
      </c>
      <c r="K99">
        <f>IF(D99="","",IFERROR(VLOOKUP(D99,'Ürün Eşleştirme'!$A$6:$D$505,2,FALSE),D99))</f>
        <v/>
      </c>
      <c r="L99" s="17">
        <f>IF(D99="","",IFERROR(VLOOKUP(D99,'Ürün Eşleştirme'!$A$6:$D$505,4,FALSE),1))</f>
        <v/>
      </c>
      <c r="M99" s="16">
        <f>IF(I99="","",I99/L99)</f>
        <v/>
      </c>
      <c r="N99" s="16">
        <f>IF(M99="","",IFERROR(AVERAGEIFS($M$10:$M$1009,$K$10:$K$1009,K99,$A$10:$A$1009,"&lt;"&amp;A99,$A$10:$A$1009,"&gt;="&amp;(A99-$C$6)),""))</f>
        <v/>
      </c>
      <c r="O99" s="16">
        <f>IF(M99="","",_xlfn.MINIFS($M$10:$M$1009,$K$10:$K$1009,K99,$A$10:$A$1009,"&lt;="&amp;A99,$A$10:$A$1009,"&gt;="&amp;(A99-$C$6)))</f>
        <v/>
      </c>
      <c r="P99" s="18">
        <f>IF(OR(N99="",N99=0),"",M99/N99-1)</f>
        <v/>
      </c>
      <c r="Q99">
        <f>IF(D99="","",IF(COUNTIFS($B$10:$B$1009,B99,$C$10:$C$1009,C99,$D$10:$D$1009,D99,$E$10:$E$1009,E99)&gt;1,"MÜKERRER?",IF(P99="","",IF(P99&gt;=$C$5,"İNCELE",IF(P99&lt;=-$C$5,"Düşük",""))))</f>
        <v/>
      </c>
      <c r="R99" s="16">
        <f>IF(AND(P99&lt;&gt;"",N(P99)&gt;=$C$5,COUNTIFS($B$10:B99,B99,$C$10:C99,C99,$D$10:D99,D99,$E$10:E99,E99)=1),(M99-N99)*E99*L99,0)</f>
        <v/>
      </c>
      <c r="S99" s="19">
        <f>IF(D99="",0,N(E99)*L99)</f>
        <v/>
      </c>
    </row>
    <row r="100">
      <c r="A100" s="11" t="n"/>
      <c r="B100" s="12" t="n"/>
      <c r="C100" s="12" t="n"/>
      <c r="D100" s="12" t="n"/>
      <c r="E100" s="13" t="n"/>
      <c r="F100" s="12" t="n"/>
      <c r="G100" s="14" t="n"/>
      <c r="H100" s="15" t="n"/>
      <c r="I100" s="16">
        <f>IF(G100="","",G100*(1-N(H100)))</f>
        <v/>
      </c>
      <c r="J100" s="16">
        <f>IF(I100="","",E100*I100)</f>
        <v/>
      </c>
      <c r="K100">
        <f>IF(D100="","",IFERROR(VLOOKUP(D100,'Ürün Eşleştirme'!$A$6:$D$505,2,FALSE),D100))</f>
        <v/>
      </c>
      <c r="L100" s="17">
        <f>IF(D100="","",IFERROR(VLOOKUP(D100,'Ürün Eşleştirme'!$A$6:$D$505,4,FALSE),1))</f>
        <v/>
      </c>
      <c r="M100" s="16">
        <f>IF(I100="","",I100/L100)</f>
        <v/>
      </c>
      <c r="N100" s="16">
        <f>IF(M100="","",IFERROR(AVERAGEIFS($M$10:$M$1009,$K$10:$K$1009,K100,$A$10:$A$1009,"&lt;"&amp;A100,$A$10:$A$1009,"&gt;="&amp;(A100-$C$6)),""))</f>
        <v/>
      </c>
      <c r="O100" s="16">
        <f>IF(M100="","",_xlfn.MINIFS($M$10:$M$1009,$K$10:$K$1009,K100,$A$10:$A$1009,"&lt;="&amp;A100,$A$10:$A$1009,"&gt;="&amp;(A100-$C$6)))</f>
        <v/>
      </c>
      <c r="P100" s="18">
        <f>IF(OR(N100="",N100=0),"",M100/N100-1)</f>
        <v/>
      </c>
      <c r="Q100">
        <f>IF(D100="","",IF(COUNTIFS($B$10:$B$1009,B100,$C$10:$C$1009,C100,$D$10:$D$1009,D100,$E$10:$E$1009,E100)&gt;1,"MÜKERRER?",IF(P100="","",IF(P100&gt;=$C$5,"İNCELE",IF(P100&lt;=-$C$5,"Düşük",""))))</f>
        <v/>
      </c>
      <c r="R100" s="16">
        <f>IF(AND(P100&lt;&gt;"",N(P100)&gt;=$C$5,COUNTIFS($B$10:B100,B100,$C$10:C100,C100,$D$10:D100,D100,$E$10:E100,E100)=1),(M100-N100)*E100*L100,0)</f>
        <v/>
      </c>
      <c r="S100" s="19">
        <f>IF(D100="",0,N(E100)*L100)</f>
        <v/>
      </c>
    </row>
    <row r="101">
      <c r="A101" s="11" t="n"/>
      <c r="B101" s="12" t="n"/>
      <c r="C101" s="12" t="n"/>
      <c r="D101" s="12" t="n"/>
      <c r="E101" s="13" t="n"/>
      <c r="F101" s="12" t="n"/>
      <c r="G101" s="14" t="n"/>
      <c r="H101" s="15" t="n"/>
      <c r="I101" s="16">
        <f>IF(G101="","",G101*(1-N(H101)))</f>
        <v/>
      </c>
      <c r="J101" s="16">
        <f>IF(I101="","",E101*I101)</f>
        <v/>
      </c>
      <c r="K101">
        <f>IF(D101="","",IFERROR(VLOOKUP(D101,'Ürün Eşleştirme'!$A$6:$D$505,2,FALSE),D101))</f>
        <v/>
      </c>
      <c r="L101" s="17">
        <f>IF(D101="","",IFERROR(VLOOKUP(D101,'Ürün Eşleştirme'!$A$6:$D$505,4,FALSE),1))</f>
        <v/>
      </c>
      <c r="M101" s="16">
        <f>IF(I101="","",I101/L101)</f>
        <v/>
      </c>
      <c r="N101" s="16">
        <f>IF(M101="","",IFERROR(AVERAGEIFS($M$10:$M$1009,$K$10:$K$1009,K101,$A$10:$A$1009,"&lt;"&amp;A101,$A$10:$A$1009,"&gt;="&amp;(A101-$C$6)),""))</f>
        <v/>
      </c>
      <c r="O101" s="16">
        <f>IF(M101="","",_xlfn.MINIFS($M$10:$M$1009,$K$10:$K$1009,K101,$A$10:$A$1009,"&lt;="&amp;A101,$A$10:$A$1009,"&gt;="&amp;(A101-$C$6)))</f>
        <v/>
      </c>
      <c r="P101" s="18">
        <f>IF(OR(N101="",N101=0),"",M101/N101-1)</f>
        <v/>
      </c>
      <c r="Q101">
        <f>IF(D101="","",IF(COUNTIFS($B$10:$B$1009,B101,$C$10:$C$1009,C101,$D$10:$D$1009,D101,$E$10:$E$1009,E101)&gt;1,"MÜKERRER?",IF(P101="","",IF(P101&gt;=$C$5,"İNCELE",IF(P101&lt;=-$C$5,"Düşük",""))))</f>
        <v/>
      </c>
      <c r="R101" s="16">
        <f>IF(AND(P101&lt;&gt;"",N(P101)&gt;=$C$5,COUNTIFS($B$10:B101,B101,$C$10:C101,C101,$D$10:D101,D101,$E$10:E101,E101)=1),(M101-N101)*E101*L101,0)</f>
        <v/>
      </c>
      <c r="S101" s="19">
        <f>IF(D101="",0,N(E101)*L101)</f>
        <v/>
      </c>
    </row>
    <row r="102">
      <c r="A102" s="11" t="n"/>
      <c r="B102" s="12" t="n"/>
      <c r="C102" s="12" t="n"/>
      <c r="D102" s="12" t="n"/>
      <c r="E102" s="13" t="n"/>
      <c r="F102" s="12" t="n"/>
      <c r="G102" s="14" t="n"/>
      <c r="H102" s="15" t="n"/>
      <c r="I102" s="16">
        <f>IF(G102="","",G102*(1-N(H102)))</f>
        <v/>
      </c>
      <c r="J102" s="16">
        <f>IF(I102="","",E102*I102)</f>
        <v/>
      </c>
      <c r="K102">
        <f>IF(D102="","",IFERROR(VLOOKUP(D102,'Ürün Eşleştirme'!$A$6:$D$505,2,FALSE),D102))</f>
        <v/>
      </c>
      <c r="L102" s="17">
        <f>IF(D102="","",IFERROR(VLOOKUP(D102,'Ürün Eşleştirme'!$A$6:$D$505,4,FALSE),1))</f>
        <v/>
      </c>
      <c r="M102" s="16">
        <f>IF(I102="","",I102/L102)</f>
        <v/>
      </c>
      <c r="N102" s="16">
        <f>IF(M102="","",IFERROR(AVERAGEIFS($M$10:$M$1009,$K$10:$K$1009,K102,$A$10:$A$1009,"&lt;"&amp;A102,$A$10:$A$1009,"&gt;="&amp;(A102-$C$6)),""))</f>
        <v/>
      </c>
      <c r="O102" s="16">
        <f>IF(M102="","",_xlfn.MINIFS($M$10:$M$1009,$K$10:$K$1009,K102,$A$10:$A$1009,"&lt;="&amp;A102,$A$10:$A$1009,"&gt;="&amp;(A102-$C$6)))</f>
        <v/>
      </c>
      <c r="P102" s="18">
        <f>IF(OR(N102="",N102=0),"",M102/N102-1)</f>
        <v/>
      </c>
      <c r="Q102">
        <f>IF(D102="","",IF(COUNTIFS($B$10:$B$1009,B102,$C$10:$C$1009,C102,$D$10:$D$1009,D102,$E$10:$E$1009,E102)&gt;1,"MÜKERRER?",IF(P102="","",IF(P102&gt;=$C$5,"İNCELE",IF(P102&lt;=-$C$5,"Düşük",""))))</f>
        <v/>
      </c>
      <c r="R102" s="16">
        <f>IF(AND(P102&lt;&gt;"",N(P102)&gt;=$C$5,COUNTIFS($B$10:B102,B102,$C$10:C102,C102,$D$10:D102,D102,$E$10:E102,E102)=1),(M102-N102)*E102*L102,0)</f>
        <v/>
      </c>
      <c r="S102" s="19">
        <f>IF(D102="",0,N(E102)*L102)</f>
        <v/>
      </c>
    </row>
    <row r="103">
      <c r="A103" s="11" t="n"/>
      <c r="B103" s="12" t="n"/>
      <c r="C103" s="12" t="n"/>
      <c r="D103" s="12" t="n"/>
      <c r="E103" s="13" t="n"/>
      <c r="F103" s="12" t="n"/>
      <c r="G103" s="14" t="n"/>
      <c r="H103" s="15" t="n"/>
      <c r="I103" s="16">
        <f>IF(G103="","",G103*(1-N(H103)))</f>
        <v/>
      </c>
      <c r="J103" s="16">
        <f>IF(I103="","",E103*I103)</f>
        <v/>
      </c>
      <c r="K103">
        <f>IF(D103="","",IFERROR(VLOOKUP(D103,'Ürün Eşleştirme'!$A$6:$D$505,2,FALSE),D103))</f>
        <v/>
      </c>
      <c r="L103" s="17">
        <f>IF(D103="","",IFERROR(VLOOKUP(D103,'Ürün Eşleştirme'!$A$6:$D$505,4,FALSE),1))</f>
        <v/>
      </c>
      <c r="M103" s="16">
        <f>IF(I103="","",I103/L103)</f>
        <v/>
      </c>
      <c r="N103" s="16">
        <f>IF(M103="","",IFERROR(AVERAGEIFS($M$10:$M$1009,$K$10:$K$1009,K103,$A$10:$A$1009,"&lt;"&amp;A103,$A$10:$A$1009,"&gt;="&amp;(A103-$C$6)),""))</f>
        <v/>
      </c>
      <c r="O103" s="16">
        <f>IF(M103="","",_xlfn.MINIFS($M$10:$M$1009,$K$10:$K$1009,K103,$A$10:$A$1009,"&lt;="&amp;A103,$A$10:$A$1009,"&gt;="&amp;(A103-$C$6)))</f>
        <v/>
      </c>
      <c r="P103" s="18">
        <f>IF(OR(N103="",N103=0),"",M103/N103-1)</f>
        <v/>
      </c>
      <c r="Q103">
        <f>IF(D103="","",IF(COUNTIFS($B$10:$B$1009,B103,$C$10:$C$1009,C103,$D$10:$D$1009,D103,$E$10:$E$1009,E103)&gt;1,"MÜKERRER?",IF(P103="","",IF(P103&gt;=$C$5,"İNCELE",IF(P103&lt;=-$C$5,"Düşük",""))))</f>
        <v/>
      </c>
      <c r="R103" s="16">
        <f>IF(AND(P103&lt;&gt;"",N(P103)&gt;=$C$5,COUNTIFS($B$10:B103,B103,$C$10:C103,C103,$D$10:D103,D103,$E$10:E103,E103)=1),(M103-N103)*E103*L103,0)</f>
        <v/>
      </c>
      <c r="S103" s="19">
        <f>IF(D103="",0,N(E103)*L103)</f>
        <v/>
      </c>
    </row>
    <row r="104">
      <c r="A104" s="11" t="n"/>
      <c r="B104" s="12" t="n"/>
      <c r="C104" s="12" t="n"/>
      <c r="D104" s="12" t="n"/>
      <c r="E104" s="13" t="n"/>
      <c r="F104" s="12" t="n"/>
      <c r="G104" s="14" t="n"/>
      <c r="H104" s="15" t="n"/>
      <c r="I104" s="16">
        <f>IF(G104="","",G104*(1-N(H104)))</f>
        <v/>
      </c>
      <c r="J104" s="16">
        <f>IF(I104="","",E104*I104)</f>
        <v/>
      </c>
      <c r="K104">
        <f>IF(D104="","",IFERROR(VLOOKUP(D104,'Ürün Eşleştirme'!$A$6:$D$505,2,FALSE),D104))</f>
        <v/>
      </c>
      <c r="L104" s="17">
        <f>IF(D104="","",IFERROR(VLOOKUP(D104,'Ürün Eşleştirme'!$A$6:$D$505,4,FALSE),1))</f>
        <v/>
      </c>
      <c r="M104" s="16">
        <f>IF(I104="","",I104/L104)</f>
        <v/>
      </c>
      <c r="N104" s="16">
        <f>IF(M104="","",IFERROR(AVERAGEIFS($M$10:$M$1009,$K$10:$K$1009,K104,$A$10:$A$1009,"&lt;"&amp;A104,$A$10:$A$1009,"&gt;="&amp;(A104-$C$6)),""))</f>
        <v/>
      </c>
      <c r="O104" s="16">
        <f>IF(M104="","",_xlfn.MINIFS($M$10:$M$1009,$K$10:$K$1009,K104,$A$10:$A$1009,"&lt;="&amp;A104,$A$10:$A$1009,"&gt;="&amp;(A104-$C$6)))</f>
        <v/>
      </c>
      <c r="P104" s="18">
        <f>IF(OR(N104="",N104=0),"",M104/N104-1)</f>
        <v/>
      </c>
      <c r="Q104">
        <f>IF(D104="","",IF(COUNTIFS($B$10:$B$1009,B104,$C$10:$C$1009,C104,$D$10:$D$1009,D104,$E$10:$E$1009,E104)&gt;1,"MÜKERRER?",IF(P104="","",IF(P104&gt;=$C$5,"İNCELE",IF(P104&lt;=-$C$5,"Düşük",""))))</f>
        <v/>
      </c>
      <c r="R104" s="16">
        <f>IF(AND(P104&lt;&gt;"",N(P104)&gt;=$C$5,COUNTIFS($B$10:B104,B104,$C$10:C104,C104,$D$10:D104,D104,$E$10:E104,E104)=1),(M104-N104)*E104*L104,0)</f>
        <v/>
      </c>
      <c r="S104" s="19">
        <f>IF(D104="",0,N(E104)*L104)</f>
        <v/>
      </c>
    </row>
    <row r="105">
      <c r="A105" s="11" t="n"/>
      <c r="B105" s="12" t="n"/>
      <c r="C105" s="12" t="n"/>
      <c r="D105" s="12" t="n"/>
      <c r="E105" s="13" t="n"/>
      <c r="F105" s="12" t="n"/>
      <c r="G105" s="14" t="n"/>
      <c r="H105" s="15" t="n"/>
      <c r="I105" s="16">
        <f>IF(G105="","",G105*(1-N(H105)))</f>
        <v/>
      </c>
      <c r="J105" s="16">
        <f>IF(I105="","",E105*I105)</f>
        <v/>
      </c>
      <c r="K105">
        <f>IF(D105="","",IFERROR(VLOOKUP(D105,'Ürün Eşleştirme'!$A$6:$D$505,2,FALSE),D105))</f>
        <v/>
      </c>
      <c r="L105" s="17">
        <f>IF(D105="","",IFERROR(VLOOKUP(D105,'Ürün Eşleştirme'!$A$6:$D$505,4,FALSE),1))</f>
        <v/>
      </c>
      <c r="M105" s="16">
        <f>IF(I105="","",I105/L105)</f>
        <v/>
      </c>
      <c r="N105" s="16">
        <f>IF(M105="","",IFERROR(AVERAGEIFS($M$10:$M$1009,$K$10:$K$1009,K105,$A$10:$A$1009,"&lt;"&amp;A105,$A$10:$A$1009,"&gt;="&amp;(A105-$C$6)),""))</f>
        <v/>
      </c>
      <c r="O105" s="16">
        <f>IF(M105="","",_xlfn.MINIFS($M$10:$M$1009,$K$10:$K$1009,K105,$A$10:$A$1009,"&lt;="&amp;A105,$A$10:$A$1009,"&gt;="&amp;(A105-$C$6)))</f>
        <v/>
      </c>
      <c r="P105" s="18">
        <f>IF(OR(N105="",N105=0),"",M105/N105-1)</f>
        <v/>
      </c>
      <c r="Q105">
        <f>IF(D105="","",IF(COUNTIFS($B$10:$B$1009,B105,$C$10:$C$1009,C105,$D$10:$D$1009,D105,$E$10:$E$1009,E105)&gt;1,"MÜKERRER?",IF(P105="","",IF(P105&gt;=$C$5,"İNCELE",IF(P105&lt;=-$C$5,"Düşük",""))))</f>
        <v/>
      </c>
      <c r="R105" s="16">
        <f>IF(AND(P105&lt;&gt;"",N(P105)&gt;=$C$5,COUNTIFS($B$10:B105,B105,$C$10:C105,C105,$D$10:D105,D105,$E$10:E105,E105)=1),(M105-N105)*E105*L105,0)</f>
        <v/>
      </c>
      <c r="S105" s="19">
        <f>IF(D105="",0,N(E105)*L105)</f>
        <v/>
      </c>
    </row>
    <row r="106">
      <c r="A106" s="11" t="n"/>
      <c r="B106" s="12" t="n"/>
      <c r="C106" s="12" t="n"/>
      <c r="D106" s="12" t="n"/>
      <c r="E106" s="13" t="n"/>
      <c r="F106" s="12" t="n"/>
      <c r="G106" s="14" t="n"/>
      <c r="H106" s="15" t="n"/>
      <c r="I106" s="16">
        <f>IF(G106="","",G106*(1-N(H106)))</f>
        <v/>
      </c>
      <c r="J106" s="16">
        <f>IF(I106="","",E106*I106)</f>
        <v/>
      </c>
      <c r="K106">
        <f>IF(D106="","",IFERROR(VLOOKUP(D106,'Ürün Eşleştirme'!$A$6:$D$505,2,FALSE),D106))</f>
        <v/>
      </c>
      <c r="L106" s="17">
        <f>IF(D106="","",IFERROR(VLOOKUP(D106,'Ürün Eşleştirme'!$A$6:$D$505,4,FALSE),1))</f>
        <v/>
      </c>
      <c r="M106" s="16">
        <f>IF(I106="","",I106/L106)</f>
        <v/>
      </c>
      <c r="N106" s="16">
        <f>IF(M106="","",IFERROR(AVERAGEIFS($M$10:$M$1009,$K$10:$K$1009,K106,$A$10:$A$1009,"&lt;"&amp;A106,$A$10:$A$1009,"&gt;="&amp;(A106-$C$6)),""))</f>
        <v/>
      </c>
      <c r="O106" s="16">
        <f>IF(M106="","",_xlfn.MINIFS($M$10:$M$1009,$K$10:$K$1009,K106,$A$10:$A$1009,"&lt;="&amp;A106,$A$10:$A$1009,"&gt;="&amp;(A106-$C$6)))</f>
        <v/>
      </c>
      <c r="P106" s="18">
        <f>IF(OR(N106="",N106=0),"",M106/N106-1)</f>
        <v/>
      </c>
      <c r="Q106">
        <f>IF(D106="","",IF(COUNTIFS($B$10:$B$1009,B106,$C$10:$C$1009,C106,$D$10:$D$1009,D106,$E$10:$E$1009,E106)&gt;1,"MÜKERRER?",IF(P106="","",IF(P106&gt;=$C$5,"İNCELE",IF(P106&lt;=-$C$5,"Düşük",""))))</f>
        <v/>
      </c>
      <c r="R106" s="16">
        <f>IF(AND(P106&lt;&gt;"",N(P106)&gt;=$C$5,COUNTIFS($B$10:B106,B106,$C$10:C106,C106,$D$10:D106,D106,$E$10:E106,E106)=1),(M106-N106)*E106*L106,0)</f>
        <v/>
      </c>
      <c r="S106" s="19">
        <f>IF(D106="",0,N(E106)*L106)</f>
        <v/>
      </c>
    </row>
    <row r="107">
      <c r="A107" s="11" t="n"/>
      <c r="B107" s="12" t="n"/>
      <c r="C107" s="12" t="n"/>
      <c r="D107" s="12" t="n"/>
      <c r="E107" s="13" t="n"/>
      <c r="F107" s="12" t="n"/>
      <c r="G107" s="14" t="n"/>
      <c r="H107" s="15" t="n"/>
      <c r="I107" s="16">
        <f>IF(G107="","",G107*(1-N(H107)))</f>
        <v/>
      </c>
      <c r="J107" s="16">
        <f>IF(I107="","",E107*I107)</f>
        <v/>
      </c>
      <c r="K107">
        <f>IF(D107="","",IFERROR(VLOOKUP(D107,'Ürün Eşleştirme'!$A$6:$D$505,2,FALSE),D107))</f>
        <v/>
      </c>
      <c r="L107" s="17">
        <f>IF(D107="","",IFERROR(VLOOKUP(D107,'Ürün Eşleştirme'!$A$6:$D$505,4,FALSE),1))</f>
        <v/>
      </c>
      <c r="M107" s="16">
        <f>IF(I107="","",I107/L107)</f>
        <v/>
      </c>
      <c r="N107" s="16">
        <f>IF(M107="","",IFERROR(AVERAGEIFS($M$10:$M$1009,$K$10:$K$1009,K107,$A$10:$A$1009,"&lt;"&amp;A107,$A$10:$A$1009,"&gt;="&amp;(A107-$C$6)),""))</f>
        <v/>
      </c>
      <c r="O107" s="16">
        <f>IF(M107="","",_xlfn.MINIFS($M$10:$M$1009,$K$10:$K$1009,K107,$A$10:$A$1009,"&lt;="&amp;A107,$A$10:$A$1009,"&gt;="&amp;(A107-$C$6)))</f>
        <v/>
      </c>
      <c r="P107" s="18">
        <f>IF(OR(N107="",N107=0),"",M107/N107-1)</f>
        <v/>
      </c>
      <c r="Q107">
        <f>IF(D107="","",IF(COUNTIFS($B$10:$B$1009,B107,$C$10:$C$1009,C107,$D$10:$D$1009,D107,$E$10:$E$1009,E107)&gt;1,"MÜKERRER?",IF(P107="","",IF(P107&gt;=$C$5,"İNCELE",IF(P107&lt;=-$C$5,"Düşük",""))))</f>
        <v/>
      </c>
      <c r="R107" s="16">
        <f>IF(AND(P107&lt;&gt;"",N(P107)&gt;=$C$5,COUNTIFS($B$10:B107,B107,$C$10:C107,C107,$D$10:D107,D107,$E$10:E107,E107)=1),(M107-N107)*E107*L107,0)</f>
        <v/>
      </c>
      <c r="S107" s="19">
        <f>IF(D107="",0,N(E107)*L107)</f>
        <v/>
      </c>
    </row>
    <row r="108">
      <c r="A108" s="11" t="n"/>
      <c r="B108" s="12" t="n"/>
      <c r="C108" s="12" t="n"/>
      <c r="D108" s="12" t="n"/>
      <c r="E108" s="13" t="n"/>
      <c r="F108" s="12" t="n"/>
      <c r="G108" s="14" t="n"/>
      <c r="H108" s="15" t="n"/>
      <c r="I108" s="16">
        <f>IF(G108="","",G108*(1-N(H108)))</f>
        <v/>
      </c>
      <c r="J108" s="16">
        <f>IF(I108="","",E108*I108)</f>
        <v/>
      </c>
      <c r="K108">
        <f>IF(D108="","",IFERROR(VLOOKUP(D108,'Ürün Eşleştirme'!$A$6:$D$505,2,FALSE),D108))</f>
        <v/>
      </c>
      <c r="L108" s="17">
        <f>IF(D108="","",IFERROR(VLOOKUP(D108,'Ürün Eşleştirme'!$A$6:$D$505,4,FALSE),1))</f>
        <v/>
      </c>
      <c r="M108" s="16">
        <f>IF(I108="","",I108/L108)</f>
        <v/>
      </c>
      <c r="N108" s="16">
        <f>IF(M108="","",IFERROR(AVERAGEIFS($M$10:$M$1009,$K$10:$K$1009,K108,$A$10:$A$1009,"&lt;"&amp;A108,$A$10:$A$1009,"&gt;="&amp;(A108-$C$6)),""))</f>
        <v/>
      </c>
      <c r="O108" s="16">
        <f>IF(M108="","",_xlfn.MINIFS($M$10:$M$1009,$K$10:$K$1009,K108,$A$10:$A$1009,"&lt;="&amp;A108,$A$10:$A$1009,"&gt;="&amp;(A108-$C$6)))</f>
        <v/>
      </c>
      <c r="P108" s="18">
        <f>IF(OR(N108="",N108=0),"",M108/N108-1)</f>
        <v/>
      </c>
      <c r="Q108">
        <f>IF(D108="","",IF(COUNTIFS($B$10:$B$1009,B108,$C$10:$C$1009,C108,$D$10:$D$1009,D108,$E$10:$E$1009,E108)&gt;1,"MÜKERRER?",IF(P108="","",IF(P108&gt;=$C$5,"İNCELE",IF(P108&lt;=-$C$5,"Düşük",""))))</f>
        <v/>
      </c>
      <c r="R108" s="16">
        <f>IF(AND(P108&lt;&gt;"",N(P108)&gt;=$C$5,COUNTIFS($B$10:B108,B108,$C$10:C108,C108,$D$10:D108,D108,$E$10:E108,E108)=1),(M108-N108)*E108*L108,0)</f>
        <v/>
      </c>
      <c r="S108" s="19">
        <f>IF(D108="",0,N(E108)*L108)</f>
        <v/>
      </c>
    </row>
    <row r="109">
      <c r="A109" s="11" t="n"/>
      <c r="B109" s="12" t="n"/>
      <c r="C109" s="12" t="n"/>
      <c r="D109" s="12" t="n"/>
      <c r="E109" s="13" t="n"/>
      <c r="F109" s="12" t="n"/>
      <c r="G109" s="14" t="n"/>
      <c r="H109" s="15" t="n"/>
      <c r="I109" s="16">
        <f>IF(G109="","",G109*(1-N(H109)))</f>
        <v/>
      </c>
      <c r="J109" s="16">
        <f>IF(I109="","",E109*I109)</f>
        <v/>
      </c>
      <c r="K109">
        <f>IF(D109="","",IFERROR(VLOOKUP(D109,'Ürün Eşleştirme'!$A$6:$D$505,2,FALSE),D109))</f>
        <v/>
      </c>
      <c r="L109" s="17">
        <f>IF(D109="","",IFERROR(VLOOKUP(D109,'Ürün Eşleştirme'!$A$6:$D$505,4,FALSE),1))</f>
        <v/>
      </c>
      <c r="M109" s="16">
        <f>IF(I109="","",I109/L109)</f>
        <v/>
      </c>
      <c r="N109" s="16">
        <f>IF(M109="","",IFERROR(AVERAGEIFS($M$10:$M$1009,$K$10:$K$1009,K109,$A$10:$A$1009,"&lt;"&amp;A109,$A$10:$A$1009,"&gt;="&amp;(A109-$C$6)),""))</f>
        <v/>
      </c>
      <c r="O109" s="16">
        <f>IF(M109="","",_xlfn.MINIFS($M$10:$M$1009,$K$10:$K$1009,K109,$A$10:$A$1009,"&lt;="&amp;A109,$A$10:$A$1009,"&gt;="&amp;(A109-$C$6)))</f>
        <v/>
      </c>
      <c r="P109" s="18">
        <f>IF(OR(N109="",N109=0),"",M109/N109-1)</f>
        <v/>
      </c>
      <c r="Q109">
        <f>IF(D109="","",IF(COUNTIFS($B$10:$B$1009,B109,$C$10:$C$1009,C109,$D$10:$D$1009,D109,$E$10:$E$1009,E109)&gt;1,"MÜKERRER?",IF(P109="","",IF(P109&gt;=$C$5,"İNCELE",IF(P109&lt;=-$C$5,"Düşük",""))))</f>
        <v/>
      </c>
      <c r="R109" s="16">
        <f>IF(AND(P109&lt;&gt;"",N(P109)&gt;=$C$5,COUNTIFS($B$10:B109,B109,$C$10:C109,C109,$D$10:D109,D109,$E$10:E109,E109)=1),(M109-N109)*E109*L109,0)</f>
        <v/>
      </c>
      <c r="S109" s="19">
        <f>IF(D109="",0,N(E109)*L109)</f>
        <v/>
      </c>
    </row>
    <row r="110">
      <c r="A110" s="11" t="n"/>
      <c r="B110" s="12" t="n"/>
      <c r="C110" s="12" t="n"/>
      <c r="D110" s="12" t="n"/>
      <c r="E110" s="13" t="n"/>
      <c r="F110" s="12" t="n"/>
      <c r="G110" s="14" t="n"/>
      <c r="H110" s="15" t="n"/>
      <c r="I110" s="16">
        <f>IF(G110="","",G110*(1-N(H110)))</f>
        <v/>
      </c>
      <c r="J110" s="16">
        <f>IF(I110="","",E110*I110)</f>
        <v/>
      </c>
      <c r="K110">
        <f>IF(D110="","",IFERROR(VLOOKUP(D110,'Ürün Eşleştirme'!$A$6:$D$505,2,FALSE),D110))</f>
        <v/>
      </c>
      <c r="L110" s="17">
        <f>IF(D110="","",IFERROR(VLOOKUP(D110,'Ürün Eşleştirme'!$A$6:$D$505,4,FALSE),1))</f>
        <v/>
      </c>
      <c r="M110" s="16">
        <f>IF(I110="","",I110/L110)</f>
        <v/>
      </c>
      <c r="N110" s="16">
        <f>IF(M110="","",IFERROR(AVERAGEIFS($M$10:$M$1009,$K$10:$K$1009,K110,$A$10:$A$1009,"&lt;"&amp;A110,$A$10:$A$1009,"&gt;="&amp;(A110-$C$6)),""))</f>
        <v/>
      </c>
      <c r="O110" s="16">
        <f>IF(M110="","",_xlfn.MINIFS($M$10:$M$1009,$K$10:$K$1009,K110,$A$10:$A$1009,"&lt;="&amp;A110,$A$10:$A$1009,"&gt;="&amp;(A110-$C$6)))</f>
        <v/>
      </c>
      <c r="P110" s="18">
        <f>IF(OR(N110="",N110=0),"",M110/N110-1)</f>
        <v/>
      </c>
      <c r="Q110">
        <f>IF(D110="","",IF(COUNTIFS($B$10:$B$1009,B110,$C$10:$C$1009,C110,$D$10:$D$1009,D110,$E$10:$E$1009,E110)&gt;1,"MÜKERRER?",IF(P110="","",IF(P110&gt;=$C$5,"İNCELE",IF(P110&lt;=-$C$5,"Düşük",""))))</f>
        <v/>
      </c>
      <c r="R110" s="16">
        <f>IF(AND(P110&lt;&gt;"",N(P110)&gt;=$C$5,COUNTIFS($B$10:B110,B110,$C$10:C110,C110,$D$10:D110,D110,$E$10:E110,E110)=1),(M110-N110)*E110*L110,0)</f>
        <v/>
      </c>
      <c r="S110" s="19">
        <f>IF(D110="",0,N(E110)*L110)</f>
        <v/>
      </c>
    </row>
    <row r="111">
      <c r="A111" s="11" t="n"/>
      <c r="B111" s="12" t="n"/>
      <c r="C111" s="12" t="n"/>
      <c r="D111" s="12" t="n"/>
      <c r="E111" s="13" t="n"/>
      <c r="F111" s="12" t="n"/>
      <c r="G111" s="14" t="n"/>
      <c r="H111" s="15" t="n"/>
      <c r="I111" s="16">
        <f>IF(G111="","",G111*(1-N(H111)))</f>
        <v/>
      </c>
      <c r="J111" s="16">
        <f>IF(I111="","",E111*I111)</f>
        <v/>
      </c>
      <c r="K111">
        <f>IF(D111="","",IFERROR(VLOOKUP(D111,'Ürün Eşleştirme'!$A$6:$D$505,2,FALSE),D111))</f>
        <v/>
      </c>
      <c r="L111" s="17">
        <f>IF(D111="","",IFERROR(VLOOKUP(D111,'Ürün Eşleştirme'!$A$6:$D$505,4,FALSE),1))</f>
        <v/>
      </c>
      <c r="M111" s="16">
        <f>IF(I111="","",I111/L111)</f>
        <v/>
      </c>
      <c r="N111" s="16">
        <f>IF(M111="","",IFERROR(AVERAGEIFS($M$10:$M$1009,$K$10:$K$1009,K111,$A$10:$A$1009,"&lt;"&amp;A111,$A$10:$A$1009,"&gt;="&amp;(A111-$C$6)),""))</f>
        <v/>
      </c>
      <c r="O111" s="16">
        <f>IF(M111="","",_xlfn.MINIFS($M$10:$M$1009,$K$10:$K$1009,K111,$A$10:$A$1009,"&lt;="&amp;A111,$A$10:$A$1009,"&gt;="&amp;(A111-$C$6)))</f>
        <v/>
      </c>
      <c r="P111" s="18">
        <f>IF(OR(N111="",N111=0),"",M111/N111-1)</f>
        <v/>
      </c>
      <c r="Q111">
        <f>IF(D111="","",IF(COUNTIFS($B$10:$B$1009,B111,$C$10:$C$1009,C111,$D$10:$D$1009,D111,$E$10:$E$1009,E111)&gt;1,"MÜKERRER?",IF(P111="","",IF(P111&gt;=$C$5,"İNCELE",IF(P111&lt;=-$C$5,"Düşük",""))))</f>
        <v/>
      </c>
      <c r="R111" s="16">
        <f>IF(AND(P111&lt;&gt;"",N(P111)&gt;=$C$5,COUNTIFS($B$10:B111,B111,$C$10:C111,C111,$D$10:D111,D111,$E$10:E111,E111)=1),(M111-N111)*E111*L111,0)</f>
        <v/>
      </c>
      <c r="S111" s="19">
        <f>IF(D111="",0,N(E111)*L111)</f>
        <v/>
      </c>
    </row>
    <row r="112">
      <c r="A112" s="11" t="n"/>
      <c r="B112" s="12" t="n"/>
      <c r="C112" s="12" t="n"/>
      <c r="D112" s="12" t="n"/>
      <c r="E112" s="13" t="n"/>
      <c r="F112" s="12" t="n"/>
      <c r="G112" s="14" t="n"/>
      <c r="H112" s="15" t="n"/>
      <c r="I112" s="16">
        <f>IF(G112="","",G112*(1-N(H112)))</f>
        <v/>
      </c>
      <c r="J112" s="16">
        <f>IF(I112="","",E112*I112)</f>
        <v/>
      </c>
      <c r="K112">
        <f>IF(D112="","",IFERROR(VLOOKUP(D112,'Ürün Eşleştirme'!$A$6:$D$505,2,FALSE),D112))</f>
        <v/>
      </c>
      <c r="L112" s="17">
        <f>IF(D112="","",IFERROR(VLOOKUP(D112,'Ürün Eşleştirme'!$A$6:$D$505,4,FALSE),1))</f>
        <v/>
      </c>
      <c r="M112" s="16">
        <f>IF(I112="","",I112/L112)</f>
        <v/>
      </c>
      <c r="N112" s="16">
        <f>IF(M112="","",IFERROR(AVERAGEIFS($M$10:$M$1009,$K$10:$K$1009,K112,$A$10:$A$1009,"&lt;"&amp;A112,$A$10:$A$1009,"&gt;="&amp;(A112-$C$6)),""))</f>
        <v/>
      </c>
      <c r="O112" s="16">
        <f>IF(M112="","",_xlfn.MINIFS($M$10:$M$1009,$K$10:$K$1009,K112,$A$10:$A$1009,"&lt;="&amp;A112,$A$10:$A$1009,"&gt;="&amp;(A112-$C$6)))</f>
        <v/>
      </c>
      <c r="P112" s="18">
        <f>IF(OR(N112="",N112=0),"",M112/N112-1)</f>
        <v/>
      </c>
      <c r="Q112">
        <f>IF(D112="","",IF(COUNTIFS($B$10:$B$1009,B112,$C$10:$C$1009,C112,$D$10:$D$1009,D112,$E$10:$E$1009,E112)&gt;1,"MÜKERRER?",IF(P112="","",IF(P112&gt;=$C$5,"İNCELE",IF(P112&lt;=-$C$5,"Düşük",""))))</f>
        <v/>
      </c>
      <c r="R112" s="16">
        <f>IF(AND(P112&lt;&gt;"",N(P112)&gt;=$C$5,COUNTIFS($B$10:B112,B112,$C$10:C112,C112,$D$10:D112,D112,$E$10:E112,E112)=1),(M112-N112)*E112*L112,0)</f>
        <v/>
      </c>
      <c r="S112" s="19">
        <f>IF(D112="",0,N(E112)*L112)</f>
        <v/>
      </c>
    </row>
    <row r="113">
      <c r="A113" s="11" t="n"/>
      <c r="B113" s="12" t="n"/>
      <c r="C113" s="12" t="n"/>
      <c r="D113" s="12" t="n"/>
      <c r="E113" s="13" t="n"/>
      <c r="F113" s="12" t="n"/>
      <c r="G113" s="14" t="n"/>
      <c r="H113" s="15" t="n"/>
      <c r="I113" s="16">
        <f>IF(G113="","",G113*(1-N(H113)))</f>
        <v/>
      </c>
      <c r="J113" s="16">
        <f>IF(I113="","",E113*I113)</f>
        <v/>
      </c>
      <c r="K113">
        <f>IF(D113="","",IFERROR(VLOOKUP(D113,'Ürün Eşleştirme'!$A$6:$D$505,2,FALSE),D113))</f>
        <v/>
      </c>
      <c r="L113" s="17">
        <f>IF(D113="","",IFERROR(VLOOKUP(D113,'Ürün Eşleştirme'!$A$6:$D$505,4,FALSE),1))</f>
        <v/>
      </c>
      <c r="M113" s="16">
        <f>IF(I113="","",I113/L113)</f>
        <v/>
      </c>
      <c r="N113" s="16">
        <f>IF(M113="","",IFERROR(AVERAGEIFS($M$10:$M$1009,$K$10:$K$1009,K113,$A$10:$A$1009,"&lt;"&amp;A113,$A$10:$A$1009,"&gt;="&amp;(A113-$C$6)),""))</f>
        <v/>
      </c>
      <c r="O113" s="16">
        <f>IF(M113="","",_xlfn.MINIFS($M$10:$M$1009,$K$10:$K$1009,K113,$A$10:$A$1009,"&lt;="&amp;A113,$A$10:$A$1009,"&gt;="&amp;(A113-$C$6)))</f>
        <v/>
      </c>
      <c r="P113" s="18">
        <f>IF(OR(N113="",N113=0),"",M113/N113-1)</f>
        <v/>
      </c>
      <c r="Q113">
        <f>IF(D113="","",IF(COUNTIFS($B$10:$B$1009,B113,$C$10:$C$1009,C113,$D$10:$D$1009,D113,$E$10:$E$1009,E113)&gt;1,"MÜKERRER?",IF(P113="","",IF(P113&gt;=$C$5,"İNCELE",IF(P113&lt;=-$C$5,"Düşük",""))))</f>
        <v/>
      </c>
      <c r="R113" s="16">
        <f>IF(AND(P113&lt;&gt;"",N(P113)&gt;=$C$5,COUNTIFS($B$10:B113,B113,$C$10:C113,C113,$D$10:D113,D113,$E$10:E113,E113)=1),(M113-N113)*E113*L113,0)</f>
        <v/>
      </c>
      <c r="S113" s="19">
        <f>IF(D113="",0,N(E113)*L113)</f>
        <v/>
      </c>
    </row>
    <row r="114">
      <c r="A114" s="11" t="n"/>
      <c r="B114" s="12" t="n"/>
      <c r="C114" s="12" t="n"/>
      <c r="D114" s="12" t="n"/>
      <c r="E114" s="13" t="n"/>
      <c r="F114" s="12" t="n"/>
      <c r="G114" s="14" t="n"/>
      <c r="H114" s="15" t="n"/>
      <c r="I114" s="16">
        <f>IF(G114="","",G114*(1-N(H114)))</f>
        <v/>
      </c>
      <c r="J114" s="16">
        <f>IF(I114="","",E114*I114)</f>
        <v/>
      </c>
      <c r="K114">
        <f>IF(D114="","",IFERROR(VLOOKUP(D114,'Ürün Eşleştirme'!$A$6:$D$505,2,FALSE),D114))</f>
        <v/>
      </c>
      <c r="L114" s="17">
        <f>IF(D114="","",IFERROR(VLOOKUP(D114,'Ürün Eşleştirme'!$A$6:$D$505,4,FALSE),1))</f>
        <v/>
      </c>
      <c r="M114" s="16">
        <f>IF(I114="","",I114/L114)</f>
        <v/>
      </c>
      <c r="N114" s="16">
        <f>IF(M114="","",IFERROR(AVERAGEIFS($M$10:$M$1009,$K$10:$K$1009,K114,$A$10:$A$1009,"&lt;"&amp;A114,$A$10:$A$1009,"&gt;="&amp;(A114-$C$6)),""))</f>
        <v/>
      </c>
      <c r="O114" s="16">
        <f>IF(M114="","",_xlfn.MINIFS($M$10:$M$1009,$K$10:$K$1009,K114,$A$10:$A$1009,"&lt;="&amp;A114,$A$10:$A$1009,"&gt;="&amp;(A114-$C$6)))</f>
        <v/>
      </c>
      <c r="P114" s="18">
        <f>IF(OR(N114="",N114=0),"",M114/N114-1)</f>
        <v/>
      </c>
      <c r="Q114">
        <f>IF(D114="","",IF(COUNTIFS($B$10:$B$1009,B114,$C$10:$C$1009,C114,$D$10:$D$1009,D114,$E$10:$E$1009,E114)&gt;1,"MÜKERRER?",IF(P114="","",IF(P114&gt;=$C$5,"İNCELE",IF(P114&lt;=-$C$5,"Düşük",""))))</f>
        <v/>
      </c>
      <c r="R114" s="16">
        <f>IF(AND(P114&lt;&gt;"",N(P114)&gt;=$C$5,COUNTIFS($B$10:B114,B114,$C$10:C114,C114,$D$10:D114,D114,$E$10:E114,E114)=1),(M114-N114)*E114*L114,0)</f>
        <v/>
      </c>
      <c r="S114" s="19">
        <f>IF(D114="",0,N(E114)*L114)</f>
        <v/>
      </c>
    </row>
    <row r="115">
      <c r="A115" s="11" t="n"/>
      <c r="B115" s="12" t="n"/>
      <c r="C115" s="12" t="n"/>
      <c r="D115" s="12" t="n"/>
      <c r="E115" s="13" t="n"/>
      <c r="F115" s="12" t="n"/>
      <c r="G115" s="14" t="n"/>
      <c r="H115" s="15" t="n"/>
      <c r="I115" s="16">
        <f>IF(G115="","",G115*(1-N(H115)))</f>
        <v/>
      </c>
      <c r="J115" s="16">
        <f>IF(I115="","",E115*I115)</f>
        <v/>
      </c>
      <c r="K115">
        <f>IF(D115="","",IFERROR(VLOOKUP(D115,'Ürün Eşleştirme'!$A$6:$D$505,2,FALSE),D115))</f>
        <v/>
      </c>
      <c r="L115" s="17">
        <f>IF(D115="","",IFERROR(VLOOKUP(D115,'Ürün Eşleştirme'!$A$6:$D$505,4,FALSE),1))</f>
        <v/>
      </c>
      <c r="M115" s="16">
        <f>IF(I115="","",I115/L115)</f>
        <v/>
      </c>
      <c r="N115" s="16">
        <f>IF(M115="","",IFERROR(AVERAGEIFS($M$10:$M$1009,$K$10:$K$1009,K115,$A$10:$A$1009,"&lt;"&amp;A115,$A$10:$A$1009,"&gt;="&amp;(A115-$C$6)),""))</f>
        <v/>
      </c>
      <c r="O115" s="16">
        <f>IF(M115="","",_xlfn.MINIFS($M$10:$M$1009,$K$10:$K$1009,K115,$A$10:$A$1009,"&lt;="&amp;A115,$A$10:$A$1009,"&gt;="&amp;(A115-$C$6)))</f>
        <v/>
      </c>
      <c r="P115" s="18">
        <f>IF(OR(N115="",N115=0),"",M115/N115-1)</f>
        <v/>
      </c>
      <c r="Q115">
        <f>IF(D115="","",IF(COUNTIFS($B$10:$B$1009,B115,$C$10:$C$1009,C115,$D$10:$D$1009,D115,$E$10:$E$1009,E115)&gt;1,"MÜKERRER?",IF(P115="","",IF(P115&gt;=$C$5,"İNCELE",IF(P115&lt;=-$C$5,"Düşük",""))))</f>
        <v/>
      </c>
      <c r="R115" s="16">
        <f>IF(AND(P115&lt;&gt;"",N(P115)&gt;=$C$5,COUNTIFS($B$10:B115,B115,$C$10:C115,C115,$D$10:D115,D115,$E$10:E115,E115)=1),(M115-N115)*E115*L115,0)</f>
        <v/>
      </c>
      <c r="S115" s="19">
        <f>IF(D115="",0,N(E115)*L115)</f>
        <v/>
      </c>
    </row>
    <row r="116">
      <c r="A116" s="11" t="n"/>
      <c r="B116" s="12" t="n"/>
      <c r="C116" s="12" t="n"/>
      <c r="D116" s="12" t="n"/>
      <c r="E116" s="13" t="n"/>
      <c r="F116" s="12" t="n"/>
      <c r="G116" s="14" t="n"/>
      <c r="H116" s="15" t="n"/>
      <c r="I116" s="16">
        <f>IF(G116="","",G116*(1-N(H116)))</f>
        <v/>
      </c>
      <c r="J116" s="16">
        <f>IF(I116="","",E116*I116)</f>
        <v/>
      </c>
      <c r="K116">
        <f>IF(D116="","",IFERROR(VLOOKUP(D116,'Ürün Eşleştirme'!$A$6:$D$505,2,FALSE),D116))</f>
        <v/>
      </c>
      <c r="L116" s="17">
        <f>IF(D116="","",IFERROR(VLOOKUP(D116,'Ürün Eşleştirme'!$A$6:$D$505,4,FALSE),1))</f>
        <v/>
      </c>
      <c r="M116" s="16">
        <f>IF(I116="","",I116/L116)</f>
        <v/>
      </c>
      <c r="N116" s="16">
        <f>IF(M116="","",IFERROR(AVERAGEIFS($M$10:$M$1009,$K$10:$K$1009,K116,$A$10:$A$1009,"&lt;"&amp;A116,$A$10:$A$1009,"&gt;="&amp;(A116-$C$6)),""))</f>
        <v/>
      </c>
      <c r="O116" s="16">
        <f>IF(M116="","",_xlfn.MINIFS($M$10:$M$1009,$K$10:$K$1009,K116,$A$10:$A$1009,"&lt;="&amp;A116,$A$10:$A$1009,"&gt;="&amp;(A116-$C$6)))</f>
        <v/>
      </c>
      <c r="P116" s="18">
        <f>IF(OR(N116="",N116=0),"",M116/N116-1)</f>
        <v/>
      </c>
      <c r="Q116">
        <f>IF(D116="","",IF(COUNTIFS($B$10:$B$1009,B116,$C$10:$C$1009,C116,$D$10:$D$1009,D116,$E$10:$E$1009,E116)&gt;1,"MÜKERRER?",IF(P116="","",IF(P116&gt;=$C$5,"İNCELE",IF(P116&lt;=-$C$5,"Düşük",""))))</f>
        <v/>
      </c>
      <c r="R116" s="16">
        <f>IF(AND(P116&lt;&gt;"",N(P116)&gt;=$C$5,COUNTIFS($B$10:B116,B116,$C$10:C116,C116,$D$10:D116,D116,$E$10:E116,E116)=1),(M116-N116)*E116*L116,0)</f>
        <v/>
      </c>
      <c r="S116" s="19">
        <f>IF(D116="",0,N(E116)*L116)</f>
        <v/>
      </c>
    </row>
    <row r="117">
      <c r="A117" s="11" t="n"/>
      <c r="B117" s="12" t="n"/>
      <c r="C117" s="12" t="n"/>
      <c r="D117" s="12" t="n"/>
      <c r="E117" s="13" t="n"/>
      <c r="F117" s="12" t="n"/>
      <c r="G117" s="14" t="n"/>
      <c r="H117" s="15" t="n"/>
      <c r="I117" s="16">
        <f>IF(G117="","",G117*(1-N(H117)))</f>
        <v/>
      </c>
      <c r="J117" s="16">
        <f>IF(I117="","",E117*I117)</f>
        <v/>
      </c>
      <c r="K117">
        <f>IF(D117="","",IFERROR(VLOOKUP(D117,'Ürün Eşleştirme'!$A$6:$D$505,2,FALSE),D117))</f>
        <v/>
      </c>
      <c r="L117" s="17">
        <f>IF(D117="","",IFERROR(VLOOKUP(D117,'Ürün Eşleştirme'!$A$6:$D$505,4,FALSE),1))</f>
        <v/>
      </c>
      <c r="M117" s="16">
        <f>IF(I117="","",I117/L117)</f>
        <v/>
      </c>
      <c r="N117" s="16">
        <f>IF(M117="","",IFERROR(AVERAGEIFS($M$10:$M$1009,$K$10:$K$1009,K117,$A$10:$A$1009,"&lt;"&amp;A117,$A$10:$A$1009,"&gt;="&amp;(A117-$C$6)),""))</f>
        <v/>
      </c>
      <c r="O117" s="16">
        <f>IF(M117="","",_xlfn.MINIFS($M$10:$M$1009,$K$10:$K$1009,K117,$A$10:$A$1009,"&lt;="&amp;A117,$A$10:$A$1009,"&gt;="&amp;(A117-$C$6)))</f>
        <v/>
      </c>
      <c r="P117" s="18">
        <f>IF(OR(N117="",N117=0),"",M117/N117-1)</f>
        <v/>
      </c>
      <c r="Q117">
        <f>IF(D117="","",IF(COUNTIFS($B$10:$B$1009,B117,$C$10:$C$1009,C117,$D$10:$D$1009,D117,$E$10:$E$1009,E117)&gt;1,"MÜKERRER?",IF(P117="","",IF(P117&gt;=$C$5,"İNCELE",IF(P117&lt;=-$C$5,"Düşük",""))))</f>
        <v/>
      </c>
      <c r="R117" s="16">
        <f>IF(AND(P117&lt;&gt;"",N(P117)&gt;=$C$5,COUNTIFS($B$10:B117,B117,$C$10:C117,C117,$D$10:D117,D117,$E$10:E117,E117)=1),(M117-N117)*E117*L117,0)</f>
        <v/>
      </c>
      <c r="S117" s="19">
        <f>IF(D117="",0,N(E117)*L117)</f>
        <v/>
      </c>
    </row>
    <row r="118">
      <c r="A118" s="11" t="n"/>
      <c r="B118" s="12" t="n"/>
      <c r="C118" s="12" t="n"/>
      <c r="D118" s="12" t="n"/>
      <c r="E118" s="13" t="n"/>
      <c r="F118" s="12" t="n"/>
      <c r="G118" s="14" t="n"/>
      <c r="H118" s="15" t="n"/>
      <c r="I118" s="16">
        <f>IF(G118="","",G118*(1-N(H118)))</f>
        <v/>
      </c>
      <c r="J118" s="16">
        <f>IF(I118="","",E118*I118)</f>
        <v/>
      </c>
      <c r="K118">
        <f>IF(D118="","",IFERROR(VLOOKUP(D118,'Ürün Eşleştirme'!$A$6:$D$505,2,FALSE),D118))</f>
        <v/>
      </c>
      <c r="L118" s="17">
        <f>IF(D118="","",IFERROR(VLOOKUP(D118,'Ürün Eşleştirme'!$A$6:$D$505,4,FALSE),1))</f>
        <v/>
      </c>
      <c r="M118" s="16">
        <f>IF(I118="","",I118/L118)</f>
        <v/>
      </c>
      <c r="N118" s="16">
        <f>IF(M118="","",IFERROR(AVERAGEIFS($M$10:$M$1009,$K$10:$K$1009,K118,$A$10:$A$1009,"&lt;"&amp;A118,$A$10:$A$1009,"&gt;="&amp;(A118-$C$6)),""))</f>
        <v/>
      </c>
      <c r="O118" s="16">
        <f>IF(M118="","",_xlfn.MINIFS($M$10:$M$1009,$K$10:$K$1009,K118,$A$10:$A$1009,"&lt;="&amp;A118,$A$10:$A$1009,"&gt;="&amp;(A118-$C$6)))</f>
        <v/>
      </c>
      <c r="P118" s="18">
        <f>IF(OR(N118="",N118=0),"",M118/N118-1)</f>
        <v/>
      </c>
      <c r="Q118">
        <f>IF(D118="","",IF(COUNTIFS($B$10:$B$1009,B118,$C$10:$C$1009,C118,$D$10:$D$1009,D118,$E$10:$E$1009,E118)&gt;1,"MÜKERRER?",IF(P118="","",IF(P118&gt;=$C$5,"İNCELE",IF(P118&lt;=-$C$5,"Düşük",""))))</f>
        <v/>
      </c>
      <c r="R118" s="16">
        <f>IF(AND(P118&lt;&gt;"",N(P118)&gt;=$C$5,COUNTIFS($B$10:B118,B118,$C$10:C118,C118,$D$10:D118,D118,$E$10:E118,E118)=1),(M118-N118)*E118*L118,0)</f>
        <v/>
      </c>
      <c r="S118" s="19">
        <f>IF(D118="",0,N(E118)*L118)</f>
        <v/>
      </c>
    </row>
    <row r="119">
      <c r="A119" s="11" t="n"/>
      <c r="B119" s="12" t="n"/>
      <c r="C119" s="12" t="n"/>
      <c r="D119" s="12" t="n"/>
      <c r="E119" s="13" t="n"/>
      <c r="F119" s="12" t="n"/>
      <c r="G119" s="14" t="n"/>
      <c r="H119" s="15" t="n"/>
      <c r="I119" s="16">
        <f>IF(G119="","",G119*(1-N(H119)))</f>
        <v/>
      </c>
      <c r="J119" s="16">
        <f>IF(I119="","",E119*I119)</f>
        <v/>
      </c>
      <c r="K119">
        <f>IF(D119="","",IFERROR(VLOOKUP(D119,'Ürün Eşleştirme'!$A$6:$D$505,2,FALSE),D119))</f>
        <v/>
      </c>
      <c r="L119" s="17">
        <f>IF(D119="","",IFERROR(VLOOKUP(D119,'Ürün Eşleştirme'!$A$6:$D$505,4,FALSE),1))</f>
        <v/>
      </c>
      <c r="M119" s="16">
        <f>IF(I119="","",I119/L119)</f>
        <v/>
      </c>
      <c r="N119" s="16">
        <f>IF(M119="","",IFERROR(AVERAGEIFS($M$10:$M$1009,$K$10:$K$1009,K119,$A$10:$A$1009,"&lt;"&amp;A119,$A$10:$A$1009,"&gt;="&amp;(A119-$C$6)),""))</f>
        <v/>
      </c>
      <c r="O119" s="16">
        <f>IF(M119="","",_xlfn.MINIFS($M$10:$M$1009,$K$10:$K$1009,K119,$A$10:$A$1009,"&lt;="&amp;A119,$A$10:$A$1009,"&gt;="&amp;(A119-$C$6)))</f>
        <v/>
      </c>
      <c r="P119" s="18">
        <f>IF(OR(N119="",N119=0),"",M119/N119-1)</f>
        <v/>
      </c>
      <c r="Q119">
        <f>IF(D119="","",IF(COUNTIFS($B$10:$B$1009,B119,$C$10:$C$1009,C119,$D$10:$D$1009,D119,$E$10:$E$1009,E119)&gt;1,"MÜKERRER?",IF(P119="","",IF(P119&gt;=$C$5,"İNCELE",IF(P119&lt;=-$C$5,"Düşük",""))))</f>
        <v/>
      </c>
      <c r="R119" s="16">
        <f>IF(AND(P119&lt;&gt;"",N(P119)&gt;=$C$5,COUNTIFS($B$10:B119,B119,$C$10:C119,C119,$D$10:D119,D119,$E$10:E119,E119)=1),(M119-N119)*E119*L119,0)</f>
        <v/>
      </c>
      <c r="S119" s="19">
        <f>IF(D119="",0,N(E119)*L119)</f>
        <v/>
      </c>
    </row>
    <row r="120">
      <c r="A120" s="11" t="n"/>
      <c r="B120" s="12" t="n"/>
      <c r="C120" s="12" t="n"/>
      <c r="D120" s="12" t="n"/>
      <c r="E120" s="13" t="n"/>
      <c r="F120" s="12" t="n"/>
      <c r="G120" s="14" t="n"/>
      <c r="H120" s="15" t="n"/>
      <c r="I120" s="16">
        <f>IF(G120="","",G120*(1-N(H120)))</f>
        <v/>
      </c>
      <c r="J120" s="16">
        <f>IF(I120="","",E120*I120)</f>
        <v/>
      </c>
      <c r="K120">
        <f>IF(D120="","",IFERROR(VLOOKUP(D120,'Ürün Eşleştirme'!$A$6:$D$505,2,FALSE),D120))</f>
        <v/>
      </c>
      <c r="L120" s="17">
        <f>IF(D120="","",IFERROR(VLOOKUP(D120,'Ürün Eşleştirme'!$A$6:$D$505,4,FALSE),1))</f>
        <v/>
      </c>
      <c r="M120" s="16">
        <f>IF(I120="","",I120/L120)</f>
        <v/>
      </c>
      <c r="N120" s="16">
        <f>IF(M120="","",IFERROR(AVERAGEIFS($M$10:$M$1009,$K$10:$K$1009,K120,$A$10:$A$1009,"&lt;"&amp;A120,$A$10:$A$1009,"&gt;="&amp;(A120-$C$6)),""))</f>
        <v/>
      </c>
      <c r="O120" s="16">
        <f>IF(M120="","",_xlfn.MINIFS($M$10:$M$1009,$K$10:$K$1009,K120,$A$10:$A$1009,"&lt;="&amp;A120,$A$10:$A$1009,"&gt;="&amp;(A120-$C$6)))</f>
        <v/>
      </c>
      <c r="P120" s="18">
        <f>IF(OR(N120="",N120=0),"",M120/N120-1)</f>
        <v/>
      </c>
      <c r="Q120">
        <f>IF(D120="","",IF(COUNTIFS($B$10:$B$1009,B120,$C$10:$C$1009,C120,$D$10:$D$1009,D120,$E$10:$E$1009,E120)&gt;1,"MÜKERRER?",IF(P120="","",IF(P120&gt;=$C$5,"İNCELE",IF(P120&lt;=-$C$5,"Düşük",""))))</f>
        <v/>
      </c>
      <c r="R120" s="16">
        <f>IF(AND(P120&lt;&gt;"",N(P120)&gt;=$C$5,COUNTIFS($B$10:B120,B120,$C$10:C120,C120,$D$10:D120,D120,$E$10:E120,E120)=1),(M120-N120)*E120*L120,0)</f>
        <v/>
      </c>
      <c r="S120" s="19">
        <f>IF(D120="",0,N(E120)*L120)</f>
        <v/>
      </c>
    </row>
    <row r="121">
      <c r="A121" s="11" t="n"/>
      <c r="B121" s="12" t="n"/>
      <c r="C121" s="12" t="n"/>
      <c r="D121" s="12" t="n"/>
      <c r="E121" s="13" t="n"/>
      <c r="F121" s="12" t="n"/>
      <c r="G121" s="14" t="n"/>
      <c r="H121" s="15" t="n"/>
      <c r="I121" s="16">
        <f>IF(G121="","",G121*(1-N(H121)))</f>
        <v/>
      </c>
      <c r="J121" s="16">
        <f>IF(I121="","",E121*I121)</f>
        <v/>
      </c>
      <c r="K121">
        <f>IF(D121="","",IFERROR(VLOOKUP(D121,'Ürün Eşleştirme'!$A$6:$D$505,2,FALSE),D121))</f>
        <v/>
      </c>
      <c r="L121" s="17">
        <f>IF(D121="","",IFERROR(VLOOKUP(D121,'Ürün Eşleştirme'!$A$6:$D$505,4,FALSE),1))</f>
        <v/>
      </c>
      <c r="M121" s="16">
        <f>IF(I121="","",I121/L121)</f>
        <v/>
      </c>
      <c r="N121" s="16">
        <f>IF(M121="","",IFERROR(AVERAGEIFS($M$10:$M$1009,$K$10:$K$1009,K121,$A$10:$A$1009,"&lt;"&amp;A121,$A$10:$A$1009,"&gt;="&amp;(A121-$C$6)),""))</f>
        <v/>
      </c>
      <c r="O121" s="16">
        <f>IF(M121="","",_xlfn.MINIFS($M$10:$M$1009,$K$10:$K$1009,K121,$A$10:$A$1009,"&lt;="&amp;A121,$A$10:$A$1009,"&gt;="&amp;(A121-$C$6)))</f>
        <v/>
      </c>
      <c r="P121" s="18">
        <f>IF(OR(N121="",N121=0),"",M121/N121-1)</f>
        <v/>
      </c>
      <c r="Q121">
        <f>IF(D121="","",IF(COUNTIFS($B$10:$B$1009,B121,$C$10:$C$1009,C121,$D$10:$D$1009,D121,$E$10:$E$1009,E121)&gt;1,"MÜKERRER?",IF(P121="","",IF(P121&gt;=$C$5,"İNCELE",IF(P121&lt;=-$C$5,"Düşük",""))))</f>
        <v/>
      </c>
      <c r="R121" s="16">
        <f>IF(AND(P121&lt;&gt;"",N(P121)&gt;=$C$5,COUNTIFS($B$10:B121,B121,$C$10:C121,C121,$D$10:D121,D121,$E$10:E121,E121)=1),(M121-N121)*E121*L121,0)</f>
        <v/>
      </c>
      <c r="S121" s="19">
        <f>IF(D121="",0,N(E121)*L121)</f>
        <v/>
      </c>
    </row>
    <row r="122">
      <c r="A122" s="11" t="n"/>
      <c r="B122" s="12" t="n"/>
      <c r="C122" s="12" t="n"/>
      <c r="D122" s="12" t="n"/>
      <c r="E122" s="13" t="n"/>
      <c r="F122" s="12" t="n"/>
      <c r="G122" s="14" t="n"/>
      <c r="H122" s="15" t="n"/>
      <c r="I122" s="16">
        <f>IF(G122="","",G122*(1-N(H122)))</f>
        <v/>
      </c>
      <c r="J122" s="16">
        <f>IF(I122="","",E122*I122)</f>
        <v/>
      </c>
      <c r="K122">
        <f>IF(D122="","",IFERROR(VLOOKUP(D122,'Ürün Eşleştirme'!$A$6:$D$505,2,FALSE),D122))</f>
        <v/>
      </c>
      <c r="L122" s="17">
        <f>IF(D122="","",IFERROR(VLOOKUP(D122,'Ürün Eşleştirme'!$A$6:$D$505,4,FALSE),1))</f>
        <v/>
      </c>
      <c r="M122" s="16">
        <f>IF(I122="","",I122/L122)</f>
        <v/>
      </c>
      <c r="N122" s="16">
        <f>IF(M122="","",IFERROR(AVERAGEIFS($M$10:$M$1009,$K$10:$K$1009,K122,$A$10:$A$1009,"&lt;"&amp;A122,$A$10:$A$1009,"&gt;="&amp;(A122-$C$6)),""))</f>
        <v/>
      </c>
      <c r="O122" s="16">
        <f>IF(M122="","",_xlfn.MINIFS($M$10:$M$1009,$K$10:$K$1009,K122,$A$10:$A$1009,"&lt;="&amp;A122,$A$10:$A$1009,"&gt;="&amp;(A122-$C$6)))</f>
        <v/>
      </c>
      <c r="P122" s="18">
        <f>IF(OR(N122="",N122=0),"",M122/N122-1)</f>
        <v/>
      </c>
      <c r="Q122">
        <f>IF(D122="","",IF(COUNTIFS($B$10:$B$1009,B122,$C$10:$C$1009,C122,$D$10:$D$1009,D122,$E$10:$E$1009,E122)&gt;1,"MÜKERRER?",IF(P122="","",IF(P122&gt;=$C$5,"İNCELE",IF(P122&lt;=-$C$5,"Düşük",""))))</f>
        <v/>
      </c>
      <c r="R122" s="16">
        <f>IF(AND(P122&lt;&gt;"",N(P122)&gt;=$C$5,COUNTIFS($B$10:B122,B122,$C$10:C122,C122,$D$10:D122,D122,$E$10:E122,E122)=1),(M122-N122)*E122*L122,0)</f>
        <v/>
      </c>
      <c r="S122" s="19">
        <f>IF(D122="",0,N(E122)*L122)</f>
        <v/>
      </c>
    </row>
    <row r="123">
      <c r="A123" s="11" t="n"/>
      <c r="B123" s="12" t="n"/>
      <c r="C123" s="12" t="n"/>
      <c r="D123" s="12" t="n"/>
      <c r="E123" s="13" t="n"/>
      <c r="F123" s="12" t="n"/>
      <c r="G123" s="14" t="n"/>
      <c r="H123" s="15" t="n"/>
      <c r="I123" s="16">
        <f>IF(G123="","",G123*(1-N(H123)))</f>
        <v/>
      </c>
      <c r="J123" s="16">
        <f>IF(I123="","",E123*I123)</f>
        <v/>
      </c>
      <c r="K123">
        <f>IF(D123="","",IFERROR(VLOOKUP(D123,'Ürün Eşleştirme'!$A$6:$D$505,2,FALSE),D123))</f>
        <v/>
      </c>
      <c r="L123" s="17">
        <f>IF(D123="","",IFERROR(VLOOKUP(D123,'Ürün Eşleştirme'!$A$6:$D$505,4,FALSE),1))</f>
        <v/>
      </c>
      <c r="M123" s="16">
        <f>IF(I123="","",I123/L123)</f>
        <v/>
      </c>
      <c r="N123" s="16">
        <f>IF(M123="","",IFERROR(AVERAGEIFS($M$10:$M$1009,$K$10:$K$1009,K123,$A$10:$A$1009,"&lt;"&amp;A123,$A$10:$A$1009,"&gt;="&amp;(A123-$C$6)),""))</f>
        <v/>
      </c>
      <c r="O123" s="16">
        <f>IF(M123="","",_xlfn.MINIFS($M$10:$M$1009,$K$10:$K$1009,K123,$A$10:$A$1009,"&lt;="&amp;A123,$A$10:$A$1009,"&gt;="&amp;(A123-$C$6)))</f>
        <v/>
      </c>
      <c r="P123" s="18">
        <f>IF(OR(N123="",N123=0),"",M123/N123-1)</f>
        <v/>
      </c>
      <c r="Q123">
        <f>IF(D123="","",IF(COUNTIFS($B$10:$B$1009,B123,$C$10:$C$1009,C123,$D$10:$D$1009,D123,$E$10:$E$1009,E123)&gt;1,"MÜKERRER?",IF(P123="","",IF(P123&gt;=$C$5,"İNCELE",IF(P123&lt;=-$C$5,"Düşük",""))))</f>
        <v/>
      </c>
      <c r="R123" s="16">
        <f>IF(AND(P123&lt;&gt;"",N(P123)&gt;=$C$5,COUNTIFS($B$10:B123,B123,$C$10:C123,C123,$D$10:D123,D123,$E$10:E123,E123)=1),(M123-N123)*E123*L123,0)</f>
        <v/>
      </c>
      <c r="S123" s="19">
        <f>IF(D123="",0,N(E123)*L123)</f>
        <v/>
      </c>
    </row>
    <row r="124">
      <c r="A124" s="11" t="n"/>
      <c r="B124" s="12" t="n"/>
      <c r="C124" s="12" t="n"/>
      <c r="D124" s="12" t="n"/>
      <c r="E124" s="13" t="n"/>
      <c r="F124" s="12" t="n"/>
      <c r="G124" s="14" t="n"/>
      <c r="H124" s="15" t="n"/>
      <c r="I124" s="16">
        <f>IF(G124="","",G124*(1-N(H124)))</f>
        <v/>
      </c>
      <c r="J124" s="16">
        <f>IF(I124="","",E124*I124)</f>
        <v/>
      </c>
      <c r="K124">
        <f>IF(D124="","",IFERROR(VLOOKUP(D124,'Ürün Eşleştirme'!$A$6:$D$505,2,FALSE),D124))</f>
        <v/>
      </c>
      <c r="L124" s="17">
        <f>IF(D124="","",IFERROR(VLOOKUP(D124,'Ürün Eşleştirme'!$A$6:$D$505,4,FALSE),1))</f>
        <v/>
      </c>
      <c r="M124" s="16">
        <f>IF(I124="","",I124/L124)</f>
        <v/>
      </c>
      <c r="N124" s="16">
        <f>IF(M124="","",IFERROR(AVERAGEIFS($M$10:$M$1009,$K$10:$K$1009,K124,$A$10:$A$1009,"&lt;"&amp;A124,$A$10:$A$1009,"&gt;="&amp;(A124-$C$6)),""))</f>
        <v/>
      </c>
      <c r="O124" s="16">
        <f>IF(M124="","",_xlfn.MINIFS($M$10:$M$1009,$K$10:$K$1009,K124,$A$10:$A$1009,"&lt;="&amp;A124,$A$10:$A$1009,"&gt;="&amp;(A124-$C$6)))</f>
        <v/>
      </c>
      <c r="P124" s="18">
        <f>IF(OR(N124="",N124=0),"",M124/N124-1)</f>
        <v/>
      </c>
      <c r="Q124">
        <f>IF(D124="","",IF(COUNTIFS($B$10:$B$1009,B124,$C$10:$C$1009,C124,$D$10:$D$1009,D124,$E$10:$E$1009,E124)&gt;1,"MÜKERRER?",IF(P124="","",IF(P124&gt;=$C$5,"İNCELE",IF(P124&lt;=-$C$5,"Düşük",""))))</f>
        <v/>
      </c>
      <c r="R124" s="16">
        <f>IF(AND(P124&lt;&gt;"",N(P124)&gt;=$C$5,COUNTIFS($B$10:B124,B124,$C$10:C124,C124,$D$10:D124,D124,$E$10:E124,E124)=1),(M124-N124)*E124*L124,0)</f>
        <v/>
      </c>
      <c r="S124" s="19">
        <f>IF(D124="",0,N(E124)*L124)</f>
        <v/>
      </c>
    </row>
    <row r="125">
      <c r="A125" s="11" t="n"/>
      <c r="B125" s="12" t="n"/>
      <c r="C125" s="12" t="n"/>
      <c r="D125" s="12" t="n"/>
      <c r="E125" s="13" t="n"/>
      <c r="F125" s="12" t="n"/>
      <c r="G125" s="14" t="n"/>
      <c r="H125" s="15" t="n"/>
      <c r="I125" s="16">
        <f>IF(G125="","",G125*(1-N(H125)))</f>
        <v/>
      </c>
      <c r="J125" s="16">
        <f>IF(I125="","",E125*I125)</f>
        <v/>
      </c>
      <c r="K125">
        <f>IF(D125="","",IFERROR(VLOOKUP(D125,'Ürün Eşleştirme'!$A$6:$D$505,2,FALSE),D125))</f>
        <v/>
      </c>
      <c r="L125" s="17">
        <f>IF(D125="","",IFERROR(VLOOKUP(D125,'Ürün Eşleştirme'!$A$6:$D$505,4,FALSE),1))</f>
        <v/>
      </c>
      <c r="M125" s="16">
        <f>IF(I125="","",I125/L125)</f>
        <v/>
      </c>
      <c r="N125" s="16">
        <f>IF(M125="","",IFERROR(AVERAGEIFS($M$10:$M$1009,$K$10:$K$1009,K125,$A$10:$A$1009,"&lt;"&amp;A125,$A$10:$A$1009,"&gt;="&amp;(A125-$C$6)),""))</f>
        <v/>
      </c>
      <c r="O125" s="16">
        <f>IF(M125="","",_xlfn.MINIFS($M$10:$M$1009,$K$10:$K$1009,K125,$A$10:$A$1009,"&lt;="&amp;A125,$A$10:$A$1009,"&gt;="&amp;(A125-$C$6)))</f>
        <v/>
      </c>
      <c r="P125" s="18">
        <f>IF(OR(N125="",N125=0),"",M125/N125-1)</f>
        <v/>
      </c>
      <c r="Q125">
        <f>IF(D125="","",IF(COUNTIFS($B$10:$B$1009,B125,$C$10:$C$1009,C125,$D$10:$D$1009,D125,$E$10:$E$1009,E125)&gt;1,"MÜKERRER?",IF(P125="","",IF(P125&gt;=$C$5,"İNCELE",IF(P125&lt;=-$C$5,"Düşük",""))))</f>
        <v/>
      </c>
      <c r="R125" s="16">
        <f>IF(AND(P125&lt;&gt;"",N(P125)&gt;=$C$5,COUNTIFS($B$10:B125,B125,$C$10:C125,C125,$D$10:D125,D125,$E$10:E125,E125)=1),(M125-N125)*E125*L125,0)</f>
        <v/>
      </c>
      <c r="S125" s="19">
        <f>IF(D125="",0,N(E125)*L125)</f>
        <v/>
      </c>
    </row>
    <row r="126">
      <c r="A126" s="11" t="n"/>
      <c r="B126" s="12" t="n"/>
      <c r="C126" s="12" t="n"/>
      <c r="D126" s="12" t="n"/>
      <c r="E126" s="13" t="n"/>
      <c r="F126" s="12" t="n"/>
      <c r="G126" s="14" t="n"/>
      <c r="H126" s="15" t="n"/>
      <c r="I126" s="16">
        <f>IF(G126="","",G126*(1-N(H126)))</f>
        <v/>
      </c>
      <c r="J126" s="16">
        <f>IF(I126="","",E126*I126)</f>
        <v/>
      </c>
      <c r="K126">
        <f>IF(D126="","",IFERROR(VLOOKUP(D126,'Ürün Eşleştirme'!$A$6:$D$505,2,FALSE),D126))</f>
        <v/>
      </c>
      <c r="L126" s="17">
        <f>IF(D126="","",IFERROR(VLOOKUP(D126,'Ürün Eşleştirme'!$A$6:$D$505,4,FALSE),1))</f>
        <v/>
      </c>
      <c r="M126" s="16">
        <f>IF(I126="","",I126/L126)</f>
        <v/>
      </c>
      <c r="N126" s="16">
        <f>IF(M126="","",IFERROR(AVERAGEIFS($M$10:$M$1009,$K$10:$K$1009,K126,$A$10:$A$1009,"&lt;"&amp;A126,$A$10:$A$1009,"&gt;="&amp;(A126-$C$6)),""))</f>
        <v/>
      </c>
      <c r="O126" s="16">
        <f>IF(M126="","",_xlfn.MINIFS($M$10:$M$1009,$K$10:$K$1009,K126,$A$10:$A$1009,"&lt;="&amp;A126,$A$10:$A$1009,"&gt;="&amp;(A126-$C$6)))</f>
        <v/>
      </c>
      <c r="P126" s="18">
        <f>IF(OR(N126="",N126=0),"",M126/N126-1)</f>
        <v/>
      </c>
      <c r="Q126">
        <f>IF(D126="","",IF(COUNTIFS($B$10:$B$1009,B126,$C$10:$C$1009,C126,$D$10:$D$1009,D126,$E$10:$E$1009,E126)&gt;1,"MÜKERRER?",IF(P126="","",IF(P126&gt;=$C$5,"İNCELE",IF(P126&lt;=-$C$5,"Düşük",""))))</f>
        <v/>
      </c>
      <c r="R126" s="16">
        <f>IF(AND(P126&lt;&gt;"",N(P126)&gt;=$C$5,COUNTIFS($B$10:B126,B126,$C$10:C126,C126,$D$10:D126,D126,$E$10:E126,E126)=1),(M126-N126)*E126*L126,0)</f>
        <v/>
      </c>
      <c r="S126" s="19">
        <f>IF(D126="",0,N(E126)*L126)</f>
        <v/>
      </c>
    </row>
    <row r="127">
      <c r="A127" s="11" t="n"/>
      <c r="B127" s="12" t="n"/>
      <c r="C127" s="12" t="n"/>
      <c r="D127" s="12" t="n"/>
      <c r="E127" s="13" t="n"/>
      <c r="F127" s="12" t="n"/>
      <c r="G127" s="14" t="n"/>
      <c r="H127" s="15" t="n"/>
      <c r="I127" s="16">
        <f>IF(G127="","",G127*(1-N(H127)))</f>
        <v/>
      </c>
      <c r="J127" s="16">
        <f>IF(I127="","",E127*I127)</f>
        <v/>
      </c>
      <c r="K127">
        <f>IF(D127="","",IFERROR(VLOOKUP(D127,'Ürün Eşleştirme'!$A$6:$D$505,2,FALSE),D127))</f>
        <v/>
      </c>
      <c r="L127" s="17">
        <f>IF(D127="","",IFERROR(VLOOKUP(D127,'Ürün Eşleştirme'!$A$6:$D$505,4,FALSE),1))</f>
        <v/>
      </c>
      <c r="M127" s="16">
        <f>IF(I127="","",I127/L127)</f>
        <v/>
      </c>
      <c r="N127" s="16">
        <f>IF(M127="","",IFERROR(AVERAGEIFS($M$10:$M$1009,$K$10:$K$1009,K127,$A$10:$A$1009,"&lt;"&amp;A127,$A$10:$A$1009,"&gt;="&amp;(A127-$C$6)),""))</f>
        <v/>
      </c>
      <c r="O127" s="16">
        <f>IF(M127="","",_xlfn.MINIFS($M$10:$M$1009,$K$10:$K$1009,K127,$A$10:$A$1009,"&lt;="&amp;A127,$A$10:$A$1009,"&gt;="&amp;(A127-$C$6)))</f>
        <v/>
      </c>
      <c r="P127" s="18">
        <f>IF(OR(N127="",N127=0),"",M127/N127-1)</f>
        <v/>
      </c>
      <c r="Q127">
        <f>IF(D127="","",IF(COUNTIFS($B$10:$B$1009,B127,$C$10:$C$1009,C127,$D$10:$D$1009,D127,$E$10:$E$1009,E127)&gt;1,"MÜKERRER?",IF(P127="","",IF(P127&gt;=$C$5,"İNCELE",IF(P127&lt;=-$C$5,"Düşük",""))))</f>
        <v/>
      </c>
      <c r="R127" s="16">
        <f>IF(AND(P127&lt;&gt;"",N(P127)&gt;=$C$5,COUNTIFS($B$10:B127,B127,$C$10:C127,C127,$D$10:D127,D127,$E$10:E127,E127)=1),(M127-N127)*E127*L127,0)</f>
        <v/>
      </c>
      <c r="S127" s="19">
        <f>IF(D127="",0,N(E127)*L127)</f>
        <v/>
      </c>
    </row>
    <row r="128">
      <c r="A128" s="11" t="n"/>
      <c r="B128" s="12" t="n"/>
      <c r="C128" s="12" t="n"/>
      <c r="D128" s="12" t="n"/>
      <c r="E128" s="13" t="n"/>
      <c r="F128" s="12" t="n"/>
      <c r="G128" s="14" t="n"/>
      <c r="H128" s="15" t="n"/>
      <c r="I128" s="16">
        <f>IF(G128="","",G128*(1-N(H128)))</f>
        <v/>
      </c>
      <c r="J128" s="16">
        <f>IF(I128="","",E128*I128)</f>
        <v/>
      </c>
      <c r="K128">
        <f>IF(D128="","",IFERROR(VLOOKUP(D128,'Ürün Eşleştirme'!$A$6:$D$505,2,FALSE),D128))</f>
        <v/>
      </c>
      <c r="L128" s="17">
        <f>IF(D128="","",IFERROR(VLOOKUP(D128,'Ürün Eşleştirme'!$A$6:$D$505,4,FALSE),1))</f>
        <v/>
      </c>
      <c r="M128" s="16">
        <f>IF(I128="","",I128/L128)</f>
        <v/>
      </c>
      <c r="N128" s="16">
        <f>IF(M128="","",IFERROR(AVERAGEIFS($M$10:$M$1009,$K$10:$K$1009,K128,$A$10:$A$1009,"&lt;"&amp;A128,$A$10:$A$1009,"&gt;="&amp;(A128-$C$6)),""))</f>
        <v/>
      </c>
      <c r="O128" s="16">
        <f>IF(M128="","",_xlfn.MINIFS($M$10:$M$1009,$K$10:$K$1009,K128,$A$10:$A$1009,"&lt;="&amp;A128,$A$10:$A$1009,"&gt;="&amp;(A128-$C$6)))</f>
        <v/>
      </c>
      <c r="P128" s="18">
        <f>IF(OR(N128="",N128=0),"",M128/N128-1)</f>
        <v/>
      </c>
      <c r="Q128">
        <f>IF(D128="","",IF(COUNTIFS($B$10:$B$1009,B128,$C$10:$C$1009,C128,$D$10:$D$1009,D128,$E$10:$E$1009,E128)&gt;1,"MÜKERRER?",IF(P128="","",IF(P128&gt;=$C$5,"İNCELE",IF(P128&lt;=-$C$5,"Düşük",""))))</f>
        <v/>
      </c>
      <c r="R128" s="16">
        <f>IF(AND(P128&lt;&gt;"",N(P128)&gt;=$C$5,COUNTIFS($B$10:B128,B128,$C$10:C128,C128,$D$10:D128,D128,$E$10:E128,E128)=1),(M128-N128)*E128*L128,0)</f>
        <v/>
      </c>
      <c r="S128" s="19">
        <f>IF(D128="",0,N(E128)*L128)</f>
        <v/>
      </c>
    </row>
    <row r="129">
      <c r="A129" s="11" t="n"/>
      <c r="B129" s="12" t="n"/>
      <c r="C129" s="12" t="n"/>
      <c r="D129" s="12" t="n"/>
      <c r="E129" s="13" t="n"/>
      <c r="F129" s="12" t="n"/>
      <c r="G129" s="14" t="n"/>
      <c r="H129" s="15" t="n"/>
      <c r="I129" s="16">
        <f>IF(G129="","",G129*(1-N(H129)))</f>
        <v/>
      </c>
      <c r="J129" s="16">
        <f>IF(I129="","",E129*I129)</f>
        <v/>
      </c>
      <c r="K129">
        <f>IF(D129="","",IFERROR(VLOOKUP(D129,'Ürün Eşleştirme'!$A$6:$D$505,2,FALSE),D129))</f>
        <v/>
      </c>
      <c r="L129" s="17">
        <f>IF(D129="","",IFERROR(VLOOKUP(D129,'Ürün Eşleştirme'!$A$6:$D$505,4,FALSE),1))</f>
        <v/>
      </c>
      <c r="M129" s="16">
        <f>IF(I129="","",I129/L129)</f>
        <v/>
      </c>
      <c r="N129" s="16">
        <f>IF(M129="","",IFERROR(AVERAGEIFS($M$10:$M$1009,$K$10:$K$1009,K129,$A$10:$A$1009,"&lt;"&amp;A129,$A$10:$A$1009,"&gt;="&amp;(A129-$C$6)),""))</f>
        <v/>
      </c>
      <c r="O129" s="16">
        <f>IF(M129="","",_xlfn.MINIFS($M$10:$M$1009,$K$10:$K$1009,K129,$A$10:$A$1009,"&lt;="&amp;A129,$A$10:$A$1009,"&gt;="&amp;(A129-$C$6)))</f>
        <v/>
      </c>
      <c r="P129" s="18">
        <f>IF(OR(N129="",N129=0),"",M129/N129-1)</f>
        <v/>
      </c>
      <c r="Q129">
        <f>IF(D129="","",IF(COUNTIFS($B$10:$B$1009,B129,$C$10:$C$1009,C129,$D$10:$D$1009,D129,$E$10:$E$1009,E129)&gt;1,"MÜKERRER?",IF(P129="","",IF(P129&gt;=$C$5,"İNCELE",IF(P129&lt;=-$C$5,"Düşük",""))))</f>
        <v/>
      </c>
      <c r="R129" s="16">
        <f>IF(AND(P129&lt;&gt;"",N(P129)&gt;=$C$5,COUNTIFS($B$10:B129,B129,$C$10:C129,C129,$D$10:D129,D129,$E$10:E129,E129)=1),(M129-N129)*E129*L129,0)</f>
        <v/>
      </c>
      <c r="S129" s="19">
        <f>IF(D129="",0,N(E129)*L129)</f>
        <v/>
      </c>
    </row>
    <row r="130">
      <c r="A130" s="11" t="n"/>
      <c r="B130" s="12" t="n"/>
      <c r="C130" s="12" t="n"/>
      <c r="D130" s="12" t="n"/>
      <c r="E130" s="13" t="n"/>
      <c r="F130" s="12" t="n"/>
      <c r="G130" s="14" t="n"/>
      <c r="H130" s="15" t="n"/>
      <c r="I130" s="16">
        <f>IF(G130="","",G130*(1-N(H130)))</f>
        <v/>
      </c>
      <c r="J130" s="16">
        <f>IF(I130="","",E130*I130)</f>
        <v/>
      </c>
      <c r="K130">
        <f>IF(D130="","",IFERROR(VLOOKUP(D130,'Ürün Eşleştirme'!$A$6:$D$505,2,FALSE),D130))</f>
        <v/>
      </c>
      <c r="L130" s="17">
        <f>IF(D130="","",IFERROR(VLOOKUP(D130,'Ürün Eşleştirme'!$A$6:$D$505,4,FALSE),1))</f>
        <v/>
      </c>
      <c r="M130" s="16">
        <f>IF(I130="","",I130/L130)</f>
        <v/>
      </c>
      <c r="N130" s="16">
        <f>IF(M130="","",IFERROR(AVERAGEIFS($M$10:$M$1009,$K$10:$K$1009,K130,$A$10:$A$1009,"&lt;"&amp;A130,$A$10:$A$1009,"&gt;="&amp;(A130-$C$6)),""))</f>
        <v/>
      </c>
      <c r="O130" s="16">
        <f>IF(M130="","",_xlfn.MINIFS($M$10:$M$1009,$K$10:$K$1009,K130,$A$10:$A$1009,"&lt;="&amp;A130,$A$10:$A$1009,"&gt;="&amp;(A130-$C$6)))</f>
        <v/>
      </c>
      <c r="P130" s="18">
        <f>IF(OR(N130="",N130=0),"",M130/N130-1)</f>
        <v/>
      </c>
      <c r="Q130">
        <f>IF(D130="","",IF(COUNTIFS($B$10:$B$1009,B130,$C$10:$C$1009,C130,$D$10:$D$1009,D130,$E$10:$E$1009,E130)&gt;1,"MÜKERRER?",IF(P130="","",IF(P130&gt;=$C$5,"İNCELE",IF(P130&lt;=-$C$5,"Düşük",""))))</f>
        <v/>
      </c>
      <c r="R130" s="16">
        <f>IF(AND(P130&lt;&gt;"",N(P130)&gt;=$C$5,COUNTIFS($B$10:B130,B130,$C$10:C130,C130,$D$10:D130,D130,$E$10:E130,E130)=1),(M130-N130)*E130*L130,0)</f>
        <v/>
      </c>
      <c r="S130" s="19">
        <f>IF(D130="",0,N(E130)*L130)</f>
        <v/>
      </c>
    </row>
    <row r="131">
      <c r="A131" s="11" t="n"/>
      <c r="B131" s="12" t="n"/>
      <c r="C131" s="12" t="n"/>
      <c r="D131" s="12" t="n"/>
      <c r="E131" s="13" t="n"/>
      <c r="F131" s="12" t="n"/>
      <c r="G131" s="14" t="n"/>
      <c r="H131" s="15" t="n"/>
      <c r="I131" s="16">
        <f>IF(G131="","",G131*(1-N(H131)))</f>
        <v/>
      </c>
      <c r="J131" s="16">
        <f>IF(I131="","",E131*I131)</f>
        <v/>
      </c>
      <c r="K131">
        <f>IF(D131="","",IFERROR(VLOOKUP(D131,'Ürün Eşleştirme'!$A$6:$D$505,2,FALSE),D131))</f>
        <v/>
      </c>
      <c r="L131" s="17">
        <f>IF(D131="","",IFERROR(VLOOKUP(D131,'Ürün Eşleştirme'!$A$6:$D$505,4,FALSE),1))</f>
        <v/>
      </c>
      <c r="M131" s="16">
        <f>IF(I131="","",I131/L131)</f>
        <v/>
      </c>
      <c r="N131" s="16">
        <f>IF(M131="","",IFERROR(AVERAGEIFS($M$10:$M$1009,$K$10:$K$1009,K131,$A$10:$A$1009,"&lt;"&amp;A131,$A$10:$A$1009,"&gt;="&amp;(A131-$C$6)),""))</f>
        <v/>
      </c>
      <c r="O131" s="16">
        <f>IF(M131="","",_xlfn.MINIFS($M$10:$M$1009,$K$10:$K$1009,K131,$A$10:$A$1009,"&lt;="&amp;A131,$A$10:$A$1009,"&gt;="&amp;(A131-$C$6)))</f>
        <v/>
      </c>
      <c r="P131" s="18">
        <f>IF(OR(N131="",N131=0),"",M131/N131-1)</f>
        <v/>
      </c>
      <c r="Q131">
        <f>IF(D131="","",IF(COUNTIFS($B$10:$B$1009,B131,$C$10:$C$1009,C131,$D$10:$D$1009,D131,$E$10:$E$1009,E131)&gt;1,"MÜKERRER?",IF(P131="","",IF(P131&gt;=$C$5,"İNCELE",IF(P131&lt;=-$C$5,"Düşük",""))))</f>
        <v/>
      </c>
      <c r="R131" s="16">
        <f>IF(AND(P131&lt;&gt;"",N(P131)&gt;=$C$5,COUNTIFS($B$10:B131,B131,$C$10:C131,C131,$D$10:D131,D131,$E$10:E131,E131)=1),(M131-N131)*E131*L131,0)</f>
        <v/>
      </c>
      <c r="S131" s="19">
        <f>IF(D131="",0,N(E131)*L131)</f>
        <v/>
      </c>
    </row>
    <row r="132">
      <c r="A132" s="11" t="n"/>
      <c r="B132" s="12" t="n"/>
      <c r="C132" s="12" t="n"/>
      <c r="D132" s="12" t="n"/>
      <c r="E132" s="13" t="n"/>
      <c r="F132" s="12" t="n"/>
      <c r="G132" s="14" t="n"/>
      <c r="H132" s="15" t="n"/>
      <c r="I132" s="16">
        <f>IF(G132="","",G132*(1-N(H132)))</f>
        <v/>
      </c>
      <c r="J132" s="16">
        <f>IF(I132="","",E132*I132)</f>
        <v/>
      </c>
      <c r="K132">
        <f>IF(D132="","",IFERROR(VLOOKUP(D132,'Ürün Eşleştirme'!$A$6:$D$505,2,FALSE),D132))</f>
        <v/>
      </c>
      <c r="L132" s="17">
        <f>IF(D132="","",IFERROR(VLOOKUP(D132,'Ürün Eşleştirme'!$A$6:$D$505,4,FALSE),1))</f>
        <v/>
      </c>
      <c r="M132" s="16">
        <f>IF(I132="","",I132/L132)</f>
        <v/>
      </c>
      <c r="N132" s="16">
        <f>IF(M132="","",IFERROR(AVERAGEIFS($M$10:$M$1009,$K$10:$K$1009,K132,$A$10:$A$1009,"&lt;"&amp;A132,$A$10:$A$1009,"&gt;="&amp;(A132-$C$6)),""))</f>
        <v/>
      </c>
      <c r="O132" s="16">
        <f>IF(M132="","",_xlfn.MINIFS($M$10:$M$1009,$K$10:$K$1009,K132,$A$10:$A$1009,"&lt;="&amp;A132,$A$10:$A$1009,"&gt;="&amp;(A132-$C$6)))</f>
        <v/>
      </c>
      <c r="P132" s="18">
        <f>IF(OR(N132="",N132=0),"",M132/N132-1)</f>
        <v/>
      </c>
      <c r="Q132">
        <f>IF(D132="","",IF(COUNTIFS($B$10:$B$1009,B132,$C$10:$C$1009,C132,$D$10:$D$1009,D132,$E$10:$E$1009,E132)&gt;1,"MÜKERRER?",IF(P132="","",IF(P132&gt;=$C$5,"İNCELE",IF(P132&lt;=-$C$5,"Düşük",""))))</f>
        <v/>
      </c>
      <c r="R132" s="16">
        <f>IF(AND(P132&lt;&gt;"",N(P132)&gt;=$C$5,COUNTIFS($B$10:B132,B132,$C$10:C132,C132,$D$10:D132,D132,$E$10:E132,E132)=1),(M132-N132)*E132*L132,0)</f>
        <v/>
      </c>
      <c r="S132" s="19">
        <f>IF(D132="",0,N(E132)*L132)</f>
        <v/>
      </c>
    </row>
    <row r="133">
      <c r="A133" s="11" t="n"/>
      <c r="B133" s="12" t="n"/>
      <c r="C133" s="12" t="n"/>
      <c r="D133" s="12" t="n"/>
      <c r="E133" s="13" t="n"/>
      <c r="F133" s="12" t="n"/>
      <c r="G133" s="14" t="n"/>
      <c r="H133" s="15" t="n"/>
      <c r="I133" s="16">
        <f>IF(G133="","",G133*(1-N(H133)))</f>
        <v/>
      </c>
      <c r="J133" s="16">
        <f>IF(I133="","",E133*I133)</f>
        <v/>
      </c>
      <c r="K133">
        <f>IF(D133="","",IFERROR(VLOOKUP(D133,'Ürün Eşleştirme'!$A$6:$D$505,2,FALSE),D133))</f>
        <v/>
      </c>
      <c r="L133" s="17">
        <f>IF(D133="","",IFERROR(VLOOKUP(D133,'Ürün Eşleştirme'!$A$6:$D$505,4,FALSE),1))</f>
        <v/>
      </c>
      <c r="M133" s="16">
        <f>IF(I133="","",I133/L133)</f>
        <v/>
      </c>
      <c r="N133" s="16">
        <f>IF(M133="","",IFERROR(AVERAGEIFS($M$10:$M$1009,$K$10:$K$1009,K133,$A$10:$A$1009,"&lt;"&amp;A133,$A$10:$A$1009,"&gt;="&amp;(A133-$C$6)),""))</f>
        <v/>
      </c>
      <c r="O133" s="16">
        <f>IF(M133="","",_xlfn.MINIFS($M$10:$M$1009,$K$10:$K$1009,K133,$A$10:$A$1009,"&lt;="&amp;A133,$A$10:$A$1009,"&gt;="&amp;(A133-$C$6)))</f>
        <v/>
      </c>
      <c r="P133" s="18">
        <f>IF(OR(N133="",N133=0),"",M133/N133-1)</f>
        <v/>
      </c>
      <c r="Q133">
        <f>IF(D133="","",IF(COUNTIFS($B$10:$B$1009,B133,$C$10:$C$1009,C133,$D$10:$D$1009,D133,$E$10:$E$1009,E133)&gt;1,"MÜKERRER?",IF(P133="","",IF(P133&gt;=$C$5,"İNCELE",IF(P133&lt;=-$C$5,"Düşük",""))))</f>
        <v/>
      </c>
      <c r="R133" s="16">
        <f>IF(AND(P133&lt;&gt;"",N(P133)&gt;=$C$5,COUNTIFS($B$10:B133,B133,$C$10:C133,C133,$D$10:D133,D133,$E$10:E133,E133)=1),(M133-N133)*E133*L133,0)</f>
        <v/>
      </c>
      <c r="S133" s="19">
        <f>IF(D133="",0,N(E133)*L133)</f>
        <v/>
      </c>
    </row>
    <row r="134">
      <c r="A134" s="11" t="n"/>
      <c r="B134" s="12" t="n"/>
      <c r="C134" s="12" t="n"/>
      <c r="D134" s="12" t="n"/>
      <c r="E134" s="13" t="n"/>
      <c r="F134" s="12" t="n"/>
      <c r="G134" s="14" t="n"/>
      <c r="H134" s="15" t="n"/>
      <c r="I134" s="16">
        <f>IF(G134="","",G134*(1-N(H134)))</f>
        <v/>
      </c>
      <c r="J134" s="16">
        <f>IF(I134="","",E134*I134)</f>
        <v/>
      </c>
      <c r="K134">
        <f>IF(D134="","",IFERROR(VLOOKUP(D134,'Ürün Eşleştirme'!$A$6:$D$505,2,FALSE),D134))</f>
        <v/>
      </c>
      <c r="L134" s="17">
        <f>IF(D134="","",IFERROR(VLOOKUP(D134,'Ürün Eşleştirme'!$A$6:$D$505,4,FALSE),1))</f>
        <v/>
      </c>
      <c r="M134" s="16">
        <f>IF(I134="","",I134/L134)</f>
        <v/>
      </c>
      <c r="N134" s="16">
        <f>IF(M134="","",IFERROR(AVERAGEIFS($M$10:$M$1009,$K$10:$K$1009,K134,$A$10:$A$1009,"&lt;"&amp;A134,$A$10:$A$1009,"&gt;="&amp;(A134-$C$6)),""))</f>
        <v/>
      </c>
      <c r="O134" s="16">
        <f>IF(M134="","",_xlfn.MINIFS($M$10:$M$1009,$K$10:$K$1009,K134,$A$10:$A$1009,"&lt;="&amp;A134,$A$10:$A$1009,"&gt;="&amp;(A134-$C$6)))</f>
        <v/>
      </c>
      <c r="P134" s="18">
        <f>IF(OR(N134="",N134=0),"",M134/N134-1)</f>
        <v/>
      </c>
      <c r="Q134">
        <f>IF(D134="","",IF(COUNTIFS($B$10:$B$1009,B134,$C$10:$C$1009,C134,$D$10:$D$1009,D134,$E$10:$E$1009,E134)&gt;1,"MÜKERRER?",IF(P134="","",IF(P134&gt;=$C$5,"İNCELE",IF(P134&lt;=-$C$5,"Düşük",""))))</f>
        <v/>
      </c>
      <c r="R134" s="16">
        <f>IF(AND(P134&lt;&gt;"",N(P134)&gt;=$C$5,COUNTIFS($B$10:B134,B134,$C$10:C134,C134,$D$10:D134,D134,$E$10:E134,E134)=1),(M134-N134)*E134*L134,0)</f>
        <v/>
      </c>
      <c r="S134" s="19">
        <f>IF(D134="",0,N(E134)*L134)</f>
        <v/>
      </c>
    </row>
    <row r="135">
      <c r="A135" s="11" t="n"/>
      <c r="B135" s="12" t="n"/>
      <c r="C135" s="12" t="n"/>
      <c r="D135" s="12" t="n"/>
      <c r="E135" s="13" t="n"/>
      <c r="F135" s="12" t="n"/>
      <c r="G135" s="14" t="n"/>
      <c r="H135" s="15" t="n"/>
      <c r="I135" s="16">
        <f>IF(G135="","",G135*(1-N(H135)))</f>
        <v/>
      </c>
      <c r="J135" s="16">
        <f>IF(I135="","",E135*I135)</f>
        <v/>
      </c>
      <c r="K135">
        <f>IF(D135="","",IFERROR(VLOOKUP(D135,'Ürün Eşleştirme'!$A$6:$D$505,2,FALSE),D135))</f>
        <v/>
      </c>
      <c r="L135" s="17">
        <f>IF(D135="","",IFERROR(VLOOKUP(D135,'Ürün Eşleştirme'!$A$6:$D$505,4,FALSE),1))</f>
        <v/>
      </c>
      <c r="M135" s="16">
        <f>IF(I135="","",I135/L135)</f>
        <v/>
      </c>
      <c r="N135" s="16">
        <f>IF(M135="","",IFERROR(AVERAGEIFS($M$10:$M$1009,$K$10:$K$1009,K135,$A$10:$A$1009,"&lt;"&amp;A135,$A$10:$A$1009,"&gt;="&amp;(A135-$C$6)),""))</f>
        <v/>
      </c>
      <c r="O135" s="16">
        <f>IF(M135="","",_xlfn.MINIFS($M$10:$M$1009,$K$10:$K$1009,K135,$A$10:$A$1009,"&lt;="&amp;A135,$A$10:$A$1009,"&gt;="&amp;(A135-$C$6)))</f>
        <v/>
      </c>
      <c r="P135" s="18">
        <f>IF(OR(N135="",N135=0),"",M135/N135-1)</f>
        <v/>
      </c>
      <c r="Q135">
        <f>IF(D135="","",IF(COUNTIFS($B$10:$B$1009,B135,$C$10:$C$1009,C135,$D$10:$D$1009,D135,$E$10:$E$1009,E135)&gt;1,"MÜKERRER?",IF(P135="","",IF(P135&gt;=$C$5,"İNCELE",IF(P135&lt;=-$C$5,"Düşük",""))))</f>
        <v/>
      </c>
      <c r="R135" s="16">
        <f>IF(AND(P135&lt;&gt;"",N(P135)&gt;=$C$5,COUNTIFS($B$10:B135,B135,$C$10:C135,C135,$D$10:D135,D135,$E$10:E135,E135)=1),(M135-N135)*E135*L135,0)</f>
        <v/>
      </c>
      <c r="S135" s="19">
        <f>IF(D135="",0,N(E135)*L135)</f>
        <v/>
      </c>
    </row>
    <row r="136">
      <c r="A136" s="11" t="n"/>
      <c r="B136" s="12" t="n"/>
      <c r="C136" s="12" t="n"/>
      <c r="D136" s="12" t="n"/>
      <c r="E136" s="13" t="n"/>
      <c r="F136" s="12" t="n"/>
      <c r="G136" s="14" t="n"/>
      <c r="H136" s="15" t="n"/>
      <c r="I136" s="16">
        <f>IF(G136="","",G136*(1-N(H136)))</f>
        <v/>
      </c>
      <c r="J136" s="16">
        <f>IF(I136="","",E136*I136)</f>
        <v/>
      </c>
      <c r="K136">
        <f>IF(D136="","",IFERROR(VLOOKUP(D136,'Ürün Eşleştirme'!$A$6:$D$505,2,FALSE),D136))</f>
        <v/>
      </c>
      <c r="L136" s="17">
        <f>IF(D136="","",IFERROR(VLOOKUP(D136,'Ürün Eşleştirme'!$A$6:$D$505,4,FALSE),1))</f>
        <v/>
      </c>
      <c r="M136" s="16">
        <f>IF(I136="","",I136/L136)</f>
        <v/>
      </c>
      <c r="N136" s="16">
        <f>IF(M136="","",IFERROR(AVERAGEIFS($M$10:$M$1009,$K$10:$K$1009,K136,$A$10:$A$1009,"&lt;"&amp;A136,$A$10:$A$1009,"&gt;="&amp;(A136-$C$6)),""))</f>
        <v/>
      </c>
      <c r="O136" s="16">
        <f>IF(M136="","",_xlfn.MINIFS($M$10:$M$1009,$K$10:$K$1009,K136,$A$10:$A$1009,"&lt;="&amp;A136,$A$10:$A$1009,"&gt;="&amp;(A136-$C$6)))</f>
        <v/>
      </c>
      <c r="P136" s="18">
        <f>IF(OR(N136="",N136=0),"",M136/N136-1)</f>
        <v/>
      </c>
      <c r="Q136">
        <f>IF(D136="","",IF(COUNTIFS($B$10:$B$1009,B136,$C$10:$C$1009,C136,$D$10:$D$1009,D136,$E$10:$E$1009,E136)&gt;1,"MÜKERRER?",IF(P136="","",IF(P136&gt;=$C$5,"İNCELE",IF(P136&lt;=-$C$5,"Düşük",""))))</f>
        <v/>
      </c>
      <c r="R136" s="16">
        <f>IF(AND(P136&lt;&gt;"",N(P136)&gt;=$C$5,COUNTIFS($B$10:B136,B136,$C$10:C136,C136,$D$10:D136,D136,$E$10:E136,E136)=1),(M136-N136)*E136*L136,0)</f>
        <v/>
      </c>
      <c r="S136" s="19">
        <f>IF(D136="",0,N(E136)*L136)</f>
        <v/>
      </c>
    </row>
    <row r="137">
      <c r="A137" s="11" t="n"/>
      <c r="B137" s="12" t="n"/>
      <c r="C137" s="12" t="n"/>
      <c r="D137" s="12" t="n"/>
      <c r="E137" s="13" t="n"/>
      <c r="F137" s="12" t="n"/>
      <c r="G137" s="14" t="n"/>
      <c r="H137" s="15" t="n"/>
      <c r="I137" s="16">
        <f>IF(G137="","",G137*(1-N(H137)))</f>
        <v/>
      </c>
      <c r="J137" s="16">
        <f>IF(I137="","",E137*I137)</f>
        <v/>
      </c>
      <c r="K137">
        <f>IF(D137="","",IFERROR(VLOOKUP(D137,'Ürün Eşleştirme'!$A$6:$D$505,2,FALSE),D137))</f>
        <v/>
      </c>
      <c r="L137" s="17">
        <f>IF(D137="","",IFERROR(VLOOKUP(D137,'Ürün Eşleştirme'!$A$6:$D$505,4,FALSE),1))</f>
        <v/>
      </c>
      <c r="M137" s="16">
        <f>IF(I137="","",I137/L137)</f>
        <v/>
      </c>
      <c r="N137" s="16">
        <f>IF(M137="","",IFERROR(AVERAGEIFS($M$10:$M$1009,$K$10:$K$1009,K137,$A$10:$A$1009,"&lt;"&amp;A137,$A$10:$A$1009,"&gt;="&amp;(A137-$C$6)),""))</f>
        <v/>
      </c>
      <c r="O137" s="16">
        <f>IF(M137="","",_xlfn.MINIFS($M$10:$M$1009,$K$10:$K$1009,K137,$A$10:$A$1009,"&lt;="&amp;A137,$A$10:$A$1009,"&gt;="&amp;(A137-$C$6)))</f>
        <v/>
      </c>
      <c r="P137" s="18">
        <f>IF(OR(N137="",N137=0),"",M137/N137-1)</f>
        <v/>
      </c>
      <c r="Q137">
        <f>IF(D137="","",IF(COUNTIFS($B$10:$B$1009,B137,$C$10:$C$1009,C137,$D$10:$D$1009,D137,$E$10:$E$1009,E137)&gt;1,"MÜKERRER?",IF(P137="","",IF(P137&gt;=$C$5,"İNCELE",IF(P137&lt;=-$C$5,"Düşük",""))))</f>
        <v/>
      </c>
      <c r="R137" s="16">
        <f>IF(AND(P137&lt;&gt;"",N(P137)&gt;=$C$5,COUNTIFS($B$10:B137,B137,$C$10:C137,C137,$D$10:D137,D137,$E$10:E137,E137)=1),(M137-N137)*E137*L137,0)</f>
        <v/>
      </c>
      <c r="S137" s="19">
        <f>IF(D137="",0,N(E137)*L137)</f>
        <v/>
      </c>
    </row>
    <row r="138">
      <c r="A138" s="11" t="n"/>
      <c r="B138" s="12" t="n"/>
      <c r="C138" s="12" t="n"/>
      <c r="D138" s="12" t="n"/>
      <c r="E138" s="13" t="n"/>
      <c r="F138" s="12" t="n"/>
      <c r="G138" s="14" t="n"/>
      <c r="H138" s="15" t="n"/>
      <c r="I138" s="16">
        <f>IF(G138="","",G138*(1-N(H138)))</f>
        <v/>
      </c>
      <c r="J138" s="16">
        <f>IF(I138="","",E138*I138)</f>
        <v/>
      </c>
      <c r="K138">
        <f>IF(D138="","",IFERROR(VLOOKUP(D138,'Ürün Eşleştirme'!$A$6:$D$505,2,FALSE),D138))</f>
        <v/>
      </c>
      <c r="L138" s="17">
        <f>IF(D138="","",IFERROR(VLOOKUP(D138,'Ürün Eşleştirme'!$A$6:$D$505,4,FALSE),1))</f>
        <v/>
      </c>
      <c r="M138" s="16">
        <f>IF(I138="","",I138/L138)</f>
        <v/>
      </c>
      <c r="N138" s="16">
        <f>IF(M138="","",IFERROR(AVERAGEIFS($M$10:$M$1009,$K$10:$K$1009,K138,$A$10:$A$1009,"&lt;"&amp;A138,$A$10:$A$1009,"&gt;="&amp;(A138-$C$6)),""))</f>
        <v/>
      </c>
      <c r="O138" s="16">
        <f>IF(M138="","",_xlfn.MINIFS($M$10:$M$1009,$K$10:$K$1009,K138,$A$10:$A$1009,"&lt;="&amp;A138,$A$10:$A$1009,"&gt;="&amp;(A138-$C$6)))</f>
        <v/>
      </c>
      <c r="P138" s="18">
        <f>IF(OR(N138="",N138=0),"",M138/N138-1)</f>
        <v/>
      </c>
      <c r="Q138">
        <f>IF(D138="","",IF(COUNTIFS($B$10:$B$1009,B138,$C$10:$C$1009,C138,$D$10:$D$1009,D138,$E$10:$E$1009,E138)&gt;1,"MÜKERRER?",IF(P138="","",IF(P138&gt;=$C$5,"İNCELE",IF(P138&lt;=-$C$5,"Düşük",""))))</f>
        <v/>
      </c>
      <c r="R138" s="16">
        <f>IF(AND(P138&lt;&gt;"",N(P138)&gt;=$C$5,COUNTIFS($B$10:B138,B138,$C$10:C138,C138,$D$10:D138,D138,$E$10:E138,E138)=1),(M138-N138)*E138*L138,0)</f>
        <v/>
      </c>
      <c r="S138" s="19">
        <f>IF(D138="",0,N(E138)*L138)</f>
        <v/>
      </c>
    </row>
    <row r="139">
      <c r="A139" s="11" t="n"/>
      <c r="B139" s="12" t="n"/>
      <c r="C139" s="12" t="n"/>
      <c r="D139" s="12" t="n"/>
      <c r="E139" s="13" t="n"/>
      <c r="F139" s="12" t="n"/>
      <c r="G139" s="14" t="n"/>
      <c r="H139" s="15" t="n"/>
      <c r="I139" s="16">
        <f>IF(G139="","",G139*(1-N(H139)))</f>
        <v/>
      </c>
      <c r="J139" s="16">
        <f>IF(I139="","",E139*I139)</f>
        <v/>
      </c>
      <c r="K139">
        <f>IF(D139="","",IFERROR(VLOOKUP(D139,'Ürün Eşleştirme'!$A$6:$D$505,2,FALSE),D139))</f>
        <v/>
      </c>
      <c r="L139" s="17">
        <f>IF(D139="","",IFERROR(VLOOKUP(D139,'Ürün Eşleştirme'!$A$6:$D$505,4,FALSE),1))</f>
        <v/>
      </c>
      <c r="M139" s="16">
        <f>IF(I139="","",I139/L139)</f>
        <v/>
      </c>
      <c r="N139" s="16">
        <f>IF(M139="","",IFERROR(AVERAGEIFS($M$10:$M$1009,$K$10:$K$1009,K139,$A$10:$A$1009,"&lt;"&amp;A139,$A$10:$A$1009,"&gt;="&amp;(A139-$C$6)),""))</f>
        <v/>
      </c>
      <c r="O139" s="16">
        <f>IF(M139="","",_xlfn.MINIFS($M$10:$M$1009,$K$10:$K$1009,K139,$A$10:$A$1009,"&lt;="&amp;A139,$A$10:$A$1009,"&gt;="&amp;(A139-$C$6)))</f>
        <v/>
      </c>
      <c r="P139" s="18">
        <f>IF(OR(N139="",N139=0),"",M139/N139-1)</f>
        <v/>
      </c>
      <c r="Q139">
        <f>IF(D139="","",IF(COUNTIFS($B$10:$B$1009,B139,$C$10:$C$1009,C139,$D$10:$D$1009,D139,$E$10:$E$1009,E139)&gt;1,"MÜKERRER?",IF(P139="","",IF(P139&gt;=$C$5,"İNCELE",IF(P139&lt;=-$C$5,"Düşük",""))))</f>
        <v/>
      </c>
      <c r="R139" s="16">
        <f>IF(AND(P139&lt;&gt;"",N(P139)&gt;=$C$5,COUNTIFS($B$10:B139,B139,$C$10:C139,C139,$D$10:D139,D139,$E$10:E139,E139)=1),(M139-N139)*E139*L139,0)</f>
        <v/>
      </c>
      <c r="S139" s="19">
        <f>IF(D139="",0,N(E139)*L139)</f>
        <v/>
      </c>
    </row>
    <row r="140">
      <c r="A140" s="11" t="n"/>
      <c r="B140" s="12" t="n"/>
      <c r="C140" s="12" t="n"/>
      <c r="D140" s="12" t="n"/>
      <c r="E140" s="13" t="n"/>
      <c r="F140" s="12" t="n"/>
      <c r="G140" s="14" t="n"/>
      <c r="H140" s="15" t="n"/>
      <c r="I140" s="16">
        <f>IF(G140="","",G140*(1-N(H140)))</f>
        <v/>
      </c>
      <c r="J140" s="16">
        <f>IF(I140="","",E140*I140)</f>
        <v/>
      </c>
      <c r="K140">
        <f>IF(D140="","",IFERROR(VLOOKUP(D140,'Ürün Eşleştirme'!$A$6:$D$505,2,FALSE),D140))</f>
        <v/>
      </c>
      <c r="L140" s="17">
        <f>IF(D140="","",IFERROR(VLOOKUP(D140,'Ürün Eşleştirme'!$A$6:$D$505,4,FALSE),1))</f>
        <v/>
      </c>
      <c r="M140" s="16">
        <f>IF(I140="","",I140/L140)</f>
        <v/>
      </c>
      <c r="N140" s="16">
        <f>IF(M140="","",IFERROR(AVERAGEIFS($M$10:$M$1009,$K$10:$K$1009,K140,$A$10:$A$1009,"&lt;"&amp;A140,$A$10:$A$1009,"&gt;="&amp;(A140-$C$6)),""))</f>
        <v/>
      </c>
      <c r="O140" s="16">
        <f>IF(M140="","",_xlfn.MINIFS($M$10:$M$1009,$K$10:$K$1009,K140,$A$10:$A$1009,"&lt;="&amp;A140,$A$10:$A$1009,"&gt;="&amp;(A140-$C$6)))</f>
        <v/>
      </c>
      <c r="P140" s="18">
        <f>IF(OR(N140="",N140=0),"",M140/N140-1)</f>
        <v/>
      </c>
      <c r="Q140">
        <f>IF(D140="","",IF(COUNTIFS($B$10:$B$1009,B140,$C$10:$C$1009,C140,$D$10:$D$1009,D140,$E$10:$E$1009,E140)&gt;1,"MÜKERRER?",IF(P140="","",IF(P140&gt;=$C$5,"İNCELE",IF(P140&lt;=-$C$5,"Düşük",""))))</f>
        <v/>
      </c>
      <c r="R140" s="16">
        <f>IF(AND(P140&lt;&gt;"",N(P140)&gt;=$C$5,COUNTIFS($B$10:B140,B140,$C$10:C140,C140,$D$10:D140,D140,$E$10:E140,E140)=1),(M140-N140)*E140*L140,0)</f>
        <v/>
      </c>
      <c r="S140" s="19">
        <f>IF(D140="",0,N(E140)*L140)</f>
        <v/>
      </c>
    </row>
    <row r="141">
      <c r="A141" s="11" t="n"/>
      <c r="B141" s="12" t="n"/>
      <c r="C141" s="12" t="n"/>
      <c r="D141" s="12" t="n"/>
      <c r="E141" s="13" t="n"/>
      <c r="F141" s="12" t="n"/>
      <c r="G141" s="14" t="n"/>
      <c r="H141" s="15" t="n"/>
      <c r="I141" s="16">
        <f>IF(G141="","",G141*(1-N(H141)))</f>
        <v/>
      </c>
      <c r="J141" s="16">
        <f>IF(I141="","",E141*I141)</f>
        <v/>
      </c>
      <c r="K141">
        <f>IF(D141="","",IFERROR(VLOOKUP(D141,'Ürün Eşleştirme'!$A$6:$D$505,2,FALSE),D141))</f>
        <v/>
      </c>
      <c r="L141" s="17">
        <f>IF(D141="","",IFERROR(VLOOKUP(D141,'Ürün Eşleştirme'!$A$6:$D$505,4,FALSE),1))</f>
        <v/>
      </c>
      <c r="M141" s="16">
        <f>IF(I141="","",I141/L141)</f>
        <v/>
      </c>
      <c r="N141" s="16">
        <f>IF(M141="","",IFERROR(AVERAGEIFS($M$10:$M$1009,$K$10:$K$1009,K141,$A$10:$A$1009,"&lt;"&amp;A141,$A$10:$A$1009,"&gt;="&amp;(A141-$C$6)),""))</f>
        <v/>
      </c>
      <c r="O141" s="16">
        <f>IF(M141="","",_xlfn.MINIFS($M$10:$M$1009,$K$10:$K$1009,K141,$A$10:$A$1009,"&lt;="&amp;A141,$A$10:$A$1009,"&gt;="&amp;(A141-$C$6)))</f>
        <v/>
      </c>
      <c r="P141" s="18">
        <f>IF(OR(N141="",N141=0),"",M141/N141-1)</f>
        <v/>
      </c>
      <c r="Q141">
        <f>IF(D141="","",IF(COUNTIFS($B$10:$B$1009,B141,$C$10:$C$1009,C141,$D$10:$D$1009,D141,$E$10:$E$1009,E141)&gt;1,"MÜKERRER?",IF(P141="","",IF(P141&gt;=$C$5,"İNCELE",IF(P141&lt;=-$C$5,"Düşük",""))))</f>
        <v/>
      </c>
      <c r="R141" s="16">
        <f>IF(AND(P141&lt;&gt;"",N(P141)&gt;=$C$5,COUNTIFS($B$10:B141,B141,$C$10:C141,C141,$D$10:D141,D141,$E$10:E141,E141)=1),(M141-N141)*E141*L141,0)</f>
        <v/>
      </c>
      <c r="S141" s="19">
        <f>IF(D141="",0,N(E141)*L141)</f>
        <v/>
      </c>
    </row>
    <row r="142">
      <c r="A142" s="11" t="n"/>
      <c r="B142" s="12" t="n"/>
      <c r="C142" s="12" t="n"/>
      <c r="D142" s="12" t="n"/>
      <c r="E142" s="13" t="n"/>
      <c r="F142" s="12" t="n"/>
      <c r="G142" s="14" t="n"/>
      <c r="H142" s="15" t="n"/>
      <c r="I142" s="16">
        <f>IF(G142="","",G142*(1-N(H142)))</f>
        <v/>
      </c>
      <c r="J142" s="16">
        <f>IF(I142="","",E142*I142)</f>
        <v/>
      </c>
      <c r="K142">
        <f>IF(D142="","",IFERROR(VLOOKUP(D142,'Ürün Eşleştirme'!$A$6:$D$505,2,FALSE),D142))</f>
        <v/>
      </c>
      <c r="L142" s="17">
        <f>IF(D142="","",IFERROR(VLOOKUP(D142,'Ürün Eşleştirme'!$A$6:$D$505,4,FALSE),1))</f>
        <v/>
      </c>
      <c r="M142" s="16">
        <f>IF(I142="","",I142/L142)</f>
        <v/>
      </c>
      <c r="N142" s="16">
        <f>IF(M142="","",IFERROR(AVERAGEIFS($M$10:$M$1009,$K$10:$K$1009,K142,$A$10:$A$1009,"&lt;"&amp;A142,$A$10:$A$1009,"&gt;="&amp;(A142-$C$6)),""))</f>
        <v/>
      </c>
      <c r="O142" s="16">
        <f>IF(M142="","",_xlfn.MINIFS($M$10:$M$1009,$K$10:$K$1009,K142,$A$10:$A$1009,"&lt;="&amp;A142,$A$10:$A$1009,"&gt;="&amp;(A142-$C$6)))</f>
        <v/>
      </c>
      <c r="P142" s="18">
        <f>IF(OR(N142="",N142=0),"",M142/N142-1)</f>
        <v/>
      </c>
      <c r="Q142">
        <f>IF(D142="","",IF(COUNTIFS($B$10:$B$1009,B142,$C$10:$C$1009,C142,$D$10:$D$1009,D142,$E$10:$E$1009,E142)&gt;1,"MÜKERRER?",IF(P142="","",IF(P142&gt;=$C$5,"İNCELE",IF(P142&lt;=-$C$5,"Düşük",""))))</f>
        <v/>
      </c>
      <c r="R142" s="16">
        <f>IF(AND(P142&lt;&gt;"",N(P142)&gt;=$C$5,COUNTIFS($B$10:B142,B142,$C$10:C142,C142,$D$10:D142,D142,$E$10:E142,E142)=1),(M142-N142)*E142*L142,0)</f>
        <v/>
      </c>
      <c r="S142" s="19">
        <f>IF(D142="",0,N(E142)*L142)</f>
        <v/>
      </c>
    </row>
    <row r="143">
      <c r="A143" s="11" t="n"/>
      <c r="B143" s="12" t="n"/>
      <c r="C143" s="12" t="n"/>
      <c r="D143" s="12" t="n"/>
      <c r="E143" s="13" t="n"/>
      <c r="F143" s="12" t="n"/>
      <c r="G143" s="14" t="n"/>
      <c r="H143" s="15" t="n"/>
      <c r="I143" s="16">
        <f>IF(G143="","",G143*(1-N(H143)))</f>
        <v/>
      </c>
      <c r="J143" s="16">
        <f>IF(I143="","",E143*I143)</f>
        <v/>
      </c>
      <c r="K143">
        <f>IF(D143="","",IFERROR(VLOOKUP(D143,'Ürün Eşleştirme'!$A$6:$D$505,2,FALSE),D143))</f>
        <v/>
      </c>
      <c r="L143" s="17">
        <f>IF(D143="","",IFERROR(VLOOKUP(D143,'Ürün Eşleştirme'!$A$6:$D$505,4,FALSE),1))</f>
        <v/>
      </c>
      <c r="M143" s="16">
        <f>IF(I143="","",I143/L143)</f>
        <v/>
      </c>
      <c r="N143" s="16">
        <f>IF(M143="","",IFERROR(AVERAGEIFS($M$10:$M$1009,$K$10:$K$1009,K143,$A$10:$A$1009,"&lt;"&amp;A143,$A$10:$A$1009,"&gt;="&amp;(A143-$C$6)),""))</f>
        <v/>
      </c>
      <c r="O143" s="16">
        <f>IF(M143="","",_xlfn.MINIFS($M$10:$M$1009,$K$10:$K$1009,K143,$A$10:$A$1009,"&lt;="&amp;A143,$A$10:$A$1009,"&gt;="&amp;(A143-$C$6)))</f>
        <v/>
      </c>
      <c r="P143" s="18">
        <f>IF(OR(N143="",N143=0),"",M143/N143-1)</f>
        <v/>
      </c>
      <c r="Q143">
        <f>IF(D143="","",IF(COUNTIFS($B$10:$B$1009,B143,$C$10:$C$1009,C143,$D$10:$D$1009,D143,$E$10:$E$1009,E143)&gt;1,"MÜKERRER?",IF(P143="","",IF(P143&gt;=$C$5,"İNCELE",IF(P143&lt;=-$C$5,"Düşük",""))))</f>
        <v/>
      </c>
      <c r="R143" s="16">
        <f>IF(AND(P143&lt;&gt;"",N(P143)&gt;=$C$5,COUNTIFS($B$10:B143,B143,$C$10:C143,C143,$D$10:D143,D143,$E$10:E143,E143)=1),(M143-N143)*E143*L143,0)</f>
        <v/>
      </c>
      <c r="S143" s="19">
        <f>IF(D143="",0,N(E143)*L143)</f>
        <v/>
      </c>
    </row>
    <row r="144">
      <c r="A144" s="11" t="n"/>
      <c r="B144" s="12" t="n"/>
      <c r="C144" s="12" t="n"/>
      <c r="D144" s="12" t="n"/>
      <c r="E144" s="13" t="n"/>
      <c r="F144" s="12" t="n"/>
      <c r="G144" s="14" t="n"/>
      <c r="H144" s="15" t="n"/>
      <c r="I144" s="16">
        <f>IF(G144="","",G144*(1-N(H144)))</f>
        <v/>
      </c>
      <c r="J144" s="16">
        <f>IF(I144="","",E144*I144)</f>
        <v/>
      </c>
      <c r="K144">
        <f>IF(D144="","",IFERROR(VLOOKUP(D144,'Ürün Eşleştirme'!$A$6:$D$505,2,FALSE),D144))</f>
        <v/>
      </c>
      <c r="L144" s="17">
        <f>IF(D144="","",IFERROR(VLOOKUP(D144,'Ürün Eşleştirme'!$A$6:$D$505,4,FALSE),1))</f>
        <v/>
      </c>
      <c r="M144" s="16">
        <f>IF(I144="","",I144/L144)</f>
        <v/>
      </c>
      <c r="N144" s="16">
        <f>IF(M144="","",IFERROR(AVERAGEIFS($M$10:$M$1009,$K$10:$K$1009,K144,$A$10:$A$1009,"&lt;"&amp;A144,$A$10:$A$1009,"&gt;="&amp;(A144-$C$6)),""))</f>
        <v/>
      </c>
      <c r="O144" s="16">
        <f>IF(M144="","",_xlfn.MINIFS($M$10:$M$1009,$K$10:$K$1009,K144,$A$10:$A$1009,"&lt;="&amp;A144,$A$10:$A$1009,"&gt;="&amp;(A144-$C$6)))</f>
        <v/>
      </c>
      <c r="P144" s="18">
        <f>IF(OR(N144="",N144=0),"",M144/N144-1)</f>
        <v/>
      </c>
      <c r="Q144">
        <f>IF(D144="","",IF(COUNTIFS($B$10:$B$1009,B144,$C$10:$C$1009,C144,$D$10:$D$1009,D144,$E$10:$E$1009,E144)&gt;1,"MÜKERRER?",IF(P144="","",IF(P144&gt;=$C$5,"İNCELE",IF(P144&lt;=-$C$5,"Düşük",""))))</f>
        <v/>
      </c>
      <c r="R144" s="16">
        <f>IF(AND(P144&lt;&gt;"",N(P144)&gt;=$C$5,COUNTIFS($B$10:B144,B144,$C$10:C144,C144,$D$10:D144,D144,$E$10:E144,E144)=1),(M144-N144)*E144*L144,0)</f>
        <v/>
      </c>
      <c r="S144" s="19">
        <f>IF(D144="",0,N(E144)*L144)</f>
        <v/>
      </c>
    </row>
    <row r="145">
      <c r="A145" s="11" t="n"/>
      <c r="B145" s="12" t="n"/>
      <c r="C145" s="12" t="n"/>
      <c r="D145" s="12" t="n"/>
      <c r="E145" s="13" t="n"/>
      <c r="F145" s="12" t="n"/>
      <c r="G145" s="14" t="n"/>
      <c r="H145" s="15" t="n"/>
      <c r="I145" s="16">
        <f>IF(G145="","",G145*(1-N(H145)))</f>
        <v/>
      </c>
      <c r="J145" s="16">
        <f>IF(I145="","",E145*I145)</f>
        <v/>
      </c>
      <c r="K145">
        <f>IF(D145="","",IFERROR(VLOOKUP(D145,'Ürün Eşleştirme'!$A$6:$D$505,2,FALSE),D145))</f>
        <v/>
      </c>
      <c r="L145" s="17">
        <f>IF(D145="","",IFERROR(VLOOKUP(D145,'Ürün Eşleştirme'!$A$6:$D$505,4,FALSE),1))</f>
        <v/>
      </c>
      <c r="M145" s="16">
        <f>IF(I145="","",I145/L145)</f>
        <v/>
      </c>
      <c r="N145" s="16">
        <f>IF(M145="","",IFERROR(AVERAGEIFS($M$10:$M$1009,$K$10:$K$1009,K145,$A$10:$A$1009,"&lt;"&amp;A145,$A$10:$A$1009,"&gt;="&amp;(A145-$C$6)),""))</f>
        <v/>
      </c>
      <c r="O145" s="16">
        <f>IF(M145="","",_xlfn.MINIFS($M$10:$M$1009,$K$10:$K$1009,K145,$A$10:$A$1009,"&lt;="&amp;A145,$A$10:$A$1009,"&gt;="&amp;(A145-$C$6)))</f>
        <v/>
      </c>
      <c r="P145" s="18">
        <f>IF(OR(N145="",N145=0),"",M145/N145-1)</f>
        <v/>
      </c>
      <c r="Q145">
        <f>IF(D145="","",IF(COUNTIFS($B$10:$B$1009,B145,$C$10:$C$1009,C145,$D$10:$D$1009,D145,$E$10:$E$1009,E145)&gt;1,"MÜKERRER?",IF(P145="","",IF(P145&gt;=$C$5,"İNCELE",IF(P145&lt;=-$C$5,"Düşük",""))))</f>
        <v/>
      </c>
      <c r="R145" s="16">
        <f>IF(AND(P145&lt;&gt;"",N(P145)&gt;=$C$5,COUNTIFS($B$10:B145,B145,$C$10:C145,C145,$D$10:D145,D145,$E$10:E145,E145)=1),(M145-N145)*E145*L145,0)</f>
        <v/>
      </c>
      <c r="S145" s="19">
        <f>IF(D145="",0,N(E145)*L145)</f>
        <v/>
      </c>
    </row>
    <row r="146">
      <c r="A146" s="11" t="n"/>
      <c r="B146" s="12" t="n"/>
      <c r="C146" s="12" t="n"/>
      <c r="D146" s="12" t="n"/>
      <c r="E146" s="13" t="n"/>
      <c r="F146" s="12" t="n"/>
      <c r="G146" s="14" t="n"/>
      <c r="H146" s="15" t="n"/>
      <c r="I146" s="16">
        <f>IF(G146="","",G146*(1-N(H146)))</f>
        <v/>
      </c>
      <c r="J146" s="16">
        <f>IF(I146="","",E146*I146)</f>
        <v/>
      </c>
      <c r="K146">
        <f>IF(D146="","",IFERROR(VLOOKUP(D146,'Ürün Eşleştirme'!$A$6:$D$505,2,FALSE),D146))</f>
        <v/>
      </c>
      <c r="L146" s="17">
        <f>IF(D146="","",IFERROR(VLOOKUP(D146,'Ürün Eşleştirme'!$A$6:$D$505,4,FALSE),1))</f>
        <v/>
      </c>
      <c r="M146" s="16">
        <f>IF(I146="","",I146/L146)</f>
        <v/>
      </c>
      <c r="N146" s="16">
        <f>IF(M146="","",IFERROR(AVERAGEIFS($M$10:$M$1009,$K$10:$K$1009,K146,$A$10:$A$1009,"&lt;"&amp;A146,$A$10:$A$1009,"&gt;="&amp;(A146-$C$6)),""))</f>
        <v/>
      </c>
      <c r="O146" s="16">
        <f>IF(M146="","",_xlfn.MINIFS($M$10:$M$1009,$K$10:$K$1009,K146,$A$10:$A$1009,"&lt;="&amp;A146,$A$10:$A$1009,"&gt;="&amp;(A146-$C$6)))</f>
        <v/>
      </c>
      <c r="P146" s="18">
        <f>IF(OR(N146="",N146=0),"",M146/N146-1)</f>
        <v/>
      </c>
      <c r="Q146">
        <f>IF(D146="","",IF(COUNTIFS($B$10:$B$1009,B146,$C$10:$C$1009,C146,$D$10:$D$1009,D146,$E$10:$E$1009,E146)&gt;1,"MÜKERRER?",IF(P146="","",IF(P146&gt;=$C$5,"İNCELE",IF(P146&lt;=-$C$5,"Düşük",""))))</f>
        <v/>
      </c>
      <c r="R146" s="16">
        <f>IF(AND(P146&lt;&gt;"",N(P146)&gt;=$C$5,COUNTIFS($B$10:B146,B146,$C$10:C146,C146,$D$10:D146,D146,$E$10:E146,E146)=1),(M146-N146)*E146*L146,0)</f>
        <v/>
      </c>
      <c r="S146" s="19">
        <f>IF(D146="",0,N(E146)*L146)</f>
        <v/>
      </c>
    </row>
    <row r="147">
      <c r="A147" s="11" t="n"/>
      <c r="B147" s="12" t="n"/>
      <c r="C147" s="12" t="n"/>
      <c r="D147" s="12" t="n"/>
      <c r="E147" s="13" t="n"/>
      <c r="F147" s="12" t="n"/>
      <c r="G147" s="14" t="n"/>
      <c r="H147" s="15" t="n"/>
      <c r="I147" s="16">
        <f>IF(G147="","",G147*(1-N(H147)))</f>
        <v/>
      </c>
      <c r="J147" s="16">
        <f>IF(I147="","",E147*I147)</f>
        <v/>
      </c>
      <c r="K147">
        <f>IF(D147="","",IFERROR(VLOOKUP(D147,'Ürün Eşleştirme'!$A$6:$D$505,2,FALSE),D147))</f>
        <v/>
      </c>
      <c r="L147" s="17">
        <f>IF(D147="","",IFERROR(VLOOKUP(D147,'Ürün Eşleştirme'!$A$6:$D$505,4,FALSE),1))</f>
        <v/>
      </c>
      <c r="M147" s="16">
        <f>IF(I147="","",I147/L147)</f>
        <v/>
      </c>
      <c r="N147" s="16">
        <f>IF(M147="","",IFERROR(AVERAGEIFS($M$10:$M$1009,$K$10:$K$1009,K147,$A$10:$A$1009,"&lt;"&amp;A147,$A$10:$A$1009,"&gt;="&amp;(A147-$C$6)),""))</f>
        <v/>
      </c>
      <c r="O147" s="16">
        <f>IF(M147="","",_xlfn.MINIFS($M$10:$M$1009,$K$10:$K$1009,K147,$A$10:$A$1009,"&lt;="&amp;A147,$A$10:$A$1009,"&gt;="&amp;(A147-$C$6)))</f>
        <v/>
      </c>
      <c r="P147" s="18">
        <f>IF(OR(N147="",N147=0),"",M147/N147-1)</f>
        <v/>
      </c>
      <c r="Q147">
        <f>IF(D147="","",IF(COUNTIFS($B$10:$B$1009,B147,$C$10:$C$1009,C147,$D$10:$D$1009,D147,$E$10:$E$1009,E147)&gt;1,"MÜKERRER?",IF(P147="","",IF(P147&gt;=$C$5,"İNCELE",IF(P147&lt;=-$C$5,"Düşük",""))))</f>
        <v/>
      </c>
      <c r="R147" s="16">
        <f>IF(AND(P147&lt;&gt;"",N(P147)&gt;=$C$5,COUNTIFS($B$10:B147,B147,$C$10:C147,C147,$D$10:D147,D147,$E$10:E147,E147)=1),(M147-N147)*E147*L147,0)</f>
        <v/>
      </c>
      <c r="S147" s="19">
        <f>IF(D147="",0,N(E147)*L147)</f>
        <v/>
      </c>
    </row>
    <row r="148">
      <c r="A148" s="11" t="n"/>
      <c r="B148" s="12" t="n"/>
      <c r="C148" s="12" t="n"/>
      <c r="D148" s="12" t="n"/>
      <c r="E148" s="13" t="n"/>
      <c r="F148" s="12" t="n"/>
      <c r="G148" s="14" t="n"/>
      <c r="H148" s="15" t="n"/>
      <c r="I148" s="16">
        <f>IF(G148="","",G148*(1-N(H148)))</f>
        <v/>
      </c>
      <c r="J148" s="16">
        <f>IF(I148="","",E148*I148)</f>
        <v/>
      </c>
      <c r="K148">
        <f>IF(D148="","",IFERROR(VLOOKUP(D148,'Ürün Eşleştirme'!$A$6:$D$505,2,FALSE),D148))</f>
        <v/>
      </c>
      <c r="L148" s="17">
        <f>IF(D148="","",IFERROR(VLOOKUP(D148,'Ürün Eşleştirme'!$A$6:$D$505,4,FALSE),1))</f>
        <v/>
      </c>
      <c r="M148" s="16">
        <f>IF(I148="","",I148/L148)</f>
        <v/>
      </c>
      <c r="N148" s="16">
        <f>IF(M148="","",IFERROR(AVERAGEIFS($M$10:$M$1009,$K$10:$K$1009,K148,$A$10:$A$1009,"&lt;"&amp;A148,$A$10:$A$1009,"&gt;="&amp;(A148-$C$6)),""))</f>
        <v/>
      </c>
      <c r="O148" s="16">
        <f>IF(M148="","",_xlfn.MINIFS($M$10:$M$1009,$K$10:$K$1009,K148,$A$10:$A$1009,"&lt;="&amp;A148,$A$10:$A$1009,"&gt;="&amp;(A148-$C$6)))</f>
        <v/>
      </c>
      <c r="P148" s="18">
        <f>IF(OR(N148="",N148=0),"",M148/N148-1)</f>
        <v/>
      </c>
      <c r="Q148">
        <f>IF(D148="","",IF(COUNTIFS($B$10:$B$1009,B148,$C$10:$C$1009,C148,$D$10:$D$1009,D148,$E$10:$E$1009,E148)&gt;1,"MÜKERRER?",IF(P148="","",IF(P148&gt;=$C$5,"İNCELE",IF(P148&lt;=-$C$5,"Düşük",""))))</f>
        <v/>
      </c>
      <c r="R148" s="16">
        <f>IF(AND(P148&lt;&gt;"",N(P148)&gt;=$C$5,COUNTIFS($B$10:B148,B148,$C$10:C148,C148,$D$10:D148,D148,$E$10:E148,E148)=1),(M148-N148)*E148*L148,0)</f>
        <v/>
      </c>
      <c r="S148" s="19">
        <f>IF(D148="",0,N(E148)*L148)</f>
        <v/>
      </c>
    </row>
    <row r="149">
      <c r="A149" s="11" t="n"/>
      <c r="B149" s="12" t="n"/>
      <c r="C149" s="12" t="n"/>
      <c r="D149" s="12" t="n"/>
      <c r="E149" s="13" t="n"/>
      <c r="F149" s="12" t="n"/>
      <c r="G149" s="14" t="n"/>
      <c r="H149" s="15" t="n"/>
      <c r="I149" s="16">
        <f>IF(G149="","",G149*(1-N(H149)))</f>
        <v/>
      </c>
      <c r="J149" s="16">
        <f>IF(I149="","",E149*I149)</f>
        <v/>
      </c>
      <c r="K149">
        <f>IF(D149="","",IFERROR(VLOOKUP(D149,'Ürün Eşleştirme'!$A$6:$D$505,2,FALSE),D149))</f>
        <v/>
      </c>
      <c r="L149" s="17">
        <f>IF(D149="","",IFERROR(VLOOKUP(D149,'Ürün Eşleştirme'!$A$6:$D$505,4,FALSE),1))</f>
        <v/>
      </c>
      <c r="M149" s="16">
        <f>IF(I149="","",I149/L149)</f>
        <v/>
      </c>
      <c r="N149" s="16">
        <f>IF(M149="","",IFERROR(AVERAGEIFS($M$10:$M$1009,$K$10:$K$1009,K149,$A$10:$A$1009,"&lt;"&amp;A149,$A$10:$A$1009,"&gt;="&amp;(A149-$C$6)),""))</f>
        <v/>
      </c>
      <c r="O149" s="16">
        <f>IF(M149="","",_xlfn.MINIFS($M$10:$M$1009,$K$10:$K$1009,K149,$A$10:$A$1009,"&lt;="&amp;A149,$A$10:$A$1009,"&gt;="&amp;(A149-$C$6)))</f>
        <v/>
      </c>
      <c r="P149" s="18">
        <f>IF(OR(N149="",N149=0),"",M149/N149-1)</f>
        <v/>
      </c>
      <c r="Q149">
        <f>IF(D149="","",IF(COUNTIFS($B$10:$B$1009,B149,$C$10:$C$1009,C149,$D$10:$D$1009,D149,$E$10:$E$1009,E149)&gt;1,"MÜKERRER?",IF(P149="","",IF(P149&gt;=$C$5,"İNCELE",IF(P149&lt;=-$C$5,"Düşük",""))))</f>
        <v/>
      </c>
      <c r="R149" s="16">
        <f>IF(AND(P149&lt;&gt;"",N(P149)&gt;=$C$5,COUNTIFS($B$10:B149,B149,$C$10:C149,C149,$D$10:D149,D149,$E$10:E149,E149)=1),(M149-N149)*E149*L149,0)</f>
        <v/>
      </c>
      <c r="S149" s="19">
        <f>IF(D149="",0,N(E149)*L149)</f>
        <v/>
      </c>
    </row>
    <row r="150">
      <c r="A150" s="11" t="n"/>
      <c r="B150" s="12" t="n"/>
      <c r="C150" s="12" t="n"/>
      <c r="D150" s="12" t="n"/>
      <c r="E150" s="13" t="n"/>
      <c r="F150" s="12" t="n"/>
      <c r="G150" s="14" t="n"/>
      <c r="H150" s="15" t="n"/>
      <c r="I150" s="16">
        <f>IF(G150="","",G150*(1-N(H150)))</f>
        <v/>
      </c>
      <c r="J150" s="16">
        <f>IF(I150="","",E150*I150)</f>
        <v/>
      </c>
      <c r="K150">
        <f>IF(D150="","",IFERROR(VLOOKUP(D150,'Ürün Eşleştirme'!$A$6:$D$505,2,FALSE),D150))</f>
        <v/>
      </c>
      <c r="L150" s="17">
        <f>IF(D150="","",IFERROR(VLOOKUP(D150,'Ürün Eşleştirme'!$A$6:$D$505,4,FALSE),1))</f>
        <v/>
      </c>
      <c r="M150" s="16">
        <f>IF(I150="","",I150/L150)</f>
        <v/>
      </c>
      <c r="N150" s="16">
        <f>IF(M150="","",IFERROR(AVERAGEIFS($M$10:$M$1009,$K$10:$K$1009,K150,$A$10:$A$1009,"&lt;"&amp;A150,$A$10:$A$1009,"&gt;="&amp;(A150-$C$6)),""))</f>
        <v/>
      </c>
      <c r="O150" s="16">
        <f>IF(M150="","",_xlfn.MINIFS($M$10:$M$1009,$K$10:$K$1009,K150,$A$10:$A$1009,"&lt;="&amp;A150,$A$10:$A$1009,"&gt;="&amp;(A150-$C$6)))</f>
        <v/>
      </c>
      <c r="P150" s="18">
        <f>IF(OR(N150="",N150=0),"",M150/N150-1)</f>
        <v/>
      </c>
      <c r="Q150">
        <f>IF(D150="","",IF(COUNTIFS($B$10:$B$1009,B150,$C$10:$C$1009,C150,$D$10:$D$1009,D150,$E$10:$E$1009,E150)&gt;1,"MÜKERRER?",IF(P150="","",IF(P150&gt;=$C$5,"İNCELE",IF(P150&lt;=-$C$5,"Düşük",""))))</f>
        <v/>
      </c>
      <c r="R150" s="16">
        <f>IF(AND(P150&lt;&gt;"",N(P150)&gt;=$C$5,COUNTIFS($B$10:B150,B150,$C$10:C150,C150,$D$10:D150,D150,$E$10:E150,E150)=1),(M150-N150)*E150*L150,0)</f>
        <v/>
      </c>
      <c r="S150" s="19">
        <f>IF(D150="",0,N(E150)*L150)</f>
        <v/>
      </c>
    </row>
    <row r="151">
      <c r="A151" s="11" t="n"/>
      <c r="B151" s="12" t="n"/>
      <c r="C151" s="12" t="n"/>
      <c r="D151" s="12" t="n"/>
      <c r="E151" s="13" t="n"/>
      <c r="F151" s="12" t="n"/>
      <c r="G151" s="14" t="n"/>
      <c r="H151" s="15" t="n"/>
      <c r="I151" s="16">
        <f>IF(G151="","",G151*(1-N(H151)))</f>
        <v/>
      </c>
      <c r="J151" s="16">
        <f>IF(I151="","",E151*I151)</f>
        <v/>
      </c>
      <c r="K151">
        <f>IF(D151="","",IFERROR(VLOOKUP(D151,'Ürün Eşleştirme'!$A$6:$D$505,2,FALSE),D151))</f>
        <v/>
      </c>
      <c r="L151" s="17">
        <f>IF(D151="","",IFERROR(VLOOKUP(D151,'Ürün Eşleştirme'!$A$6:$D$505,4,FALSE),1))</f>
        <v/>
      </c>
      <c r="M151" s="16">
        <f>IF(I151="","",I151/L151)</f>
        <v/>
      </c>
      <c r="N151" s="16">
        <f>IF(M151="","",IFERROR(AVERAGEIFS($M$10:$M$1009,$K$10:$K$1009,K151,$A$10:$A$1009,"&lt;"&amp;A151,$A$10:$A$1009,"&gt;="&amp;(A151-$C$6)),""))</f>
        <v/>
      </c>
      <c r="O151" s="16">
        <f>IF(M151="","",_xlfn.MINIFS($M$10:$M$1009,$K$10:$K$1009,K151,$A$10:$A$1009,"&lt;="&amp;A151,$A$10:$A$1009,"&gt;="&amp;(A151-$C$6)))</f>
        <v/>
      </c>
      <c r="P151" s="18">
        <f>IF(OR(N151="",N151=0),"",M151/N151-1)</f>
        <v/>
      </c>
      <c r="Q151">
        <f>IF(D151="","",IF(COUNTIFS($B$10:$B$1009,B151,$C$10:$C$1009,C151,$D$10:$D$1009,D151,$E$10:$E$1009,E151)&gt;1,"MÜKERRER?",IF(P151="","",IF(P151&gt;=$C$5,"İNCELE",IF(P151&lt;=-$C$5,"Düşük",""))))</f>
        <v/>
      </c>
      <c r="R151" s="16">
        <f>IF(AND(P151&lt;&gt;"",N(P151)&gt;=$C$5,COUNTIFS($B$10:B151,B151,$C$10:C151,C151,$D$10:D151,D151,$E$10:E151,E151)=1),(M151-N151)*E151*L151,0)</f>
        <v/>
      </c>
      <c r="S151" s="19">
        <f>IF(D151="",0,N(E151)*L151)</f>
        <v/>
      </c>
    </row>
    <row r="152">
      <c r="A152" s="11" t="n"/>
      <c r="B152" s="12" t="n"/>
      <c r="C152" s="12" t="n"/>
      <c r="D152" s="12" t="n"/>
      <c r="E152" s="13" t="n"/>
      <c r="F152" s="12" t="n"/>
      <c r="G152" s="14" t="n"/>
      <c r="H152" s="15" t="n"/>
      <c r="I152" s="16">
        <f>IF(G152="","",G152*(1-N(H152)))</f>
        <v/>
      </c>
      <c r="J152" s="16">
        <f>IF(I152="","",E152*I152)</f>
        <v/>
      </c>
      <c r="K152">
        <f>IF(D152="","",IFERROR(VLOOKUP(D152,'Ürün Eşleştirme'!$A$6:$D$505,2,FALSE),D152))</f>
        <v/>
      </c>
      <c r="L152" s="17">
        <f>IF(D152="","",IFERROR(VLOOKUP(D152,'Ürün Eşleştirme'!$A$6:$D$505,4,FALSE),1))</f>
        <v/>
      </c>
      <c r="M152" s="16">
        <f>IF(I152="","",I152/L152)</f>
        <v/>
      </c>
      <c r="N152" s="16">
        <f>IF(M152="","",IFERROR(AVERAGEIFS($M$10:$M$1009,$K$10:$K$1009,K152,$A$10:$A$1009,"&lt;"&amp;A152,$A$10:$A$1009,"&gt;="&amp;(A152-$C$6)),""))</f>
        <v/>
      </c>
      <c r="O152" s="16">
        <f>IF(M152="","",_xlfn.MINIFS($M$10:$M$1009,$K$10:$K$1009,K152,$A$10:$A$1009,"&lt;="&amp;A152,$A$10:$A$1009,"&gt;="&amp;(A152-$C$6)))</f>
        <v/>
      </c>
      <c r="P152" s="18">
        <f>IF(OR(N152="",N152=0),"",M152/N152-1)</f>
        <v/>
      </c>
      <c r="Q152">
        <f>IF(D152="","",IF(COUNTIFS($B$10:$B$1009,B152,$C$10:$C$1009,C152,$D$10:$D$1009,D152,$E$10:$E$1009,E152)&gt;1,"MÜKERRER?",IF(P152="","",IF(P152&gt;=$C$5,"İNCELE",IF(P152&lt;=-$C$5,"Düşük",""))))</f>
        <v/>
      </c>
      <c r="R152" s="16">
        <f>IF(AND(P152&lt;&gt;"",N(P152)&gt;=$C$5,COUNTIFS($B$10:B152,B152,$C$10:C152,C152,$D$10:D152,D152,$E$10:E152,E152)=1),(M152-N152)*E152*L152,0)</f>
        <v/>
      </c>
      <c r="S152" s="19">
        <f>IF(D152="",0,N(E152)*L152)</f>
        <v/>
      </c>
    </row>
    <row r="153">
      <c r="A153" s="11" t="n"/>
      <c r="B153" s="12" t="n"/>
      <c r="C153" s="12" t="n"/>
      <c r="D153" s="12" t="n"/>
      <c r="E153" s="13" t="n"/>
      <c r="F153" s="12" t="n"/>
      <c r="G153" s="14" t="n"/>
      <c r="H153" s="15" t="n"/>
      <c r="I153" s="16">
        <f>IF(G153="","",G153*(1-N(H153)))</f>
        <v/>
      </c>
      <c r="J153" s="16">
        <f>IF(I153="","",E153*I153)</f>
        <v/>
      </c>
      <c r="K153">
        <f>IF(D153="","",IFERROR(VLOOKUP(D153,'Ürün Eşleştirme'!$A$6:$D$505,2,FALSE),D153))</f>
        <v/>
      </c>
      <c r="L153" s="17">
        <f>IF(D153="","",IFERROR(VLOOKUP(D153,'Ürün Eşleştirme'!$A$6:$D$505,4,FALSE),1))</f>
        <v/>
      </c>
      <c r="M153" s="16">
        <f>IF(I153="","",I153/L153)</f>
        <v/>
      </c>
      <c r="N153" s="16">
        <f>IF(M153="","",IFERROR(AVERAGEIFS($M$10:$M$1009,$K$10:$K$1009,K153,$A$10:$A$1009,"&lt;"&amp;A153,$A$10:$A$1009,"&gt;="&amp;(A153-$C$6)),""))</f>
        <v/>
      </c>
      <c r="O153" s="16">
        <f>IF(M153="","",_xlfn.MINIFS($M$10:$M$1009,$K$10:$K$1009,K153,$A$10:$A$1009,"&lt;="&amp;A153,$A$10:$A$1009,"&gt;="&amp;(A153-$C$6)))</f>
        <v/>
      </c>
      <c r="P153" s="18">
        <f>IF(OR(N153="",N153=0),"",M153/N153-1)</f>
        <v/>
      </c>
      <c r="Q153">
        <f>IF(D153="","",IF(COUNTIFS($B$10:$B$1009,B153,$C$10:$C$1009,C153,$D$10:$D$1009,D153,$E$10:$E$1009,E153)&gt;1,"MÜKERRER?",IF(P153="","",IF(P153&gt;=$C$5,"İNCELE",IF(P153&lt;=-$C$5,"Düşük",""))))</f>
        <v/>
      </c>
      <c r="R153" s="16">
        <f>IF(AND(P153&lt;&gt;"",N(P153)&gt;=$C$5,COUNTIFS($B$10:B153,B153,$C$10:C153,C153,$D$10:D153,D153,$E$10:E153,E153)=1),(M153-N153)*E153*L153,0)</f>
        <v/>
      </c>
      <c r="S153" s="19">
        <f>IF(D153="",0,N(E153)*L153)</f>
        <v/>
      </c>
    </row>
    <row r="154">
      <c r="A154" s="11" t="n"/>
      <c r="B154" s="12" t="n"/>
      <c r="C154" s="12" t="n"/>
      <c r="D154" s="12" t="n"/>
      <c r="E154" s="13" t="n"/>
      <c r="F154" s="12" t="n"/>
      <c r="G154" s="14" t="n"/>
      <c r="H154" s="15" t="n"/>
      <c r="I154" s="16">
        <f>IF(G154="","",G154*(1-N(H154)))</f>
        <v/>
      </c>
      <c r="J154" s="16">
        <f>IF(I154="","",E154*I154)</f>
        <v/>
      </c>
      <c r="K154">
        <f>IF(D154="","",IFERROR(VLOOKUP(D154,'Ürün Eşleştirme'!$A$6:$D$505,2,FALSE),D154))</f>
        <v/>
      </c>
      <c r="L154" s="17">
        <f>IF(D154="","",IFERROR(VLOOKUP(D154,'Ürün Eşleştirme'!$A$6:$D$505,4,FALSE),1))</f>
        <v/>
      </c>
      <c r="M154" s="16">
        <f>IF(I154="","",I154/L154)</f>
        <v/>
      </c>
      <c r="N154" s="16">
        <f>IF(M154="","",IFERROR(AVERAGEIFS($M$10:$M$1009,$K$10:$K$1009,K154,$A$10:$A$1009,"&lt;"&amp;A154,$A$10:$A$1009,"&gt;="&amp;(A154-$C$6)),""))</f>
        <v/>
      </c>
      <c r="O154" s="16">
        <f>IF(M154="","",_xlfn.MINIFS($M$10:$M$1009,$K$10:$K$1009,K154,$A$10:$A$1009,"&lt;="&amp;A154,$A$10:$A$1009,"&gt;="&amp;(A154-$C$6)))</f>
        <v/>
      </c>
      <c r="P154" s="18">
        <f>IF(OR(N154="",N154=0),"",M154/N154-1)</f>
        <v/>
      </c>
      <c r="Q154">
        <f>IF(D154="","",IF(COUNTIFS($B$10:$B$1009,B154,$C$10:$C$1009,C154,$D$10:$D$1009,D154,$E$10:$E$1009,E154)&gt;1,"MÜKERRER?",IF(P154="","",IF(P154&gt;=$C$5,"İNCELE",IF(P154&lt;=-$C$5,"Düşük",""))))</f>
        <v/>
      </c>
      <c r="R154" s="16">
        <f>IF(AND(P154&lt;&gt;"",N(P154)&gt;=$C$5,COUNTIFS($B$10:B154,B154,$C$10:C154,C154,$D$10:D154,D154,$E$10:E154,E154)=1),(M154-N154)*E154*L154,0)</f>
        <v/>
      </c>
      <c r="S154" s="19">
        <f>IF(D154="",0,N(E154)*L154)</f>
        <v/>
      </c>
    </row>
    <row r="155">
      <c r="A155" s="11" t="n"/>
      <c r="B155" s="12" t="n"/>
      <c r="C155" s="12" t="n"/>
      <c r="D155" s="12" t="n"/>
      <c r="E155" s="13" t="n"/>
      <c r="F155" s="12" t="n"/>
      <c r="G155" s="14" t="n"/>
      <c r="H155" s="15" t="n"/>
      <c r="I155" s="16">
        <f>IF(G155="","",G155*(1-N(H155)))</f>
        <v/>
      </c>
      <c r="J155" s="16">
        <f>IF(I155="","",E155*I155)</f>
        <v/>
      </c>
      <c r="K155">
        <f>IF(D155="","",IFERROR(VLOOKUP(D155,'Ürün Eşleştirme'!$A$6:$D$505,2,FALSE),D155))</f>
        <v/>
      </c>
      <c r="L155" s="17">
        <f>IF(D155="","",IFERROR(VLOOKUP(D155,'Ürün Eşleştirme'!$A$6:$D$505,4,FALSE),1))</f>
        <v/>
      </c>
      <c r="M155" s="16">
        <f>IF(I155="","",I155/L155)</f>
        <v/>
      </c>
      <c r="N155" s="16">
        <f>IF(M155="","",IFERROR(AVERAGEIFS($M$10:$M$1009,$K$10:$K$1009,K155,$A$10:$A$1009,"&lt;"&amp;A155,$A$10:$A$1009,"&gt;="&amp;(A155-$C$6)),""))</f>
        <v/>
      </c>
      <c r="O155" s="16">
        <f>IF(M155="","",_xlfn.MINIFS($M$10:$M$1009,$K$10:$K$1009,K155,$A$10:$A$1009,"&lt;="&amp;A155,$A$10:$A$1009,"&gt;="&amp;(A155-$C$6)))</f>
        <v/>
      </c>
      <c r="P155" s="18">
        <f>IF(OR(N155="",N155=0),"",M155/N155-1)</f>
        <v/>
      </c>
      <c r="Q155">
        <f>IF(D155="","",IF(COUNTIFS($B$10:$B$1009,B155,$C$10:$C$1009,C155,$D$10:$D$1009,D155,$E$10:$E$1009,E155)&gt;1,"MÜKERRER?",IF(P155="","",IF(P155&gt;=$C$5,"İNCELE",IF(P155&lt;=-$C$5,"Düşük",""))))</f>
        <v/>
      </c>
      <c r="R155" s="16">
        <f>IF(AND(P155&lt;&gt;"",N(P155)&gt;=$C$5,COUNTIFS($B$10:B155,B155,$C$10:C155,C155,$D$10:D155,D155,$E$10:E155,E155)=1),(M155-N155)*E155*L155,0)</f>
        <v/>
      </c>
      <c r="S155" s="19">
        <f>IF(D155="",0,N(E155)*L155)</f>
        <v/>
      </c>
    </row>
    <row r="156">
      <c r="A156" s="11" t="n"/>
      <c r="B156" s="12" t="n"/>
      <c r="C156" s="12" t="n"/>
      <c r="D156" s="12" t="n"/>
      <c r="E156" s="13" t="n"/>
      <c r="F156" s="12" t="n"/>
      <c r="G156" s="14" t="n"/>
      <c r="H156" s="15" t="n"/>
      <c r="I156" s="16">
        <f>IF(G156="","",G156*(1-N(H156)))</f>
        <v/>
      </c>
      <c r="J156" s="16">
        <f>IF(I156="","",E156*I156)</f>
        <v/>
      </c>
      <c r="K156">
        <f>IF(D156="","",IFERROR(VLOOKUP(D156,'Ürün Eşleştirme'!$A$6:$D$505,2,FALSE),D156))</f>
        <v/>
      </c>
      <c r="L156" s="17">
        <f>IF(D156="","",IFERROR(VLOOKUP(D156,'Ürün Eşleştirme'!$A$6:$D$505,4,FALSE),1))</f>
        <v/>
      </c>
      <c r="M156" s="16">
        <f>IF(I156="","",I156/L156)</f>
        <v/>
      </c>
      <c r="N156" s="16">
        <f>IF(M156="","",IFERROR(AVERAGEIFS($M$10:$M$1009,$K$10:$K$1009,K156,$A$10:$A$1009,"&lt;"&amp;A156,$A$10:$A$1009,"&gt;="&amp;(A156-$C$6)),""))</f>
        <v/>
      </c>
      <c r="O156" s="16">
        <f>IF(M156="","",_xlfn.MINIFS($M$10:$M$1009,$K$10:$K$1009,K156,$A$10:$A$1009,"&lt;="&amp;A156,$A$10:$A$1009,"&gt;="&amp;(A156-$C$6)))</f>
        <v/>
      </c>
      <c r="P156" s="18">
        <f>IF(OR(N156="",N156=0),"",M156/N156-1)</f>
        <v/>
      </c>
      <c r="Q156">
        <f>IF(D156="","",IF(COUNTIFS($B$10:$B$1009,B156,$C$10:$C$1009,C156,$D$10:$D$1009,D156,$E$10:$E$1009,E156)&gt;1,"MÜKERRER?",IF(P156="","",IF(P156&gt;=$C$5,"İNCELE",IF(P156&lt;=-$C$5,"Düşük",""))))</f>
        <v/>
      </c>
      <c r="R156" s="16">
        <f>IF(AND(P156&lt;&gt;"",N(P156)&gt;=$C$5,COUNTIFS($B$10:B156,B156,$C$10:C156,C156,$D$10:D156,D156,$E$10:E156,E156)=1),(M156-N156)*E156*L156,0)</f>
        <v/>
      </c>
      <c r="S156" s="19">
        <f>IF(D156="",0,N(E156)*L156)</f>
        <v/>
      </c>
    </row>
    <row r="157">
      <c r="A157" s="11" t="n"/>
      <c r="B157" s="12" t="n"/>
      <c r="C157" s="12" t="n"/>
      <c r="D157" s="12" t="n"/>
      <c r="E157" s="13" t="n"/>
      <c r="F157" s="12" t="n"/>
      <c r="G157" s="14" t="n"/>
      <c r="H157" s="15" t="n"/>
      <c r="I157" s="16">
        <f>IF(G157="","",G157*(1-N(H157)))</f>
        <v/>
      </c>
      <c r="J157" s="16">
        <f>IF(I157="","",E157*I157)</f>
        <v/>
      </c>
      <c r="K157">
        <f>IF(D157="","",IFERROR(VLOOKUP(D157,'Ürün Eşleştirme'!$A$6:$D$505,2,FALSE),D157))</f>
        <v/>
      </c>
      <c r="L157" s="17">
        <f>IF(D157="","",IFERROR(VLOOKUP(D157,'Ürün Eşleştirme'!$A$6:$D$505,4,FALSE),1))</f>
        <v/>
      </c>
      <c r="M157" s="16">
        <f>IF(I157="","",I157/L157)</f>
        <v/>
      </c>
      <c r="N157" s="16">
        <f>IF(M157="","",IFERROR(AVERAGEIFS($M$10:$M$1009,$K$10:$K$1009,K157,$A$10:$A$1009,"&lt;"&amp;A157,$A$10:$A$1009,"&gt;="&amp;(A157-$C$6)),""))</f>
        <v/>
      </c>
      <c r="O157" s="16">
        <f>IF(M157="","",_xlfn.MINIFS($M$10:$M$1009,$K$10:$K$1009,K157,$A$10:$A$1009,"&lt;="&amp;A157,$A$10:$A$1009,"&gt;="&amp;(A157-$C$6)))</f>
        <v/>
      </c>
      <c r="P157" s="18">
        <f>IF(OR(N157="",N157=0),"",M157/N157-1)</f>
        <v/>
      </c>
      <c r="Q157">
        <f>IF(D157="","",IF(COUNTIFS($B$10:$B$1009,B157,$C$10:$C$1009,C157,$D$10:$D$1009,D157,$E$10:$E$1009,E157)&gt;1,"MÜKERRER?",IF(P157="","",IF(P157&gt;=$C$5,"İNCELE",IF(P157&lt;=-$C$5,"Düşük",""))))</f>
        <v/>
      </c>
      <c r="R157" s="16">
        <f>IF(AND(P157&lt;&gt;"",N(P157)&gt;=$C$5,COUNTIFS($B$10:B157,B157,$C$10:C157,C157,$D$10:D157,D157,$E$10:E157,E157)=1),(M157-N157)*E157*L157,0)</f>
        <v/>
      </c>
      <c r="S157" s="19">
        <f>IF(D157="",0,N(E157)*L157)</f>
        <v/>
      </c>
    </row>
    <row r="158">
      <c r="A158" s="11" t="n"/>
      <c r="B158" s="12" t="n"/>
      <c r="C158" s="12" t="n"/>
      <c r="D158" s="12" t="n"/>
      <c r="E158" s="13" t="n"/>
      <c r="F158" s="12" t="n"/>
      <c r="G158" s="14" t="n"/>
      <c r="H158" s="15" t="n"/>
      <c r="I158" s="16">
        <f>IF(G158="","",G158*(1-N(H158)))</f>
        <v/>
      </c>
      <c r="J158" s="16">
        <f>IF(I158="","",E158*I158)</f>
        <v/>
      </c>
      <c r="K158">
        <f>IF(D158="","",IFERROR(VLOOKUP(D158,'Ürün Eşleştirme'!$A$6:$D$505,2,FALSE),D158))</f>
        <v/>
      </c>
      <c r="L158" s="17">
        <f>IF(D158="","",IFERROR(VLOOKUP(D158,'Ürün Eşleştirme'!$A$6:$D$505,4,FALSE),1))</f>
        <v/>
      </c>
      <c r="M158" s="16">
        <f>IF(I158="","",I158/L158)</f>
        <v/>
      </c>
      <c r="N158" s="16">
        <f>IF(M158="","",IFERROR(AVERAGEIFS($M$10:$M$1009,$K$10:$K$1009,K158,$A$10:$A$1009,"&lt;"&amp;A158,$A$10:$A$1009,"&gt;="&amp;(A158-$C$6)),""))</f>
        <v/>
      </c>
      <c r="O158" s="16">
        <f>IF(M158="","",_xlfn.MINIFS($M$10:$M$1009,$K$10:$K$1009,K158,$A$10:$A$1009,"&lt;="&amp;A158,$A$10:$A$1009,"&gt;="&amp;(A158-$C$6)))</f>
        <v/>
      </c>
      <c r="P158" s="18">
        <f>IF(OR(N158="",N158=0),"",M158/N158-1)</f>
        <v/>
      </c>
      <c r="Q158">
        <f>IF(D158="","",IF(COUNTIFS($B$10:$B$1009,B158,$C$10:$C$1009,C158,$D$10:$D$1009,D158,$E$10:$E$1009,E158)&gt;1,"MÜKERRER?",IF(P158="","",IF(P158&gt;=$C$5,"İNCELE",IF(P158&lt;=-$C$5,"Düşük",""))))</f>
        <v/>
      </c>
      <c r="R158" s="16">
        <f>IF(AND(P158&lt;&gt;"",N(P158)&gt;=$C$5,COUNTIFS($B$10:B158,B158,$C$10:C158,C158,$D$10:D158,D158,$E$10:E158,E158)=1),(M158-N158)*E158*L158,0)</f>
        <v/>
      </c>
      <c r="S158" s="19">
        <f>IF(D158="",0,N(E158)*L158)</f>
        <v/>
      </c>
    </row>
    <row r="159">
      <c r="A159" s="11" t="n"/>
      <c r="B159" s="12" t="n"/>
      <c r="C159" s="12" t="n"/>
      <c r="D159" s="12" t="n"/>
      <c r="E159" s="13" t="n"/>
      <c r="F159" s="12" t="n"/>
      <c r="G159" s="14" t="n"/>
      <c r="H159" s="15" t="n"/>
      <c r="I159" s="16">
        <f>IF(G159="","",G159*(1-N(H159)))</f>
        <v/>
      </c>
      <c r="J159" s="16">
        <f>IF(I159="","",E159*I159)</f>
        <v/>
      </c>
      <c r="K159">
        <f>IF(D159="","",IFERROR(VLOOKUP(D159,'Ürün Eşleştirme'!$A$6:$D$505,2,FALSE),D159))</f>
        <v/>
      </c>
      <c r="L159" s="17">
        <f>IF(D159="","",IFERROR(VLOOKUP(D159,'Ürün Eşleştirme'!$A$6:$D$505,4,FALSE),1))</f>
        <v/>
      </c>
      <c r="M159" s="16">
        <f>IF(I159="","",I159/L159)</f>
        <v/>
      </c>
      <c r="N159" s="16">
        <f>IF(M159="","",IFERROR(AVERAGEIFS($M$10:$M$1009,$K$10:$K$1009,K159,$A$10:$A$1009,"&lt;"&amp;A159,$A$10:$A$1009,"&gt;="&amp;(A159-$C$6)),""))</f>
        <v/>
      </c>
      <c r="O159" s="16">
        <f>IF(M159="","",_xlfn.MINIFS($M$10:$M$1009,$K$10:$K$1009,K159,$A$10:$A$1009,"&lt;="&amp;A159,$A$10:$A$1009,"&gt;="&amp;(A159-$C$6)))</f>
        <v/>
      </c>
      <c r="P159" s="18">
        <f>IF(OR(N159="",N159=0),"",M159/N159-1)</f>
        <v/>
      </c>
      <c r="Q159">
        <f>IF(D159="","",IF(COUNTIFS($B$10:$B$1009,B159,$C$10:$C$1009,C159,$D$10:$D$1009,D159,$E$10:$E$1009,E159)&gt;1,"MÜKERRER?",IF(P159="","",IF(P159&gt;=$C$5,"İNCELE",IF(P159&lt;=-$C$5,"Düşük",""))))</f>
        <v/>
      </c>
      <c r="R159" s="16">
        <f>IF(AND(P159&lt;&gt;"",N(P159)&gt;=$C$5,COUNTIFS($B$10:B159,B159,$C$10:C159,C159,$D$10:D159,D159,$E$10:E159,E159)=1),(M159-N159)*E159*L159,0)</f>
        <v/>
      </c>
      <c r="S159" s="19">
        <f>IF(D159="",0,N(E159)*L159)</f>
        <v/>
      </c>
    </row>
    <row r="160">
      <c r="A160" s="11" t="n"/>
      <c r="B160" s="12" t="n"/>
      <c r="C160" s="12" t="n"/>
      <c r="D160" s="12" t="n"/>
      <c r="E160" s="13" t="n"/>
      <c r="F160" s="12" t="n"/>
      <c r="G160" s="14" t="n"/>
      <c r="H160" s="15" t="n"/>
      <c r="I160" s="16">
        <f>IF(G160="","",G160*(1-N(H160)))</f>
        <v/>
      </c>
      <c r="J160" s="16">
        <f>IF(I160="","",E160*I160)</f>
        <v/>
      </c>
      <c r="K160">
        <f>IF(D160="","",IFERROR(VLOOKUP(D160,'Ürün Eşleştirme'!$A$6:$D$505,2,FALSE),D160))</f>
        <v/>
      </c>
      <c r="L160" s="17">
        <f>IF(D160="","",IFERROR(VLOOKUP(D160,'Ürün Eşleştirme'!$A$6:$D$505,4,FALSE),1))</f>
        <v/>
      </c>
      <c r="M160" s="16">
        <f>IF(I160="","",I160/L160)</f>
        <v/>
      </c>
      <c r="N160" s="16">
        <f>IF(M160="","",IFERROR(AVERAGEIFS($M$10:$M$1009,$K$10:$K$1009,K160,$A$10:$A$1009,"&lt;"&amp;A160,$A$10:$A$1009,"&gt;="&amp;(A160-$C$6)),""))</f>
        <v/>
      </c>
      <c r="O160" s="16">
        <f>IF(M160="","",_xlfn.MINIFS($M$10:$M$1009,$K$10:$K$1009,K160,$A$10:$A$1009,"&lt;="&amp;A160,$A$10:$A$1009,"&gt;="&amp;(A160-$C$6)))</f>
        <v/>
      </c>
      <c r="P160" s="18">
        <f>IF(OR(N160="",N160=0),"",M160/N160-1)</f>
        <v/>
      </c>
      <c r="Q160">
        <f>IF(D160="","",IF(COUNTIFS($B$10:$B$1009,B160,$C$10:$C$1009,C160,$D$10:$D$1009,D160,$E$10:$E$1009,E160)&gt;1,"MÜKERRER?",IF(P160="","",IF(P160&gt;=$C$5,"İNCELE",IF(P160&lt;=-$C$5,"Düşük",""))))</f>
        <v/>
      </c>
      <c r="R160" s="16">
        <f>IF(AND(P160&lt;&gt;"",N(P160)&gt;=$C$5,COUNTIFS($B$10:B160,B160,$C$10:C160,C160,$D$10:D160,D160,$E$10:E160,E160)=1),(M160-N160)*E160*L160,0)</f>
        <v/>
      </c>
      <c r="S160" s="19">
        <f>IF(D160="",0,N(E160)*L160)</f>
        <v/>
      </c>
    </row>
    <row r="161">
      <c r="A161" s="11" t="n"/>
      <c r="B161" s="12" t="n"/>
      <c r="C161" s="12" t="n"/>
      <c r="D161" s="12" t="n"/>
      <c r="E161" s="13" t="n"/>
      <c r="F161" s="12" t="n"/>
      <c r="G161" s="14" t="n"/>
      <c r="H161" s="15" t="n"/>
      <c r="I161" s="16">
        <f>IF(G161="","",G161*(1-N(H161)))</f>
        <v/>
      </c>
      <c r="J161" s="16">
        <f>IF(I161="","",E161*I161)</f>
        <v/>
      </c>
      <c r="K161">
        <f>IF(D161="","",IFERROR(VLOOKUP(D161,'Ürün Eşleştirme'!$A$6:$D$505,2,FALSE),D161))</f>
        <v/>
      </c>
      <c r="L161" s="17">
        <f>IF(D161="","",IFERROR(VLOOKUP(D161,'Ürün Eşleştirme'!$A$6:$D$505,4,FALSE),1))</f>
        <v/>
      </c>
      <c r="M161" s="16">
        <f>IF(I161="","",I161/L161)</f>
        <v/>
      </c>
      <c r="N161" s="16">
        <f>IF(M161="","",IFERROR(AVERAGEIFS($M$10:$M$1009,$K$10:$K$1009,K161,$A$10:$A$1009,"&lt;"&amp;A161,$A$10:$A$1009,"&gt;="&amp;(A161-$C$6)),""))</f>
        <v/>
      </c>
      <c r="O161" s="16">
        <f>IF(M161="","",_xlfn.MINIFS($M$10:$M$1009,$K$10:$K$1009,K161,$A$10:$A$1009,"&lt;="&amp;A161,$A$10:$A$1009,"&gt;="&amp;(A161-$C$6)))</f>
        <v/>
      </c>
      <c r="P161" s="18">
        <f>IF(OR(N161="",N161=0),"",M161/N161-1)</f>
        <v/>
      </c>
      <c r="Q161">
        <f>IF(D161="","",IF(COUNTIFS($B$10:$B$1009,B161,$C$10:$C$1009,C161,$D$10:$D$1009,D161,$E$10:$E$1009,E161)&gt;1,"MÜKERRER?",IF(P161="","",IF(P161&gt;=$C$5,"İNCELE",IF(P161&lt;=-$C$5,"Düşük",""))))</f>
        <v/>
      </c>
      <c r="R161" s="16">
        <f>IF(AND(P161&lt;&gt;"",N(P161)&gt;=$C$5,COUNTIFS($B$10:B161,B161,$C$10:C161,C161,$D$10:D161,D161,$E$10:E161,E161)=1),(M161-N161)*E161*L161,0)</f>
        <v/>
      </c>
      <c r="S161" s="19">
        <f>IF(D161="",0,N(E161)*L161)</f>
        <v/>
      </c>
    </row>
    <row r="162">
      <c r="A162" s="11" t="n"/>
      <c r="B162" s="12" t="n"/>
      <c r="C162" s="12" t="n"/>
      <c r="D162" s="12" t="n"/>
      <c r="E162" s="13" t="n"/>
      <c r="F162" s="12" t="n"/>
      <c r="G162" s="14" t="n"/>
      <c r="H162" s="15" t="n"/>
      <c r="I162" s="16">
        <f>IF(G162="","",G162*(1-N(H162)))</f>
        <v/>
      </c>
      <c r="J162" s="16">
        <f>IF(I162="","",E162*I162)</f>
        <v/>
      </c>
      <c r="K162">
        <f>IF(D162="","",IFERROR(VLOOKUP(D162,'Ürün Eşleştirme'!$A$6:$D$505,2,FALSE),D162))</f>
        <v/>
      </c>
      <c r="L162" s="17">
        <f>IF(D162="","",IFERROR(VLOOKUP(D162,'Ürün Eşleştirme'!$A$6:$D$505,4,FALSE),1))</f>
        <v/>
      </c>
      <c r="M162" s="16">
        <f>IF(I162="","",I162/L162)</f>
        <v/>
      </c>
      <c r="N162" s="16">
        <f>IF(M162="","",IFERROR(AVERAGEIFS($M$10:$M$1009,$K$10:$K$1009,K162,$A$10:$A$1009,"&lt;"&amp;A162,$A$10:$A$1009,"&gt;="&amp;(A162-$C$6)),""))</f>
        <v/>
      </c>
      <c r="O162" s="16">
        <f>IF(M162="","",_xlfn.MINIFS($M$10:$M$1009,$K$10:$K$1009,K162,$A$10:$A$1009,"&lt;="&amp;A162,$A$10:$A$1009,"&gt;="&amp;(A162-$C$6)))</f>
        <v/>
      </c>
      <c r="P162" s="18">
        <f>IF(OR(N162="",N162=0),"",M162/N162-1)</f>
        <v/>
      </c>
      <c r="Q162">
        <f>IF(D162="","",IF(COUNTIFS($B$10:$B$1009,B162,$C$10:$C$1009,C162,$D$10:$D$1009,D162,$E$10:$E$1009,E162)&gt;1,"MÜKERRER?",IF(P162="","",IF(P162&gt;=$C$5,"İNCELE",IF(P162&lt;=-$C$5,"Düşük",""))))</f>
        <v/>
      </c>
      <c r="R162" s="16">
        <f>IF(AND(P162&lt;&gt;"",N(P162)&gt;=$C$5,COUNTIFS($B$10:B162,B162,$C$10:C162,C162,$D$10:D162,D162,$E$10:E162,E162)=1),(M162-N162)*E162*L162,0)</f>
        <v/>
      </c>
      <c r="S162" s="19">
        <f>IF(D162="",0,N(E162)*L162)</f>
        <v/>
      </c>
    </row>
    <row r="163">
      <c r="A163" s="11" t="n"/>
      <c r="B163" s="12" t="n"/>
      <c r="C163" s="12" t="n"/>
      <c r="D163" s="12" t="n"/>
      <c r="E163" s="13" t="n"/>
      <c r="F163" s="12" t="n"/>
      <c r="G163" s="14" t="n"/>
      <c r="H163" s="15" t="n"/>
      <c r="I163" s="16">
        <f>IF(G163="","",G163*(1-N(H163)))</f>
        <v/>
      </c>
      <c r="J163" s="16">
        <f>IF(I163="","",E163*I163)</f>
        <v/>
      </c>
      <c r="K163">
        <f>IF(D163="","",IFERROR(VLOOKUP(D163,'Ürün Eşleştirme'!$A$6:$D$505,2,FALSE),D163))</f>
        <v/>
      </c>
      <c r="L163" s="17">
        <f>IF(D163="","",IFERROR(VLOOKUP(D163,'Ürün Eşleştirme'!$A$6:$D$505,4,FALSE),1))</f>
        <v/>
      </c>
      <c r="M163" s="16">
        <f>IF(I163="","",I163/L163)</f>
        <v/>
      </c>
      <c r="N163" s="16">
        <f>IF(M163="","",IFERROR(AVERAGEIFS($M$10:$M$1009,$K$10:$K$1009,K163,$A$10:$A$1009,"&lt;"&amp;A163,$A$10:$A$1009,"&gt;="&amp;(A163-$C$6)),""))</f>
        <v/>
      </c>
      <c r="O163" s="16">
        <f>IF(M163="","",_xlfn.MINIFS($M$10:$M$1009,$K$10:$K$1009,K163,$A$10:$A$1009,"&lt;="&amp;A163,$A$10:$A$1009,"&gt;="&amp;(A163-$C$6)))</f>
        <v/>
      </c>
      <c r="P163" s="18">
        <f>IF(OR(N163="",N163=0),"",M163/N163-1)</f>
        <v/>
      </c>
      <c r="Q163">
        <f>IF(D163="","",IF(COUNTIFS($B$10:$B$1009,B163,$C$10:$C$1009,C163,$D$10:$D$1009,D163,$E$10:$E$1009,E163)&gt;1,"MÜKERRER?",IF(P163="","",IF(P163&gt;=$C$5,"İNCELE",IF(P163&lt;=-$C$5,"Düşük",""))))</f>
        <v/>
      </c>
      <c r="R163" s="16">
        <f>IF(AND(P163&lt;&gt;"",N(P163)&gt;=$C$5,COUNTIFS($B$10:B163,B163,$C$10:C163,C163,$D$10:D163,D163,$E$10:E163,E163)=1),(M163-N163)*E163*L163,0)</f>
        <v/>
      </c>
      <c r="S163" s="19">
        <f>IF(D163="",0,N(E163)*L163)</f>
        <v/>
      </c>
    </row>
    <row r="164">
      <c r="A164" s="11" t="n"/>
      <c r="B164" s="12" t="n"/>
      <c r="C164" s="12" t="n"/>
      <c r="D164" s="12" t="n"/>
      <c r="E164" s="13" t="n"/>
      <c r="F164" s="12" t="n"/>
      <c r="G164" s="14" t="n"/>
      <c r="H164" s="15" t="n"/>
      <c r="I164" s="16">
        <f>IF(G164="","",G164*(1-N(H164)))</f>
        <v/>
      </c>
      <c r="J164" s="16">
        <f>IF(I164="","",E164*I164)</f>
        <v/>
      </c>
      <c r="K164">
        <f>IF(D164="","",IFERROR(VLOOKUP(D164,'Ürün Eşleştirme'!$A$6:$D$505,2,FALSE),D164))</f>
        <v/>
      </c>
      <c r="L164" s="17">
        <f>IF(D164="","",IFERROR(VLOOKUP(D164,'Ürün Eşleştirme'!$A$6:$D$505,4,FALSE),1))</f>
        <v/>
      </c>
      <c r="M164" s="16">
        <f>IF(I164="","",I164/L164)</f>
        <v/>
      </c>
      <c r="N164" s="16">
        <f>IF(M164="","",IFERROR(AVERAGEIFS($M$10:$M$1009,$K$10:$K$1009,K164,$A$10:$A$1009,"&lt;"&amp;A164,$A$10:$A$1009,"&gt;="&amp;(A164-$C$6)),""))</f>
        <v/>
      </c>
      <c r="O164" s="16">
        <f>IF(M164="","",_xlfn.MINIFS($M$10:$M$1009,$K$10:$K$1009,K164,$A$10:$A$1009,"&lt;="&amp;A164,$A$10:$A$1009,"&gt;="&amp;(A164-$C$6)))</f>
        <v/>
      </c>
      <c r="P164" s="18">
        <f>IF(OR(N164="",N164=0),"",M164/N164-1)</f>
        <v/>
      </c>
      <c r="Q164">
        <f>IF(D164="","",IF(COUNTIFS($B$10:$B$1009,B164,$C$10:$C$1009,C164,$D$10:$D$1009,D164,$E$10:$E$1009,E164)&gt;1,"MÜKERRER?",IF(P164="","",IF(P164&gt;=$C$5,"İNCELE",IF(P164&lt;=-$C$5,"Düşük",""))))</f>
        <v/>
      </c>
      <c r="R164" s="16">
        <f>IF(AND(P164&lt;&gt;"",N(P164)&gt;=$C$5,COUNTIFS($B$10:B164,B164,$C$10:C164,C164,$D$10:D164,D164,$E$10:E164,E164)=1),(M164-N164)*E164*L164,0)</f>
        <v/>
      </c>
      <c r="S164" s="19">
        <f>IF(D164="",0,N(E164)*L164)</f>
        <v/>
      </c>
    </row>
    <row r="165">
      <c r="A165" s="11" t="n"/>
      <c r="B165" s="12" t="n"/>
      <c r="C165" s="12" t="n"/>
      <c r="D165" s="12" t="n"/>
      <c r="E165" s="13" t="n"/>
      <c r="F165" s="12" t="n"/>
      <c r="G165" s="14" t="n"/>
      <c r="H165" s="15" t="n"/>
      <c r="I165" s="16">
        <f>IF(G165="","",G165*(1-N(H165)))</f>
        <v/>
      </c>
      <c r="J165" s="16">
        <f>IF(I165="","",E165*I165)</f>
        <v/>
      </c>
      <c r="K165">
        <f>IF(D165="","",IFERROR(VLOOKUP(D165,'Ürün Eşleştirme'!$A$6:$D$505,2,FALSE),D165))</f>
        <v/>
      </c>
      <c r="L165" s="17">
        <f>IF(D165="","",IFERROR(VLOOKUP(D165,'Ürün Eşleştirme'!$A$6:$D$505,4,FALSE),1))</f>
        <v/>
      </c>
      <c r="M165" s="16">
        <f>IF(I165="","",I165/L165)</f>
        <v/>
      </c>
      <c r="N165" s="16">
        <f>IF(M165="","",IFERROR(AVERAGEIFS($M$10:$M$1009,$K$10:$K$1009,K165,$A$10:$A$1009,"&lt;"&amp;A165,$A$10:$A$1009,"&gt;="&amp;(A165-$C$6)),""))</f>
        <v/>
      </c>
      <c r="O165" s="16">
        <f>IF(M165="","",_xlfn.MINIFS($M$10:$M$1009,$K$10:$K$1009,K165,$A$10:$A$1009,"&lt;="&amp;A165,$A$10:$A$1009,"&gt;="&amp;(A165-$C$6)))</f>
        <v/>
      </c>
      <c r="P165" s="18">
        <f>IF(OR(N165="",N165=0),"",M165/N165-1)</f>
        <v/>
      </c>
      <c r="Q165">
        <f>IF(D165="","",IF(COUNTIFS($B$10:$B$1009,B165,$C$10:$C$1009,C165,$D$10:$D$1009,D165,$E$10:$E$1009,E165)&gt;1,"MÜKERRER?",IF(P165="","",IF(P165&gt;=$C$5,"İNCELE",IF(P165&lt;=-$C$5,"Düşük",""))))</f>
        <v/>
      </c>
      <c r="R165" s="16">
        <f>IF(AND(P165&lt;&gt;"",N(P165)&gt;=$C$5,COUNTIFS($B$10:B165,B165,$C$10:C165,C165,$D$10:D165,D165,$E$10:E165,E165)=1),(M165-N165)*E165*L165,0)</f>
        <v/>
      </c>
      <c r="S165" s="19">
        <f>IF(D165="",0,N(E165)*L165)</f>
        <v/>
      </c>
    </row>
    <row r="166">
      <c r="A166" s="11" t="n"/>
      <c r="B166" s="12" t="n"/>
      <c r="C166" s="12" t="n"/>
      <c r="D166" s="12" t="n"/>
      <c r="E166" s="13" t="n"/>
      <c r="F166" s="12" t="n"/>
      <c r="G166" s="14" t="n"/>
      <c r="H166" s="15" t="n"/>
      <c r="I166" s="16">
        <f>IF(G166="","",G166*(1-N(H166)))</f>
        <v/>
      </c>
      <c r="J166" s="16">
        <f>IF(I166="","",E166*I166)</f>
        <v/>
      </c>
      <c r="K166">
        <f>IF(D166="","",IFERROR(VLOOKUP(D166,'Ürün Eşleştirme'!$A$6:$D$505,2,FALSE),D166))</f>
        <v/>
      </c>
      <c r="L166" s="17">
        <f>IF(D166="","",IFERROR(VLOOKUP(D166,'Ürün Eşleştirme'!$A$6:$D$505,4,FALSE),1))</f>
        <v/>
      </c>
      <c r="M166" s="16">
        <f>IF(I166="","",I166/L166)</f>
        <v/>
      </c>
      <c r="N166" s="16">
        <f>IF(M166="","",IFERROR(AVERAGEIFS($M$10:$M$1009,$K$10:$K$1009,K166,$A$10:$A$1009,"&lt;"&amp;A166,$A$10:$A$1009,"&gt;="&amp;(A166-$C$6)),""))</f>
        <v/>
      </c>
      <c r="O166" s="16">
        <f>IF(M166="","",_xlfn.MINIFS($M$10:$M$1009,$K$10:$K$1009,K166,$A$10:$A$1009,"&lt;="&amp;A166,$A$10:$A$1009,"&gt;="&amp;(A166-$C$6)))</f>
        <v/>
      </c>
      <c r="P166" s="18">
        <f>IF(OR(N166="",N166=0),"",M166/N166-1)</f>
        <v/>
      </c>
      <c r="Q166">
        <f>IF(D166="","",IF(COUNTIFS($B$10:$B$1009,B166,$C$10:$C$1009,C166,$D$10:$D$1009,D166,$E$10:$E$1009,E166)&gt;1,"MÜKERRER?",IF(P166="","",IF(P166&gt;=$C$5,"İNCELE",IF(P166&lt;=-$C$5,"Düşük",""))))</f>
        <v/>
      </c>
      <c r="R166" s="16">
        <f>IF(AND(P166&lt;&gt;"",N(P166)&gt;=$C$5,COUNTIFS($B$10:B166,B166,$C$10:C166,C166,$D$10:D166,D166,$E$10:E166,E166)=1),(M166-N166)*E166*L166,0)</f>
        <v/>
      </c>
      <c r="S166" s="19">
        <f>IF(D166="",0,N(E166)*L166)</f>
        <v/>
      </c>
    </row>
    <row r="167">
      <c r="A167" s="11" t="n"/>
      <c r="B167" s="12" t="n"/>
      <c r="C167" s="12" t="n"/>
      <c r="D167" s="12" t="n"/>
      <c r="E167" s="13" t="n"/>
      <c r="F167" s="12" t="n"/>
      <c r="G167" s="14" t="n"/>
      <c r="H167" s="15" t="n"/>
      <c r="I167" s="16">
        <f>IF(G167="","",G167*(1-N(H167)))</f>
        <v/>
      </c>
      <c r="J167" s="16">
        <f>IF(I167="","",E167*I167)</f>
        <v/>
      </c>
      <c r="K167">
        <f>IF(D167="","",IFERROR(VLOOKUP(D167,'Ürün Eşleştirme'!$A$6:$D$505,2,FALSE),D167))</f>
        <v/>
      </c>
      <c r="L167" s="17">
        <f>IF(D167="","",IFERROR(VLOOKUP(D167,'Ürün Eşleştirme'!$A$6:$D$505,4,FALSE),1))</f>
        <v/>
      </c>
      <c r="M167" s="16">
        <f>IF(I167="","",I167/L167)</f>
        <v/>
      </c>
      <c r="N167" s="16">
        <f>IF(M167="","",IFERROR(AVERAGEIFS($M$10:$M$1009,$K$10:$K$1009,K167,$A$10:$A$1009,"&lt;"&amp;A167,$A$10:$A$1009,"&gt;="&amp;(A167-$C$6)),""))</f>
        <v/>
      </c>
      <c r="O167" s="16">
        <f>IF(M167="","",_xlfn.MINIFS($M$10:$M$1009,$K$10:$K$1009,K167,$A$10:$A$1009,"&lt;="&amp;A167,$A$10:$A$1009,"&gt;="&amp;(A167-$C$6)))</f>
        <v/>
      </c>
      <c r="P167" s="18">
        <f>IF(OR(N167="",N167=0),"",M167/N167-1)</f>
        <v/>
      </c>
      <c r="Q167">
        <f>IF(D167="","",IF(COUNTIFS($B$10:$B$1009,B167,$C$10:$C$1009,C167,$D$10:$D$1009,D167,$E$10:$E$1009,E167)&gt;1,"MÜKERRER?",IF(P167="","",IF(P167&gt;=$C$5,"İNCELE",IF(P167&lt;=-$C$5,"Düşük",""))))</f>
        <v/>
      </c>
      <c r="R167" s="16">
        <f>IF(AND(P167&lt;&gt;"",N(P167)&gt;=$C$5,COUNTIFS($B$10:B167,B167,$C$10:C167,C167,$D$10:D167,D167,$E$10:E167,E167)=1),(M167-N167)*E167*L167,0)</f>
        <v/>
      </c>
      <c r="S167" s="19">
        <f>IF(D167="",0,N(E167)*L167)</f>
        <v/>
      </c>
    </row>
    <row r="168">
      <c r="A168" s="11" t="n"/>
      <c r="B168" s="12" t="n"/>
      <c r="C168" s="12" t="n"/>
      <c r="D168" s="12" t="n"/>
      <c r="E168" s="13" t="n"/>
      <c r="F168" s="12" t="n"/>
      <c r="G168" s="14" t="n"/>
      <c r="H168" s="15" t="n"/>
      <c r="I168" s="16">
        <f>IF(G168="","",G168*(1-N(H168)))</f>
        <v/>
      </c>
      <c r="J168" s="16">
        <f>IF(I168="","",E168*I168)</f>
        <v/>
      </c>
      <c r="K168">
        <f>IF(D168="","",IFERROR(VLOOKUP(D168,'Ürün Eşleştirme'!$A$6:$D$505,2,FALSE),D168))</f>
        <v/>
      </c>
      <c r="L168" s="17">
        <f>IF(D168="","",IFERROR(VLOOKUP(D168,'Ürün Eşleştirme'!$A$6:$D$505,4,FALSE),1))</f>
        <v/>
      </c>
      <c r="M168" s="16">
        <f>IF(I168="","",I168/L168)</f>
        <v/>
      </c>
      <c r="N168" s="16">
        <f>IF(M168="","",IFERROR(AVERAGEIFS($M$10:$M$1009,$K$10:$K$1009,K168,$A$10:$A$1009,"&lt;"&amp;A168,$A$10:$A$1009,"&gt;="&amp;(A168-$C$6)),""))</f>
        <v/>
      </c>
      <c r="O168" s="16">
        <f>IF(M168="","",_xlfn.MINIFS($M$10:$M$1009,$K$10:$K$1009,K168,$A$10:$A$1009,"&lt;="&amp;A168,$A$10:$A$1009,"&gt;="&amp;(A168-$C$6)))</f>
        <v/>
      </c>
      <c r="P168" s="18">
        <f>IF(OR(N168="",N168=0),"",M168/N168-1)</f>
        <v/>
      </c>
      <c r="Q168">
        <f>IF(D168="","",IF(COUNTIFS($B$10:$B$1009,B168,$C$10:$C$1009,C168,$D$10:$D$1009,D168,$E$10:$E$1009,E168)&gt;1,"MÜKERRER?",IF(P168="","",IF(P168&gt;=$C$5,"İNCELE",IF(P168&lt;=-$C$5,"Düşük",""))))</f>
        <v/>
      </c>
      <c r="R168" s="16">
        <f>IF(AND(P168&lt;&gt;"",N(P168)&gt;=$C$5,COUNTIFS($B$10:B168,B168,$C$10:C168,C168,$D$10:D168,D168,$E$10:E168,E168)=1),(M168-N168)*E168*L168,0)</f>
        <v/>
      </c>
      <c r="S168" s="19">
        <f>IF(D168="",0,N(E168)*L168)</f>
        <v/>
      </c>
    </row>
    <row r="169">
      <c r="A169" s="11" t="n"/>
      <c r="B169" s="12" t="n"/>
      <c r="C169" s="12" t="n"/>
      <c r="D169" s="12" t="n"/>
      <c r="E169" s="13" t="n"/>
      <c r="F169" s="12" t="n"/>
      <c r="G169" s="14" t="n"/>
      <c r="H169" s="15" t="n"/>
      <c r="I169" s="16">
        <f>IF(G169="","",G169*(1-N(H169)))</f>
        <v/>
      </c>
      <c r="J169" s="16">
        <f>IF(I169="","",E169*I169)</f>
        <v/>
      </c>
      <c r="K169">
        <f>IF(D169="","",IFERROR(VLOOKUP(D169,'Ürün Eşleştirme'!$A$6:$D$505,2,FALSE),D169))</f>
        <v/>
      </c>
      <c r="L169" s="17">
        <f>IF(D169="","",IFERROR(VLOOKUP(D169,'Ürün Eşleştirme'!$A$6:$D$505,4,FALSE),1))</f>
        <v/>
      </c>
      <c r="M169" s="16">
        <f>IF(I169="","",I169/L169)</f>
        <v/>
      </c>
      <c r="N169" s="16">
        <f>IF(M169="","",IFERROR(AVERAGEIFS($M$10:$M$1009,$K$10:$K$1009,K169,$A$10:$A$1009,"&lt;"&amp;A169,$A$10:$A$1009,"&gt;="&amp;(A169-$C$6)),""))</f>
        <v/>
      </c>
      <c r="O169" s="16">
        <f>IF(M169="","",_xlfn.MINIFS($M$10:$M$1009,$K$10:$K$1009,K169,$A$10:$A$1009,"&lt;="&amp;A169,$A$10:$A$1009,"&gt;="&amp;(A169-$C$6)))</f>
        <v/>
      </c>
      <c r="P169" s="18">
        <f>IF(OR(N169="",N169=0),"",M169/N169-1)</f>
        <v/>
      </c>
      <c r="Q169">
        <f>IF(D169="","",IF(COUNTIFS($B$10:$B$1009,B169,$C$10:$C$1009,C169,$D$10:$D$1009,D169,$E$10:$E$1009,E169)&gt;1,"MÜKERRER?",IF(P169="","",IF(P169&gt;=$C$5,"İNCELE",IF(P169&lt;=-$C$5,"Düşük",""))))</f>
        <v/>
      </c>
      <c r="R169" s="16">
        <f>IF(AND(P169&lt;&gt;"",N(P169)&gt;=$C$5,COUNTIFS($B$10:B169,B169,$C$10:C169,C169,$D$10:D169,D169,$E$10:E169,E169)=1),(M169-N169)*E169*L169,0)</f>
        <v/>
      </c>
      <c r="S169" s="19">
        <f>IF(D169="",0,N(E169)*L169)</f>
        <v/>
      </c>
    </row>
    <row r="170">
      <c r="A170" s="11" t="n"/>
      <c r="B170" s="12" t="n"/>
      <c r="C170" s="12" t="n"/>
      <c r="D170" s="12" t="n"/>
      <c r="E170" s="13" t="n"/>
      <c r="F170" s="12" t="n"/>
      <c r="G170" s="14" t="n"/>
      <c r="H170" s="15" t="n"/>
      <c r="I170" s="16">
        <f>IF(G170="","",G170*(1-N(H170)))</f>
        <v/>
      </c>
      <c r="J170" s="16">
        <f>IF(I170="","",E170*I170)</f>
        <v/>
      </c>
      <c r="K170">
        <f>IF(D170="","",IFERROR(VLOOKUP(D170,'Ürün Eşleştirme'!$A$6:$D$505,2,FALSE),D170))</f>
        <v/>
      </c>
      <c r="L170" s="17">
        <f>IF(D170="","",IFERROR(VLOOKUP(D170,'Ürün Eşleştirme'!$A$6:$D$505,4,FALSE),1))</f>
        <v/>
      </c>
      <c r="M170" s="16">
        <f>IF(I170="","",I170/L170)</f>
        <v/>
      </c>
      <c r="N170" s="16">
        <f>IF(M170="","",IFERROR(AVERAGEIFS($M$10:$M$1009,$K$10:$K$1009,K170,$A$10:$A$1009,"&lt;"&amp;A170,$A$10:$A$1009,"&gt;="&amp;(A170-$C$6)),""))</f>
        <v/>
      </c>
      <c r="O170" s="16">
        <f>IF(M170="","",_xlfn.MINIFS($M$10:$M$1009,$K$10:$K$1009,K170,$A$10:$A$1009,"&lt;="&amp;A170,$A$10:$A$1009,"&gt;="&amp;(A170-$C$6)))</f>
        <v/>
      </c>
      <c r="P170" s="18">
        <f>IF(OR(N170="",N170=0),"",M170/N170-1)</f>
        <v/>
      </c>
      <c r="Q170">
        <f>IF(D170="","",IF(COUNTIFS($B$10:$B$1009,B170,$C$10:$C$1009,C170,$D$10:$D$1009,D170,$E$10:$E$1009,E170)&gt;1,"MÜKERRER?",IF(P170="","",IF(P170&gt;=$C$5,"İNCELE",IF(P170&lt;=-$C$5,"Düşük",""))))</f>
        <v/>
      </c>
      <c r="R170" s="16">
        <f>IF(AND(P170&lt;&gt;"",N(P170)&gt;=$C$5,COUNTIFS($B$10:B170,B170,$C$10:C170,C170,$D$10:D170,D170,$E$10:E170,E170)=1),(M170-N170)*E170*L170,0)</f>
        <v/>
      </c>
      <c r="S170" s="19">
        <f>IF(D170="",0,N(E170)*L170)</f>
        <v/>
      </c>
    </row>
    <row r="171">
      <c r="A171" s="11" t="n"/>
      <c r="B171" s="12" t="n"/>
      <c r="C171" s="12" t="n"/>
      <c r="D171" s="12" t="n"/>
      <c r="E171" s="13" t="n"/>
      <c r="F171" s="12" t="n"/>
      <c r="G171" s="14" t="n"/>
      <c r="H171" s="15" t="n"/>
      <c r="I171" s="16">
        <f>IF(G171="","",G171*(1-N(H171)))</f>
        <v/>
      </c>
      <c r="J171" s="16">
        <f>IF(I171="","",E171*I171)</f>
        <v/>
      </c>
      <c r="K171">
        <f>IF(D171="","",IFERROR(VLOOKUP(D171,'Ürün Eşleştirme'!$A$6:$D$505,2,FALSE),D171))</f>
        <v/>
      </c>
      <c r="L171" s="17">
        <f>IF(D171="","",IFERROR(VLOOKUP(D171,'Ürün Eşleştirme'!$A$6:$D$505,4,FALSE),1))</f>
        <v/>
      </c>
      <c r="M171" s="16">
        <f>IF(I171="","",I171/L171)</f>
        <v/>
      </c>
      <c r="N171" s="16">
        <f>IF(M171="","",IFERROR(AVERAGEIFS($M$10:$M$1009,$K$10:$K$1009,K171,$A$10:$A$1009,"&lt;"&amp;A171,$A$10:$A$1009,"&gt;="&amp;(A171-$C$6)),""))</f>
        <v/>
      </c>
      <c r="O171" s="16">
        <f>IF(M171="","",_xlfn.MINIFS($M$10:$M$1009,$K$10:$K$1009,K171,$A$10:$A$1009,"&lt;="&amp;A171,$A$10:$A$1009,"&gt;="&amp;(A171-$C$6)))</f>
        <v/>
      </c>
      <c r="P171" s="18">
        <f>IF(OR(N171="",N171=0),"",M171/N171-1)</f>
        <v/>
      </c>
      <c r="Q171">
        <f>IF(D171="","",IF(COUNTIFS($B$10:$B$1009,B171,$C$10:$C$1009,C171,$D$10:$D$1009,D171,$E$10:$E$1009,E171)&gt;1,"MÜKERRER?",IF(P171="","",IF(P171&gt;=$C$5,"İNCELE",IF(P171&lt;=-$C$5,"Düşük",""))))</f>
        <v/>
      </c>
      <c r="R171" s="16">
        <f>IF(AND(P171&lt;&gt;"",N(P171)&gt;=$C$5,COUNTIFS($B$10:B171,B171,$C$10:C171,C171,$D$10:D171,D171,$E$10:E171,E171)=1),(M171-N171)*E171*L171,0)</f>
        <v/>
      </c>
      <c r="S171" s="19">
        <f>IF(D171="",0,N(E171)*L171)</f>
        <v/>
      </c>
    </row>
    <row r="172">
      <c r="A172" s="11" t="n"/>
      <c r="B172" s="12" t="n"/>
      <c r="C172" s="12" t="n"/>
      <c r="D172" s="12" t="n"/>
      <c r="E172" s="13" t="n"/>
      <c r="F172" s="12" t="n"/>
      <c r="G172" s="14" t="n"/>
      <c r="H172" s="15" t="n"/>
      <c r="I172" s="16">
        <f>IF(G172="","",G172*(1-N(H172)))</f>
        <v/>
      </c>
      <c r="J172" s="16">
        <f>IF(I172="","",E172*I172)</f>
        <v/>
      </c>
      <c r="K172">
        <f>IF(D172="","",IFERROR(VLOOKUP(D172,'Ürün Eşleştirme'!$A$6:$D$505,2,FALSE),D172))</f>
        <v/>
      </c>
      <c r="L172" s="17">
        <f>IF(D172="","",IFERROR(VLOOKUP(D172,'Ürün Eşleştirme'!$A$6:$D$505,4,FALSE),1))</f>
        <v/>
      </c>
      <c r="M172" s="16">
        <f>IF(I172="","",I172/L172)</f>
        <v/>
      </c>
      <c r="N172" s="16">
        <f>IF(M172="","",IFERROR(AVERAGEIFS($M$10:$M$1009,$K$10:$K$1009,K172,$A$10:$A$1009,"&lt;"&amp;A172,$A$10:$A$1009,"&gt;="&amp;(A172-$C$6)),""))</f>
        <v/>
      </c>
      <c r="O172" s="16">
        <f>IF(M172="","",_xlfn.MINIFS($M$10:$M$1009,$K$10:$K$1009,K172,$A$10:$A$1009,"&lt;="&amp;A172,$A$10:$A$1009,"&gt;="&amp;(A172-$C$6)))</f>
        <v/>
      </c>
      <c r="P172" s="18">
        <f>IF(OR(N172="",N172=0),"",M172/N172-1)</f>
        <v/>
      </c>
      <c r="Q172">
        <f>IF(D172="","",IF(COUNTIFS($B$10:$B$1009,B172,$C$10:$C$1009,C172,$D$10:$D$1009,D172,$E$10:$E$1009,E172)&gt;1,"MÜKERRER?",IF(P172="","",IF(P172&gt;=$C$5,"İNCELE",IF(P172&lt;=-$C$5,"Düşük",""))))</f>
        <v/>
      </c>
      <c r="R172" s="16">
        <f>IF(AND(P172&lt;&gt;"",N(P172)&gt;=$C$5,COUNTIFS($B$10:B172,B172,$C$10:C172,C172,$D$10:D172,D172,$E$10:E172,E172)=1),(M172-N172)*E172*L172,0)</f>
        <v/>
      </c>
      <c r="S172" s="19">
        <f>IF(D172="",0,N(E172)*L172)</f>
        <v/>
      </c>
    </row>
    <row r="173">
      <c r="A173" s="11" t="n"/>
      <c r="B173" s="12" t="n"/>
      <c r="C173" s="12" t="n"/>
      <c r="D173" s="12" t="n"/>
      <c r="E173" s="13" t="n"/>
      <c r="F173" s="12" t="n"/>
      <c r="G173" s="14" t="n"/>
      <c r="H173" s="15" t="n"/>
      <c r="I173" s="16">
        <f>IF(G173="","",G173*(1-N(H173)))</f>
        <v/>
      </c>
      <c r="J173" s="16">
        <f>IF(I173="","",E173*I173)</f>
        <v/>
      </c>
      <c r="K173">
        <f>IF(D173="","",IFERROR(VLOOKUP(D173,'Ürün Eşleştirme'!$A$6:$D$505,2,FALSE),D173))</f>
        <v/>
      </c>
      <c r="L173" s="17">
        <f>IF(D173="","",IFERROR(VLOOKUP(D173,'Ürün Eşleştirme'!$A$6:$D$505,4,FALSE),1))</f>
        <v/>
      </c>
      <c r="M173" s="16">
        <f>IF(I173="","",I173/L173)</f>
        <v/>
      </c>
      <c r="N173" s="16">
        <f>IF(M173="","",IFERROR(AVERAGEIFS($M$10:$M$1009,$K$10:$K$1009,K173,$A$10:$A$1009,"&lt;"&amp;A173,$A$10:$A$1009,"&gt;="&amp;(A173-$C$6)),""))</f>
        <v/>
      </c>
      <c r="O173" s="16">
        <f>IF(M173="","",_xlfn.MINIFS($M$10:$M$1009,$K$10:$K$1009,K173,$A$10:$A$1009,"&lt;="&amp;A173,$A$10:$A$1009,"&gt;="&amp;(A173-$C$6)))</f>
        <v/>
      </c>
      <c r="P173" s="18">
        <f>IF(OR(N173="",N173=0),"",M173/N173-1)</f>
        <v/>
      </c>
      <c r="Q173">
        <f>IF(D173="","",IF(COUNTIFS($B$10:$B$1009,B173,$C$10:$C$1009,C173,$D$10:$D$1009,D173,$E$10:$E$1009,E173)&gt;1,"MÜKERRER?",IF(P173="","",IF(P173&gt;=$C$5,"İNCELE",IF(P173&lt;=-$C$5,"Düşük",""))))</f>
        <v/>
      </c>
      <c r="R173" s="16">
        <f>IF(AND(P173&lt;&gt;"",N(P173)&gt;=$C$5,COUNTIFS($B$10:B173,B173,$C$10:C173,C173,$D$10:D173,D173,$E$10:E173,E173)=1),(M173-N173)*E173*L173,0)</f>
        <v/>
      </c>
      <c r="S173" s="19">
        <f>IF(D173="",0,N(E173)*L173)</f>
        <v/>
      </c>
    </row>
    <row r="174">
      <c r="A174" s="11" t="n"/>
      <c r="B174" s="12" t="n"/>
      <c r="C174" s="12" t="n"/>
      <c r="D174" s="12" t="n"/>
      <c r="E174" s="13" t="n"/>
      <c r="F174" s="12" t="n"/>
      <c r="G174" s="14" t="n"/>
      <c r="H174" s="15" t="n"/>
      <c r="I174" s="16">
        <f>IF(G174="","",G174*(1-N(H174)))</f>
        <v/>
      </c>
      <c r="J174" s="16">
        <f>IF(I174="","",E174*I174)</f>
        <v/>
      </c>
      <c r="K174">
        <f>IF(D174="","",IFERROR(VLOOKUP(D174,'Ürün Eşleştirme'!$A$6:$D$505,2,FALSE),D174))</f>
        <v/>
      </c>
      <c r="L174" s="17">
        <f>IF(D174="","",IFERROR(VLOOKUP(D174,'Ürün Eşleştirme'!$A$6:$D$505,4,FALSE),1))</f>
        <v/>
      </c>
      <c r="M174" s="16">
        <f>IF(I174="","",I174/L174)</f>
        <v/>
      </c>
      <c r="N174" s="16">
        <f>IF(M174="","",IFERROR(AVERAGEIFS($M$10:$M$1009,$K$10:$K$1009,K174,$A$10:$A$1009,"&lt;"&amp;A174,$A$10:$A$1009,"&gt;="&amp;(A174-$C$6)),""))</f>
        <v/>
      </c>
      <c r="O174" s="16">
        <f>IF(M174="","",_xlfn.MINIFS($M$10:$M$1009,$K$10:$K$1009,K174,$A$10:$A$1009,"&lt;="&amp;A174,$A$10:$A$1009,"&gt;="&amp;(A174-$C$6)))</f>
        <v/>
      </c>
      <c r="P174" s="18">
        <f>IF(OR(N174="",N174=0),"",M174/N174-1)</f>
        <v/>
      </c>
      <c r="Q174">
        <f>IF(D174="","",IF(COUNTIFS($B$10:$B$1009,B174,$C$10:$C$1009,C174,$D$10:$D$1009,D174,$E$10:$E$1009,E174)&gt;1,"MÜKERRER?",IF(P174="","",IF(P174&gt;=$C$5,"İNCELE",IF(P174&lt;=-$C$5,"Düşük",""))))</f>
        <v/>
      </c>
      <c r="R174" s="16">
        <f>IF(AND(P174&lt;&gt;"",N(P174)&gt;=$C$5,COUNTIFS($B$10:B174,B174,$C$10:C174,C174,$D$10:D174,D174,$E$10:E174,E174)=1),(M174-N174)*E174*L174,0)</f>
        <v/>
      </c>
      <c r="S174" s="19">
        <f>IF(D174="",0,N(E174)*L174)</f>
        <v/>
      </c>
    </row>
    <row r="175">
      <c r="A175" s="11" t="n"/>
      <c r="B175" s="12" t="n"/>
      <c r="C175" s="12" t="n"/>
      <c r="D175" s="12" t="n"/>
      <c r="E175" s="13" t="n"/>
      <c r="F175" s="12" t="n"/>
      <c r="G175" s="14" t="n"/>
      <c r="H175" s="15" t="n"/>
      <c r="I175" s="16">
        <f>IF(G175="","",G175*(1-N(H175)))</f>
        <v/>
      </c>
      <c r="J175" s="16">
        <f>IF(I175="","",E175*I175)</f>
        <v/>
      </c>
      <c r="K175">
        <f>IF(D175="","",IFERROR(VLOOKUP(D175,'Ürün Eşleştirme'!$A$6:$D$505,2,FALSE),D175))</f>
        <v/>
      </c>
      <c r="L175" s="17">
        <f>IF(D175="","",IFERROR(VLOOKUP(D175,'Ürün Eşleştirme'!$A$6:$D$505,4,FALSE),1))</f>
        <v/>
      </c>
      <c r="M175" s="16">
        <f>IF(I175="","",I175/L175)</f>
        <v/>
      </c>
      <c r="N175" s="16">
        <f>IF(M175="","",IFERROR(AVERAGEIFS($M$10:$M$1009,$K$10:$K$1009,K175,$A$10:$A$1009,"&lt;"&amp;A175,$A$10:$A$1009,"&gt;="&amp;(A175-$C$6)),""))</f>
        <v/>
      </c>
      <c r="O175" s="16">
        <f>IF(M175="","",_xlfn.MINIFS($M$10:$M$1009,$K$10:$K$1009,K175,$A$10:$A$1009,"&lt;="&amp;A175,$A$10:$A$1009,"&gt;="&amp;(A175-$C$6)))</f>
        <v/>
      </c>
      <c r="P175" s="18">
        <f>IF(OR(N175="",N175=0),"",M175/N175-1)</f>
        <v/>
      </c>
      <c r="Q175">
        <f>IF(D175="","",IF(COUNTIFS($B$10:$B$1009,B175,$C$10:$C$1009,C175,$D$10:$D$1009,D175,$E$10:$E$1009,E175)&gt;1,"MÜKERRER?",IF(P175="","",IF(P175&gt;=$C$5,"İNCELE",IF(P175&lt;=-$C$5,"Düşük",""))))</f>
        <v/>
      </c>
      <c r="R175" s="16">
        <f>IF(AND(P175&lt;&gt;"",N(P175)&gt;=$C$5,COUNTIFS($B$10:B175,B175,$C$10:C175,C175,$D$10:D175,D175,$E$10:E175,E175)=1),(M175-N175)*E175*L175,0)</f>
        <v/>
      </c>
      <c r="S175" s="19">
        <f>IF(D175="",0,N(E175)*L175)</f>
        <v/>
      </c>
    </row>
    <row r="176">
      <c r="A176" s="11" t="n"/>
      <c r="B176" s="12" t="n"/>
      <c r="C176" s="12" t="n"/>
      <c r="D176" s="12" t="n"/>
      <c r="E176" s="13" t="n"/>
      <c r="F176" s="12" t="n"/>
      <c r="G176" s="14" t="n"/>
      <c r="H176" s="15" t="n"/>
      <c r="I176" s="16">
        <f>IF(G176="","",G176*(1-N(H176)))</f>
        <v/>
      </c>
      <c r="J176" s="16">
        <f>IF(I176="","",E176*I176)</f>
        <v/>
      </c>
      <c r="K176">
        <f>IF(D176="","",IFERROR(VLOOKUP(D176,'Ürün Eşleştirme'!$A$6:$D$505,2,FALSE),D176))</f>
        <v/>
      </c>
      <c r="L176" s="17">
        <f>IF(D176="","",IFERROR(VLOOKUP(D176,'Ürün Eşleştirme'!$A$6:$D$505,4,FALSE),1))</f>
        <v/>
      </c>
      <c r="M176" s="16">
        <f>IF(I176="","",I176/L176)</f>
        <v/>
      </c>
      <c r="N176" s="16">
        <f>IF(M176="","",IFERROR(AVERAGEIFS($M$10:$M$1009,$K$10:$K$1009,K176,$A$10:$A$1009,"&lt;"&amp;A176,$A$10:$A$1009,"&gt;="&amp;(A176-$C$6)),""))</f>
        <v/>
      </c>
      <c r="O176" s="16">
        <f>IF(M176="","",_xlfn.MINIFS($M$10:$M$1009,$K$10:$K$1009,K176,$A$10:$A$1009,"&lt;="&amp;A176,$A$10:$A$1009,"&gt;="&amp;(A176-$C$6)))</f>
        <v/>
      </c>
      <c r="P176" s="18">
        <f>IF(OR(N176="",N176=0),"",M176/N176-1)</f>
        <v/>
      </c>
      <c r="Q176">
        <f>IF(D176="","",IF(COUNTIFS($B$10:$B$1009,B176,$C$10:$C$1009,C176,$D$10:$D$1009,D176,$E$10:$E$1009,E176)&gt;1,"MÜKERRER?",IF(P176="","",IF(P176&gt;=$C$5,"İNCELE",IF(P176&lt;=-$C$5,"Düşük",""))))</f>
        <v/>
      </c>
      <c r="R176" s="16">
        <f>IF(AND(P176&lt;&gt;"",N(P176)&gt;=$C$5,COUNTIFS($B$10:B176,B176,$C$10:C176,C176,$D$10:D176,D176,$E$10:E176,E176)=1),(M176-N176)*E176*L176,0)</f>
        <v/>
      </c>
      <c r="S176" s="19">
        <f>IF(D176="",0,N(E176)*L176)</f>
        <v/>
      </c>
    </row>
    <row r="177">
      <c r="A177" s="11" t="n"/>
      <c r="B177" s="12" t="n"/>
      <c r="C177" s="12" t="n"/>
      <c r="D177" s="12" t="n"/>
      <c r="E177" s="13" t="n"/>
      <c r="F177" s="12" t="n"/>
      <c r="G177" s="14" t="n"/>
      <c r="H177" s="15" t="n"/>
      <c r="I177" s="16">
        <f>IF(G177="","",G177*(1-N(H177)))</f>
        <v/>
      </c>
      <c r="J177" s="16">
        <f>IF(I177="","",E177*I177)</f>
        <v/>
      </c>
      <c r="K177">
        <f>IF(D177="","",IFERROR(VLOOKUP(D177,'Ürün Eşleştirme'!$A$6:$D$505,2,FALSE),D177))</f>
        <v/>
      </c>
      <c r="L177" s="17">
        <f>IF(D177="","",IFERROR(VLOOKUP(D177,'Ürün Eşleştirme'!$A$6:$D$505,4,FALSE),1))</f>
        <v/>
      </c>
      <c r="M177" s="16">
        <f>IF(I177="","",I177/L177)</f>
        <v/>
      </c>
      <c r="N177" s="16">
        <f>IF(M177="","",IFERROR(AVERAGEIFS($M$10:$M$1009,$K$10:$K$1009,K177,$A$10:$A$1009,"&lt;"&amp;A177,$A$10:$A$1009,"&gt;="&amp;(A177-$C$6)),""))</f>
        <v/>
      </c>
      <c r="O177" s="16">
        <f>IF(M177="","",_xlfn.MINIFS($M$10:$M$1009,$K$10:$K$1009,K177,$A$10:$A$1009,"&lt;="&amp;A177,$A$10:$A$1009,"&gt;="&amp;(A177-$C$6)))</f>
        <v/>
      </c>
      <c r="P177" s="18">
        <f>IF(OR(N177="",N177=0),"",M177/N177-1)</f>
        <v/>
      </c>
      <c r="Q177">
        <f>IF(D177="","",IF(COUNTIFS($B$10:$B$1009,B177,$C$10:$C$1009,C177,$D$10:$D$1009,D177,$E$10:$E$1009,E177)&gt;1,"MÜKERRER?",IF(P177="","",IF(P177&gt;=$C$5,"İNCELE",IF(P177&lt;=-$C$5,"Düşük",""))))</f>
        <v/>
      </c>
      <c r="R177" s="16">
        <f>IF(AND(P177&lt;&gt;"",N(P177)&gt;=$C$5,COUNTIFS($B$10:B177,B177,$C$10:C177,C177,$D$10:D177,D177,$E$10:E177,E177)=1),(M177-N177)*E177*L177,0)</f>
        <v/>
      </c>
      <c r="S177" s="19">
        <f>IF(D177="",0,N(E177)*L177)</f>
        <v/>
      </c>
    </row>
    <row r="178">
      <c r="A178" s="11" t="n"/>
      <c r="B178" s="12" t="n"/>
      <c r="C178" s="12" t="n"/>
      <c r="D178" s="12" t="n"/>
      <c r="E178" s="13" t="n"/>
      <c r="F178" s="12" t="n"/>
      <c r="G178" s="14" t="n"/>
      <c r="H178" s="15" t="n"/>
      <c r="I178" s="16">
        <f>IF(G178="","",G178*(1-N(H178)))</f>
        <v/>
      </c>
      <c r="J178" s="16">
        <f>IF(I178="","",E178*I178)</f>
        <v/>
      </c>
      <c r="K178">
        <f>IF(D178="","",IFERROR(VLOOKUP(D178,'Ürün Eşleştirme'!$A$6:$D$505,2,FALSE),D178))</f>
        <v/>
      </c>
      <c r="L178" s="17">
        <f>IF(D178="","",IFERROR(VLOOKUP(D178,'Ürün Eşleştirme'!$A$6:$D$505,4,FALSE),1))</f>
        <v/>
      </c>
      <c r="M178" s="16">
        <f>IF(I178="","",I178/L178)</f>
        <v/>
      </c>
      <c r="N178" s="16">
        <f>IF(M178="","",IFERROR(AVERAGEIFS($M$10:$M$1009,$K$10:$K$1009,K178,$A$10:$A$1009,"&lt;"&amp;A178,$A$10:$A$1009,"&gt;="&amp;(A178-$C$6)),""))</f>
        <v/>
      </c>
      <c r="O178" s="16">
        <f>IF(M178="","",_xlfn.MINIFS($M$10:$M$1009,$K$10:$K$1009,K178,$A$10:$A$1009,"&lt;="&amp;A178,$A$10:$A$1009,"&gt;="&amp;(A178-$C$6)))</f>
        <v/>
      </c>
      <c r="P178" s="18">
        <f>IF(OR(N178="",N178=0),"",M178/N178-1)</f>
        <v/>
      </c>
      <c r="Q178">
        <f>IF(D178="","",IF(COUNTIFS($B$10:$B$1009,B178,$C$10:$C$1009,C178,$D$10:$D$1009,D178,$E$10:$E$1009,E178)&gt;1,"MÜKERRER?",IF(P178="","",IF(P178&gt;=$C$5,"İNCELE",IF(P178&lt;=-$C$5,"Düşük",""))))</f>
        <v/>
      </c>
      <c r="R178" s="16">
        <f>IF(AND(P178&lt;&gt;"",N(P178)&gt;=$C$5,COUNTIFS($B$10:B178,B178,$C$10:C178,C178,$D$10:D178,D178,$E$10:E178,E178)=1),(M178-N178)*E178*L178,0)</f>
        <v/>
      </c>
      <c r="S178" s="19">
        <f>IF(D178="",0,N(E178)*L178)</f>
        <v/>
      </c>
    </row>
    <row r="179">
      <c r="A179" s="11" t="n"/>
      <c r="B179" s="12" t="n"/>
      <c r="C179" s="12" t="n"/>
      <c r="D179" s="12" t="n"/>
      <c r="E179" s="13" t="n"/>
      <c r="F179" s="12" t="n"/>
      <c r="G179" s="14" t="n"/>
      <c r="H179" s="15" t="n"/>
      <c r="I179" s="16">
        <f>IF(G179="","",G179*(1-N(H179)))</f>
        <v/>
      </c>
      <c r="J179" s="16">
        <f>IF(I179="","",E179*I179)</f>
        <v/>
      </c>
      <c r="K179">
        <f>IF(D179="","",IFERROR(VLOOKUP(D179,'Ürün Eşleştirme'!$A$6:$D$505,2,FALSE),D179))</f>
        <v/>
      </c>
      <c r="L179" s="17">
        <f>IF(D179="","",IFERROR(VLOOKUP(D179,'Ürün Eşleştirme'!$A$6:$D$505,4,FALSE),1))</f>
        <v/>
      </c>
      <c r="M179" s="16">
        <f>IF(I179="","",I179/L179)</f>
        <v/>
      </c>
      <c r="N179" s="16">
        <f>IF(M179="","",IFERROR(AVERAGEIFS($M$10:$M$1009,$K$10:$K$1009,K179,$A$10:$A$1009,"&lt;"&amp;A179,$A$10:$A$1009,"&gt;="&amp;(A179-$C$6)),""))</f>
        <v/>
      </c>
      <c r="O179" s="16">
        <f>IF(M179="","",_xlfn.MINIFS($M$10:$M$1009,$K$10:$K$1009,K179,$A$10:$A$1009,"&lt;="&amp;A179,$A$10:$A$1009,"&gt;="&amp;(A179-$C$6)))</f>
        <v/>
      </c>
      <c r="P179" s="18">
        <f>IF(OR(N179="",N179=0),"",M179/N179-1)</f>
        <v/>
      </c>
      <c r="Q179">
        <f>IF(D179="","",IF(COUNTIFS($B$10:$B$1009,B179,$C$10:$C$1009,C179,$D$10:$D$1009,D179,$E$10:$E$1009,E179)&gt;1,"MÜKERRER?",IF(P179="","",IF(P179&gt;=$C$5,"İNCELE",IF(P179&lt;=-$C$5,"Düşük",""))))</f>
        <v/>
      </c>
      <c r="R179" s="16">
        <f>IF(AND(P179&lt;&gt;"",N(P179)&gt;=$C$5,COUNTIFS($B$10:B179,B179,$C$10:C179,C179,$D$10:D179,D179,$E$10:E179,E179)=1),(M179-N179)*E179*L179,0)</f>
        <v/>
      </c>
      <c r="S179" s="19">
        <f>IF(D179="",0,N(E179)*L179)</f>
        <v/>
      </c>
    </row>
    <row r="180">
      <c r="A180" s="11" t="n"/>
      <c r="B180" s="12" t="n"/>
      <c r="C180" s="12" t="n"/>
      <c r="D180" s="12" t="n"/>
      <c r="E180" s="13" t="n"/>
      <c r="F180" s="12" t="n"/>
      <c r="G180" s="14" t="n"/>
      <c r="H180" s="15" t="n"/>
      <c r="I180" s="16">
        <f>IF(G180="","",G180*(1-N(H180)))</f>
        <v/>
      </c>
      <c r="J180" s="16">
        <f>IF(I180="","",E180*I180)</f>
        <v/>
      </c>
      <c r="K180">
        <f>IF(D180="","",IFERROR(VLOOKUP(D180,'Ürün Eşleştirme'!$A$6:$D$505,2,FALSE),D180))</f>
        <v/>
      </c>
      <c r="L180" s="17">
        <f>IF(D180="","",IFERROR(VLOOKUP(D180,'Ürün Eşleştirme'!$A$6:$D$505,4,FALSE),1))</f>
        <v/>
      </c>
      <c r="M180" s="16">
        <f>IF(I180="","",I180/L180)</f>
        <v/>
      </c>
      <c r="N180" s="16">
        <f>IF(M180="","",IFERROR(AVERAGEIFS($M$10:$M$1009,$K$10:$K$1009,K180,$A$10:$A$1009,"&lt;"&amp;A180,$A$10:$A$1009,"&gt;="&amp;(A180-$C$6)),""))</f>
        <v/>
      </c>
      <c r="O180" s="16">
        <f>IF(M180="","",_xlfn.MINIFS($M$10:$M$1009,$K$10:$K$1009,K180,$A$10:$A$1009,"&lt;="&amp;A180,$A$10:$A$1009,"&gt;="&amp;(A180-$C$6)))</f>
        <v/>
      </c>
      <c r="P180" s="18">
        <f>IF(OR(N180="",N180=0),"",M180/N180-1)</f>
        <v/>
      </c>
      <c r="Q180">
        <f>IF(D180="","",IF(COUNTIFS($B$10:$B$1009,B180,$C$10:$C$1009,C180,$D$10:$D$1009,D180,$E$10:$E$1009,E180)&gt;1,"MÜKERRER?",IF(P180="","",IF(P180&gt;=$C$5,"İNCELE",IF(P180&lt;=-$C$5,"Düşük",""))))</f>
        <v/>
      </c>
      <c r="R180" s="16">
        <f>IF(AND(P180&lt;&gt;"",N(P180)&gt;=$C$5,COUNTIFS($B$10:B180,B180,$C$10:C180,C180,$D$10:D180,D180,$E$10:E180,E180)=1),(M180-N180)*E180*L180,0)</f>
        <v/>
      </c>
      <c r="S180" s="19">
        <f>IF(D180="",0,N(E180)*L180)</f>
        <v/>
      </c>
    </row>
    <row r="181">
      <c r="A181" s="11" t="n"/>
      <c r="B181" s="12" t="n"/>
      <c r="C181" s="12" t="n"/>
      <c r="D181" s="12" t="n"/>
      <c r="E181" s="13" t="n"/>
      <c r="F181" s="12" t="n"/>
      <c r="G181" s="14" t="n"/>
      <c r="H181" s="15" t="n"/>
      <c r="I181" s="16">
        <f>IF(G181="","",G181*(1-N(H181)))</f>
        <v/>
      </c>
      <c r="J181" s="16">
        <f>IF(I181="","",E181*I181)</f>
        <v/>
      </c>
      <c r="K181">
        <f>IF(D181="","",IFERROR(VLOOKUP(D181,'Ürün Eşleştirme'!$A$6:$D$505,2,FALSE),D181))</f>
        <v/>
      </c>
      <c r="L181" s="17">
        <f>IF(D181="","",IFERROR(VLOOKUP(D181,'Ürün Eşleştirme'!$A$6:$D$505,4,FALSE),1))</f>
        <v/>
      </c>
      <c r="M181" s="16">
        <f>IF(I181="","",I181/L181)</f>
        <v/>
      </c>
      <c r="N181" s="16">
        <f>IF(M181="","",IFERROR(AVERAGEIFS($M$10:$M$1009,$K$10:$K$1009,K181,$A$10:$A$1009,"&lt;"&amp;A181,$A$10:$A$1009,"&gt;="&amp;(A181-$C$6)),""))</f>
        <v/>
      </c>
      <c r="O181" s="16">
        <f>IF(M181="","",_xlfn.MINIFS($M$10:$M$1009,$K$10:$K$1009,K181,$A$10:$A$1009,"&lt;="&amp;A181,$A$10:$A$1009,"&gt;="&amp;(A181-$C$6)))</f>
        <v/>
      </c>
      <c r="P181" s="18">
        <f>IF(OR(N181="",N181=0),"",M181/N181-1)</f>
        <v/>
      </c>
      <c r="Q181">
        <f>IF(D181="","",IF(COUNTIFS($B$10:$B$1009,B181,$C$10:$C$1009,C181,$D$10:$D$1009,D181,$E$10:$E$1009,E181)&gt;1,"MÜKERRER?",IF(P181="","",IF(P181&gt;=$C$5,"İNCELE",IF(P181&lt;=-$C$5,"Düşük",""))))</f>
        <v/>
      </c>
      <c r="R181" s="16">
        <f>IF(AND(P181&lt;&gt;"",N(P181)&gt;=$C$5,COUNTIFS($B$10:B181,B181,$C$10:C181,C181,$D$10:D181,D181,$E$10:E181,E181)=1),(M181-N181)*E181*L181,0)</f>
        <v/>
      </c>
      <c r="S181" s="19">
        <f>IF(D181="",0,N(E181)*L181)</f>
        <v/>
      </c>
    </row>
    <row r="182">
      <c r="A182" s="11" t="n"/>
      <c r="B182" s="12" t="n"/>
      <c r="C182" s="12" t="n"/>
      <c r="D182" s="12" t="n"/>
      <c r="E182" s="13" t="n"/>
      <c r="F182" s="12" t="n"/>
      <c r="G182" s="14" t="n"/>
      <c r="H182" s="15" t="n"/>
      <c r="I182" s="16">
        <f>IF(G182="","",G182*(1-N(H182)))</f>
        <v/>
      </c>
      <c r="J182" s="16">
        <f>IF(I182="","",E182*I182)</f>
        <v/>
      </c>
      <c r="K182">
        <f>IF(D182="","",IFERROR(VLOOKUP(D182,'Ürün Eşleştirme'!$A$6:$D$505,2,FALSE),D182))</f>
        <v/>
      </c>
      <c r="L182" s="17">
        <f>IF(D182="","",IFERROR(VLOOKUP(D182,'Ürün Eşleştirme'!$A$6:$D$505,4,FALSE),1))</f>
        <v/>
      </c>
      <c r="M182" s="16">
        <f>IF(I182="","",I182/L182)</f>
        <v/>
      </c>
      <c r="N182" s="16">
        <f>IF(M182="","",IFERROR(AVERAGEIFS($M$10:$M$1009,$K$10:$K$1009,K182,$A$10:$A$1009,"&lt;"&amp;A182,$A$10:$A$1009,"&gt;="&amp;(A182-$C$6)),""))</f>
        <v/>
      </c>
      <c r="O182" s="16">
        <f>IF(M182="","",_xlfn.MINIFS($M$10:$M$1009,$K$10:$K$1009,K182,$A$10:$A$1009,"&lt;="&amp;A182,$A$10:$A$1009,"&gt;="&amp;(A182-$C$6)))</f>
        <v/>
      </c>
      <c r="P182" s="18">
        <f>IF(OR(N182="",N182=0),"",M182/N182-1)</f>
        <v/>
      </c>
      <c r="Q182">
        <f>IF(D182="","",IF(COUNTIFS($B$10:$B$1009,B182,$C$10:$C$1009,C182,$D$10:$D$1009,D182,$E$10:$E$1009,E182)&gt;1,"MÜKERRER?",IF(P182="","",IF(P182&gt;=$C$5,"İNCELE",IF(P182&lt;=-$C$5,"Düşük",""))))</f>
        <v/>
      </c>
      <c r="R182" s="16">
        <f>IF(AND(P182&lt;&gt;"",N(P182)&gt;=$C$5,COUNTIFS($B$10:B182,B182,$C$10:C182,C182,$D$10:D182,D182,$E$10:E182,E182)=1),(M182-N182)*E182*L182,0)</f>
        <v/>
      </c>
      <c r="S182" s="19">
        <f>IF(D182="",0,N(E182)*L182)</f>
        <v/>
      </c>
    </row>
    <row r="183">
      <c r="A183" s="11" t="n"/>
      <c r="B183" s="12" t="n"/>
      <c r="C183" s="12" t="n"/>
      <c r="D183" s="12" t="n"/>
      <c r="E183" s="13" t="n"/>
      <c r="F183" s="12" t="n"/>
      <c r="G183" s="14" t="n"/>
      <c r="H183" s="15" t="n"/>
      <c r="I183" s="16">
        <f>IF(G183="","",G183*(1-N(H183)))</f>
        <v/>
      </c>
      <c r="J183" s="16">
        <f>IF(I183="","",E183*I183)</f>
        <v/>
      </c>
      <c r="K183">
        <f>IF(D183="","",IFERROR(VLOOKUP(D183,'Ürün Eşleştirme'!$A$6:$D$505,2,FALSE),D183))</f>
        <v/>
      </c>
      <c r="L183" s="17">
        <f>IF(D183="","",IFERROR(VLOOKUP(D183,'Ürün Eşleştirme'!$A$6:$D$505,4,FALSE),1))</f>
        <v/>
      </c>
      <c r="M183" s="16">
        <f>IF(I183="","",I183/L183)</f>
        <v/>
      </c>
      <c r="N183" s="16">
        <f>IF(M183="","",IFERROR(AVERAGEIFS($M$10:$M$1009,$K$10:$K$1009,K183,$A$10:$A$1009,"&lt;"&amp;A183,$A$10:$A$1009,"&gt;="&amp;(A183-$C$6)),""))</f>
        <v/>
      </c>
      <c r="O183" s="16">
        <f>IF(M183="","",_xlfn.MINIFS($M$10:$M$1009,$K$10:$K$1009,K183,$A$10:$A$1009,"&lt;="&amp;A183,$A$10:$A$1009,"&gt;="&amp;(A183-$C$6)))</f>
        <v/>
      </c>
      <c r="P183" s="18">
        <f>IF(OR(N183="",N183=0),"",M183/N183-1)</f>
        <v/>
      </c>
      <c r="Q183">
        <f>IF(D183="","",IF(COUNTIFS($B$10:$B$1009,B183,$C$10:$C$1009,C183,$D$10:$D$1009,D183,$E$10:$E$1009,E183)&gt;1,"MÜKERRER?",IF(P183="","",IF(P183&gt;=$C$5,"İNCELE",IF(P183&lt;=-$C$5,"Düşük",""))))</f>
        <v/>
      </c>
      <c r="R183" s="16">
        <f>IF(AND(P183&lt;&gt;"",N(P183)&gt;=$C$5,COUNTIFS($B$10:B183,B183,$C$10:C183,C183,$D$10:D183,D183,$E$10:E183,E183)=1),(M183-N183)*E183*L183,0)</f>
        <v/>
      </c>
      <c r="S183" s="19">
        <f>IF(D183="",0,N(E183)*L183)</f>
        <v/>
      </c>
    </row>
    <row r="184">
      <c r="A184" s="11" t="n"/>
      <c r="B184" s="12" t="n"/>
      <c r="C184" s="12" t="n"/>
      <c r="D184" s="12" t="n"/>
      <c r="E184" s="13" t="n"/>
      <c r="F184" s="12" t="n"/>
      <c r="G184" s="14" t="n"/>
      <c r="H184" s="15" t="n"/>
      <c r="I184" s="16">
        <f>IF(G184="","",G184*(1-N(H184)))</f>
        <v/>
      </c>
      <c r="J184" s="16">
        <f>IF(I184="","",E184*I184)</f>
        <v/>
      </c>
      <c r="K184">
        <f>IF(D184="","",IFERROR(VLOOKUP(D184,'Ürün Eşleştirme'!$A$6:$D$505,2,FALSE),D184))</f>
        <v/>
      </c>
      <c r="L184" s="17">
        <f>IF(D184="","",IFERROR(VLOOKUP(D184,'Ürün Eşleştirme'!$A$6:$D$505,4,FALSE),1))</f>
        <v/>
      </c>
      <c r="M184" s="16">
        <f>IF(I184="","",I184/L184)</f>
        <v/>
      </c>
      <c r="N184" s="16">
        <f>IF(M184="","",IFERROR(AVERAGEIFS($M$10:$M$1009,$K$10:$K$1009,K184,$A$10:$A$1009,"&lt;"&amp;A184,$A$10:$A$1009,"&gt;="&amp;(A184-$C$6)),""))</f>
        <v/>
      </c>
      <c r="O184" s="16">
        <f>IF(M184="","",_xlfn.MINIFS($M$10:$M$1009,$K$10:$K$1009,K184,$A$10:$A$1009,"&lt;="&amp;A184,$A$10:$A$1009,"&gt;="&amp;(A184-$C$6)))</f>
        <v/>
      </c>
      <c r="P184" s="18">
        <f>IF(OR(N184="",N184=0),"",M184/N184-1)</f>
        <v/>
      </c>
      <c r="Q184">
        <f>IF(D184="","",IF(COUNTIFS($B$10:$B$1009,B184,$C$10:$C$1009,C184,$D$10:$D$1009,D184,$E$10:$E$1009,E184)&gt;1,"MÜKERRER?",IF(P184="","",IF(P184&gt;=$C$5,"İNCELE",IF(P184&lt;=-$C$5,"Düşük",""))))</f>
        <v/>
      </c>
      <c r="R184" s="16">
        <f>IF(AND(P184&lt;&gt;"",N(P184)&gt;=$C$5,COUNTIFS($B$10:B184,B184,$C$10:C184,C184,$D$10:D184,D184,$E$10:E184,E184)=1),(M184-N184)*E184*L184,0)</f>
        <v/>
      </c>
      <c r="S184" s="19">
        <f>IF(D184="",0,N(E184)*L184)</f>
        <v/>
      </c>
    </row>
    <row r="185">
      <c r="A185" s="11" t="n"/>
      <c r="B185" s="12" t="n"/>
      <c r="C185" s="12" t="n"/>
      <c r="D185" s="12" t="n"/>
      <c r="E185" s="13" t="n"/>
      <c r="F185" s="12" t="n"/>
      <c r="G185" s="14" t="n"/>
      <c r="H185" s="15" t="n"/>
      <c r="I185" s="16">
        <f>IF(G185="","",G185*(1-N(H185)))</f>
        <v/>
      </c>
      <c r="J185" s="16">
        <f>IF(I185="","",E185*I185)</f>
        <v/>
      </c>
      <c r="K185">
        <f>IF(D185="","",IFERROR(VLOOKUP(D185,'Ürün Eşleştirme'!$A$6:$D$505,2,FALSE),D185))</f>
        <v/>
      </c>
      <c r="L185" s="17">
        <f>IF(D185="","",IFERROR(VLOOKUP(D185,'Ürün Eşleştirme'!$A$6:$D$505,4,FALSE),1))</f>
        <v/>
      </c>
      <c r="M185" s="16">
        <f>IF(I185="","",I185/L185)</f>
        <v/>
      </c>
      <c r="N185" s="16">
        <f>IF(M185="","",IFERROR(AVERAGEIFS($M$10:$M$1009,$K$10:$K$1009,K185,$A$10:$A$1009,"&lt;"&amp;A185,$A$10:$A$1009,"&gt;="&amp;(A185-$C$6)),""))</f>
        <v/>
      </c>
      <c r="O185" s="16">
        <f>IF(M185="","",_xlfn.MINIFS($M$10:$M$1009,$K$10:$K$1009,K185,$A$10:$A$1009,"&lt;="&amp;A185,$A$10:$A$1009,"&gt;="&amp;(A185-$C$6)))</f>
        <v/>
      </c>
      <c r="P185" s="18">
        <f>IF(OR(N185="",N185=0),"",M185/N185-1)</f>
        <v/>
      </c>
      <c r="Q185">
        <f>IF(D185="","",IF(COUNTIFS($B$10:$B$1009,B185,$C$10:$C$1009,C185,$D$10:$D$1009,D185,$E$10:$E$1009,E185)&gt;1,"MÜKERRER?",IF(P185="","",IF(P185&gt;=$C$5,"İNCELE",IF(P185&lt;=-$C$5,"Düşük",""))))</f>
        <v/>
      </c>
      <c r="R185" s="16">
        <f>IF(AND(P185&lt;&gt;"",N(P185)&gt;=$C$5,COUNTIFS($B$10:B185,B185,$C$10:C185,C185,$D$10:D185,D185,$E$10:E185,E185)=1),(M185-N185)*E185*L185,0)</f>
        <v/>
      </c>
      <c r="S185" s="19">
        <f>IF(D185="",0,N(E185)*L185)</f>
        <v/>
      </c>
    </row>
    <row r="186">
      <c r="A186" s="11" t="n"/>
      <c r="B186" s="12" t="n"/>
      <c r="C186" s="12" t="n"/>
      <c r="D186" s="12" t="n"/>
      <c r="E186" s="13" t="n"/>
      <c r="F186" s="12" t="n"/>
      <c r="G186" s="14" t="n"/>
      <c r="H186" s="15" t="n"/>
      <c r="I186" s="16">
        <f>IF(G186="","",G186*(1-N(H186)))</f>
        <v/>
      </c>
      <c r="J186" s="16">
        <f>IF(I186="","",E186*I186)</f>
        <v/>
      </c>
      <c r="K186">
        <f>IF(D186="","",IFERROR(VLOOKUP(D186,'Ürün Eşleştirme'!$A$6:$D$505,2,FALSE),D186))</f>
        <v/>
      </c>
      <c r="L186" s="17">
        <f>IF(D186="","",IFERROR(VLOOKUP(D186,'Ürün Eşleştirme'!$A$6:$D$505,4,FALSE),1))</f>
        <v/>
      </c>
      <c r="M186" s="16">
        <f>IF(I186="","",I186/L186)</f>
        <v/>
      </c>
      <c r="N186" s="16">
        <f>IF(M186="","",IFERROR(AVERAGEIFS($M$10:$M$1009,$K$10:$K$1009,K186,$A$10:$A$1009,"&lt;"&amp;A186,$A$10:$A$1009,"&gt;="&amp;(A186-$C$6)),""))</f>
        <v/>
      </c>
      <c r="O186" s="16">
        <f>IF(M186="","",_xlfn.MINIFS($M$10:$M$1009,$K$10:$K$1009,K186,$A$10:$A$1009,"&lt;="&amp;A186,$A$10:$A$1009,"&gt;="&amp;(A186-$C$6)))</f>
        <v/>
      </c>
      <c r="P186" s="18">
        <f>IF(OR(N186="",N186=0),"",M186/N186-1)</f>
        <v/>
      </c>
      <c r="Q186">
        <f>IF(D186="","",IF(COUNTIFS($B$10:$B$1009,B186,$C$10:$C$1009,C186,$D$10:$D$1009,D186,$E$10:$E$1009,E186)&gt;1,"MÜKERRER?",IF(P186="","",IF(P186&gt;=$C$5,"İNCELE",IF(P186&lt;=-$C$5,"Düşük",""))))</f>
        <v/>
      </c>
      <c r="R186" s="16">
        <f>IF(AND(P186&lt;&gt;"",N(P186)&gt;=$C$5,COUNTIFS($B$10:B186,B186,$C$10:C186,C186,$D$10:D186,D186,$E$10:E186,E186)=1),(M186-N186)*E186*L186,0)</f>
        <v/>
      </c>
      <c r="S186" s="19">
        <f>IF(D186="",0,N(E186)*L186)</f>
        <v/>
      </c>
    </row>
    <row r="187">
      <c r="A187" s="11" t="n"/>
      <c r="B187" s="12" t="n"/>
      <c r="C187" s="12" t="n"/>
      <c r="D187" s="12" t="n"/>
      <c r="E187" s="13" t="n"/>
      <c r="F187" s="12" t="n"/>
      <c r="G187" s="14" t="n"/>
      <c r="H187" s="15" t="n"/>
      <c r="I187" s="16">
        <f>IF(G187="","",G187*(1-N(H187)))</f>
        <v/>
      </c>
      <c r="J187" s="16">
        <f>IF(I187="","",E187*I187)</f>
        <v/>
      </c>
      <c r="K187">
        <f>IF(D187="","",IFERROR(VLOOKUP(D187,'Ürün Eşleştirme'!$A$6:$D$505,2,FALSE),D187))</f>
        <v/>
      </c>
      <c r="L187" s="17">
        <f>IF(D187="","",IFERROR(VLOOKUP(D187,'Ürün Eşleştirme'!$A$6:$D$505,4,FALSE),1))</f>
        <v/>
      </c>
      <c r="M187" s="16">
        <f>IF(I187="","",I187/L187)</f>
        <v/>
      </c>
      <c r="N187" s="16">
        <f>IF(M187="","",IFERROR(AVERAGEIFS($M$10:$M$1009,$K$10:$K$1009,K187,$A$10:$A$1009,"&lt;"&amp;A187,$A$10:$A$1009,"&gt;="&amp;(A187-$C$6)),""))</f>
        <v/>
      </c>
      <c r="O187" s="16">
        <f>IF(M187="","",_xlfn.MINIFS($M$10:$M$1009,$K$10:$K$1009,K187,$A$10:$A$1009,"&lt;="&amp;A187,$A$10:$A$1009,"&gt;="&amp;(A187-$C$6)))</f>
        <v/>
      </c>
      <c r="P187" s="18">
        <f>IF(OR(N187="",N187=0),"",M187/N187-1)</f>
        <v/>
      </c>
      <c r="Q187">
        <f>IF(D187="","",IF(COUNTIFS($B$10:$B$1009,B187,$C$10:$C$1009,C187,$D$10:$D$1009,D187,$E$10:$E$1009,E187)&gt;1,"MÜKERRER?",IF(P187="","",IF(P187&gt;=$C$5,"İNCELE",IF(P187&lt;=-$C$5,"Düşük",""))))</f>
        <v/>
      </c>
      <c r="R187" s="16">
        <f>IF(AND(P187&lt;&gt;"",N(P187)&gt;=$C$5,COUNTIFS($B$10:B187,B187,$C$10:C187,C187,$D$10:D187,D187,$E$10:E187,E187)=1),(M187-N187)*E187*L187,0)</f>
        <v/>
      </c>
      <c r="S187" s="19">
        <f>IF(D187="",0,N(E187)*L187)</f>
        <v/>
      </c>
    </row>
    <row r="188">
      <c r="A188" s="11" t="n"/>
      <c r="B188" s="12" t="n"/>
      <c r="C188" s="12" t="n"/>
      <c r="D188" s="12" t="n"/>
      <c r="E188" s="13" t="n"/>
      <c r="F188" s="12" t="n"/>
      <c r="G188" s="14" t="n"/>
      <c r="H188" s="15" t="n"/>
      <c r="I188" s="16">
        <f>IF(G188="","",G188*(1-N(H188)))</f>
        <v/>
      </c>
      <c r="J188" s="16">
        <f>IF(I188="","",E188*I188)</f>
        <v/>
      </c>
      <c r="K188">
        <f>IF(D188="","",IFERROR(VLOOKUP(D188,'Ürün Eşleştirme'!$A$6:$D$505,2,FALSE),D188))</f>
        <v/>
      </c>
      <c r="L188" s="17">
        <f>IF(D188="","",IFERROR(VLOOKUP(D188,'Ürün Eşleştirme'!$A$6:$D$505,4,FALSE),1))</f>
        <v/>
      </c>
      <c r="M188" s="16">
        <f>IF(I188="","",I188/L188)</f>
        <v/>
      </c>
      <c r="N188" s="16">
        <f>IF(M188="","",IFERROR(AVERAGEIFS($M$10:$M$1009,$K$10:$K$1009,K188,$A$10:$A$1009,"&lt;"&amp;A188,$A$10:$A$1009,"&gt;="&amp;(A188-$C$6)),""))</f>
        <v/>
      </c>
      <c r="O188" s="16">
        <f>IF(M188="","",_xlfn.MINIFS($M$10:$M$1009,$K$10:$K$1009,K188,$A$10:$A$1009,"&lt;="&amp;A188,$A$10:$A$1009,"&gt;="&amp;(A188-$C$6)))</f>
        <v/>
      </c>
      <c r="P188" s="18">
        <f>IF(OR(N188="",N188=0),"",M188/N188-1)</f>
        <v/>
      </c>
      <c r="Q188">
        <f>IF(D188="","",IF(COUNTIFS($B$10:$B$1009,B188,$C$10:$C$1009,C188,$D$10:$D$1009,D188,$E$10:$E$1009,E188)&gt;1,"MÜKERRER?",IF(P188="","",IF(P188&gt;=$C$5,"İNCELE",IF(P188&lt;=-$C$5,"Düşük",""))))</f>
        <v/>
      </c>
      <c r="R188" s="16">
        <f>IF(AND(P188&lt;&gt;"",N(P188)&gt;=$C$5,COUNTIFS($B$10:B188,B188,$C$10:C188,C188,$D$10:D188,D188,$E$10:E188,E188)=1),(M188-N188)*E188*L188,0)</f>
        <v/>
      </c>
      <c r="S188" s="19">
        <f>IF(D188="",0,N(E188)*L188)</f>
        <v/>
      </c>
    </row>
    <row r="189">
      <c r="A189" s="11" t="n"/>
      <c r="B189" s="12" t="n"/>
      <c r="C189" s="12" t="n"/>
      <c r="D189" s="12" t="n"/>
      <c r="E189" s="13" t="n"/>
      <c r="F189" s="12" t="n"/>
      <c r="G189" s="14" t="n"/>
      <c r="H189" s="15" t="n"/>
      <c r="I189" s="16">
        <f>IF(G189="","",G189*(1-N(H189)))</f>
        <v/>
      </c>
      <c r="J189" s="16">
        <f>IF(I189="","",E189*I189)</f>
        <v/>
      </c>
      <c r="K189">
        <f>IF(D189="","",IFERROR(VLOOKUP(D189,'Ürün Eşleştirme'!$A$6:$D$505,2,FALSE),D189))</f>
        <v/>
      </c>
      <c r="L189" s="17">
        <f>IF(D189="","",IFERROR(VLOOKUP(D189,'Ürün Eşleştirme'!$A$6:$D$505,4,FALSE),1))</f>
        <v/>
      </c>
      <c r="M189" s="16">
        <f>IF(I189="","",I189/L189)</f>
        <v/>
      </c>
      <c r="N189" s="16">
        <f>IF(M189="","",IFERROR(AVERAGEIFS($M$10:$M$1009,$K$10:$K$1009,K189,$A$10:$A$1009,"&lt;"&amp;A189,$A$10:$A$1009,"&gt;="&amp;(A189-$C$6)),""))</f>
        <v/>
      </c>
      <c r="O189" s="16">
        <f>IF(M189="","",_xlfn.MINIFS($M$10:$M$1009,$K$10:$K$1009,K189,$A$10:$A$1009,"&lt;="&amp;A189,$A$10:$A$1009,"&gt;="&amp;(A189-$C$6)))</f>
        <v/>
      </c>
      <c r="P189" s="18">
        <f>IF(OR(N189="",N189=0),"",M189/N189-1)</f>
        <v/>
      </c>
      <c r="Q189">
        <f>IF(D189="","",IF(COUNTIFS($B$10:$B$1009,B189,$C$10:$C$1009,C189,$D$10:$D$1009,D189,$E$10:$E$1009,E189)&gt;1,"MÜKERRER?",IF(P189="","",IF(P189&gt;=$C$5,"İNCELE",IF(P189&lt;=-$C$5,"Düşük",""))))</f>
        <v/>
      </c>
      <c r="R189" s="16">
        <f>IF(AND(P189&lt;&gt;"",N(P189)&gt;=$C$5,COUNTIFS($B$10:B189,B189,$C$10:C189,C189,$D$10:D189,D189,$E$10:E189,E189)=1),(M189-N189)*E189*L189,0)</f>
        <v/>
      </c>
      <c r="S189" s="19">
        <f>IF(D189="",0,N(E189)*L189)</f>
        <v/>
      </c>
    </row>
    <row r="190">
      <c r="A190" s="11" t="n"/>
      <c r="B190" s="12" t="n"/>
      <c r="C190" s="12" t="n"/>
      <c r="D190" s="12" t="n"/>
      <c r="E190" s="13" t="n"/>
      <c r="F190" s="12" t="n"/>
      <c r="G190" s="14" t="n"/>
      <c r="H190" s="15" t="n"/>
      <c r="I190" s="16">
        <f>IF(G190="","",G190*(1-N(H190)))</f>
        <v/>
      </c>
      <c r="J190" s="16">
        <f>IF(I190="","",E190*I190)</f>
        <v/>
      </c>
      <c r="K190">
        <f>IF(D190="","",IFERROR(VLOOKUP(D190,'Ürün Eşleştirme'!$A$6:$D$505,2,FALSE),D190))</f>
        <v/>
      </c>
      <c r="L190" s="17">
        <f>IF(D190="","",IFERROR(VLOOKUP(D190,'Ürün Eşleştirme'!$A$6:$D$505,4,FALSE),1))</f>
        <v/>
      </c>
      <c r="M190" s="16">
        <f>IF(I190="","",I190/L190)</f>
        <v/>
      </c>
      <c r="N190" s="16">
        <f>IF(M190="","",IFERROR(AVERAGEIFS($M$10:$M$1009,$K$10:$K$1009,K190,$A$10:$A$1009,"&lt;"&amp;A190,$A$10:$A$1009,"&gt;="&amp;(A190-$C$6)),""))</f>
        <v/>
      </c>
      <c r="O190" s="16">
        <f>IF(M190="","",_xlfn.MINIFS($M$10:$M$1009,$K$10:$K$1009,K190,$A$10:$A$1009,"&lt;="&amp;A190,$A$10:$A$1009,"&gt;="&amp;(A190-$C$6)))</f>
        <v/>
      </c>
      <c r="P190" s="18">
        <f>IF(OR(N190="",N190=0),"",M190/N190-1)</f>
        <v/>
      </c>
      <c r="Q190">
        <f>IF(D190="","",IF(COUNTIFS($B$10:$B$1009,B190,$C$10:$C$1009,C190,$D$10:$D$1009,D190,$E$10:$E$1009,E190)&gt;1,"MÜKERRER?",IF(P190="","",IF(P190&gt;=$C$5,"İNCELE",IF(P190&lt;=-$C$5,"Düşük",""))))</f>
        <v/>
      </c>
      <c r="R190" s="16">
        <f>IF(AND(P190&lt;&gt;"",N(P190)&gt;=$C$5,COUNTIFS($B$10:B190,B190,$C$10:C190,C190,$D$10:D190,D190,$E$10:E190,E190)=1),(M190-N190)*E190*L190,0)</f>
        <v/>
      </c>
      <c r="S190" s="19">
        <f>IF(D190="",0,N(E190)*L190)</f>
        <v/>
      </c>
    </row>
    <row r="191">
      <c r="A191" s="11" t="n"/>
      <c r="B191" s="12" t="n"/>
      <c r="C191" s="12" t="n"/>
      <c r="D191" s="12" t="n"/>
      <c r="E191" s="13" t="n"/>
      <c r="F191" s="12" t="n"/>
      <c r="G191" s="14" t="n"/>
      <c r="H191" s="15" t="n"/>
      <c r="I191" s="16">
        <f>IF(G191="","",G191*(1-N(H191)))</f>
        <v/>
      </c>
      <c r="J191" s="16">
        <f>IF(I191="","",E191*I191)</f>
        <v/>
      </c>
      <c r="K191">
        <f>IF(D191="","",IFERROR(VLOOKUP(D191,'Ürün Eşleştirme'!$A$6:$D$505,2,FALSE),D191))</f>
        <v/>
      </c>
      <c r="L191" s="17">
        <f>IF(D191="","",IFERROR(VLOOKUP(D191,'Ürün Eşleştirme'!$A$6:$D$505,4,FALSE),1))</f>
        <v/>
      </c>
      <c r="M191" s="16">
        <f>IF(I191="","",I191/L191)</f>
        <v/>
      </c>
      <c r="N191" s="16">
        <f>IF(M191="","",IFERROR(AVERAGEIFS($M$10:$M$1009,$K$10:$K$1009,K191,$A$10:$A$1009,"&lt;"&amp;A191,$A$10:$A$1009,"&gt;="&amp;(A191-$C$6)),""))</f>
        <v/>
      </c>
      <c r="O191" s="16">
        <f>IF(M191="","",_xlfn.MINIFS($M$10:$M$1009,$K$10:$K$1009,K191,$A$10:$A$1009,"&lt;="&amp;A191,$A$10:$A$1009,"&gt;="&amp;(A191-$C$6)))</f>
        <v/>
      </c>
      <c r="P191" s="18">
        <f>IF(OR(N191="",N191=0),"",M191/N191-1)</f>
        <v/>
      </c>
      <c r="Q191">
        <f>IF(D191="","",IF(COUNTIFS($B$10:$B$1009,B191,$C$10:$C$1009,C191,$D$10:$D$1009,D191,$E$10:$E$1009,E191)&gt;1,"MÜKERRER?",IF(P191="","",IF(P191&gt;=$C$5,"İNCELE",IF(P191&lt;=-$C$5,"Düşük",""))))</f>
        <v/>
      </c>
      <c r="R191" s="16">
        <f>IF(AND(P191&lt;&gt;"",N(P191)&gt;=$C$5,COUNTIFS($B$10:B191,B191,$C$10:C191,C191,$D$10:D191,D191,$E$10:E191,E191)=1),(M191-N191)*E191*L191,0)</f>
        <v/>
      </c>
      <c r="S191" s="19">
        <f>IF(D191="",0,N(E191)*L191)</f>
        <v/>
      </c>
    </row>
    <row r="192">
      <c r="A192" s="11" t="n"/>
      <c r="B192" s="12" t="n"/>
      <c r="C192" s="12" t="n"/>
      <c r="D192" s="12" t="n"/>
      <c r="E192" s="13" t="n"/>
      <c r="F192" s="12" t="n"/>
      <c r="G192" s="14" t="n"/>
      <c r="H192" s="15" t="n"/>
      <c r="I192" s="16">
        <f>IF(G192="","",G192*(1-N(H192)))</f>
        <v/>
      </c>
      <c r="J192" s="16">
        <f>IF(I192="","",E192*I192)</f>
        <v/>
      </c>
      <c r="K192">
        <f>IF(D192="","",IFERROR(VLOOKUP(D192,'Ürün Eşleştirme'!$A$6:$D$505,2,FALSE),D192))</f>
        <v/>
      </c>
      <c r="L192" s="17">
        <f>IF(D192="","",IFERROR(VLOOKUP(D192,'Ürün Eşleştirme'!$A$6:$D$505,4,FALSE),1))</f>
        <v/>
      </c>
      <c r="M192" s="16">
        <f>IF(I192="","",I192/L192)</f>
        <v/>
      </c>
      <c r="N192" s="16">
        <f>IF(M192="","",IFERROR(AVERAGEIFS($M$10:$M$1009,$K$10:$K$1009,K192,$A$10:$A$1009,"&lt;"&amp;A192,$A$10:$A$1009,"&gt;="&amp;(A192-$C$6)),""))</f>
        <v/>
      </c>
      <c r="O192" s="16">
        <f>IF(M192="","",_xlfn.MINIFS($M$10:$M$1009,$K$10:$K$1009,K192,$A$10:$A$1009,"&lt;="&amp;A192,$A$10:$A$1009,"&gt;="&amp;(A192-$C$6)))</f>
        <v/>
      </c>
      <c r="P192" s="18">
        <f>IF(OR(N192="",N192=0),"",M192/N192-1)</f>
        <v/>
      </c>
      <c r="Q192">
        <f>IF(D192="","",IF(COUNTIFS($B$10:$B$1009,B192,$C$10:$C$1009,C192,$D$10:$D$1009,D192,$E$10:$E$1009,E192)&gt;1,"MÜKERRER?",IF(P192="","",IF(P192&gt;=$C$5,"İNCELE",IF(P192&lt;=-$C$5,"Düşük",""))))</f>
        <v/>
      </c>
      <c r="R192" s="16">
        <f>IF(AND(P192&lt;&gt;"",N(P192)&gt;=$C$5,COUNTIFS($B$10:B192,B192,$C$10:C192,C192,$D$10:D192,D192,$E$10:E192,E192)=1),(M192-N192)*E192*L192,0)</f>
        <v/>
      </c>
      <c r="S192" s="19">
        <f>IF(D192="",0,N(E192)*L192)</f>
        <v/>
      </c>
    </row>
    <row r="193">
      <c r="A193" s="11" t="n"/>
      <c r="B193" s="12" t="n"/>
      <c r="C193" s="12" t="n"/>
      <c r="D193" s="12" t="n"/>
      <c r="E193" s="13" t="n"/>
      <c r="F193" s="12" t="n"/>
      <c r="G193" s="14" t="n"/>
      <c r="H193" s="15" t="n"/>
      <c r="I193" s="16">
        <f>IF(G193="","",G193*(1-N(H193)))</f>
        <v/>
      </c>
      <c r="J193" s="16">
        <f>IF(I193="","",E193*I193)</f>
        <v/>
      </c>
      <c r="K193">
        <f>IF(D193="","",IFERROR(VLOOKUP(D193,'Ürün Eşleştirme'!$A$6:$D$505,2,FALSE),D193))</f>
        <v/>
      </c>
      <c r="L193" s="17">
        <f>IF(D193="","",IFERROR(VLOOKUP(D193,'Ürün Eşleştirme'!$A$6:$D$505,4,FALSE),1))</f>
        <v/>
      </c>
      <c r="M193" s="16">
        <f>IF(I193="","",I193/L193)</f>
        <v/>
      </c>
      <c r="N193" s="16">
        <f>IF(M193="","",IFERROR(AVERAGEIFS($M$10:$M$1009,$K$10:$K$1009,K193,$A$10:$A$1009,"&lt;"&amp;A193,$A$10:$A$1009,"&gt;="&amp;(A193-$C$6)),""))</f>
        <v/>
      </c>
      <c r="O193" s="16">
        <f>IF(M193="","",_xlfn.MINIFS($M$10:$M$1009,$K$10:$K$1009,K193,$A$10:$A$1009,"&lt;="&amp;A193,$A$10:$A$1009,"&gt;="&amp;(A193-$C$6)))</f>
        <v/>
      </c>
      <c r="P193" s="18">
        <f>IF(OR(N193="",N193=0),"",M193/N193-1)</f>
        <v/>
      </c>
      <c r="Q193">
        <f>IF(D193="","",IF(COUNTIFS($B$10:$B$1009,B193,$C$10:$C$1009,C193,$D$10:$D$1009,D193,$E$10:$E$1009,E193)&gt;1,"MÜKERRER?",IF(P193="","",IF(P193&gt;=$C$5,"İNCELE",IF(P193&lt;=-$C$5,"Düşük",""))))</f>
        <v/>
      </c>
      <c r="R193" s="16">
        <f>IF(AND(P193&lt;&gt;"",N(P193)&gt;=$C$5,COUNTIFS($B$10:B193,B193,$C$10:C193,C193,$D$10:D193,D193,$E$10:E193,E193)=1),(M193-N193)*E193*L193,0)</f>
        <v/>
      </c>
      <c r="S193" s="19">
        <f>IF(D193="",0,N(E193)*L193)</f>
        <v/>
      </c>
    </row>
    <row r="194">
      <c r="A194" s="11" t="n"/>
      <c r="B194" s="12" t="n"/>
      <c r="C194" s="12" t="n"/>
      <c r="D194" s="12" t="n"/>
      <c r="E194" s="13" t="n"/>
      <c r="F194" s="12" t="n"/>
      <c r="G194" s="14" t="n"/>
      <c r="H194" s="15" t="n"/>
      <c r="I194" s="16">
        <f>IF(G194="","",G194*(1-N(H194)))</f>
        <v/>
      </c>
      <c r="J194" s="16">
        <f>IF(I194="","",E194*I194)</f>
        <v/>
      </c>
      <c r="K194">
        <f>IF(D194="","",IFERROR(VLOOKUP(D194,'Ürün Eşleştirme'!$A$6:$D$505,2,FALSE),D194))</f>
        <v/>
      </c>
      <c r="L194" s="17">
        <f>IF(D194="","",IFERROR(VLOOKUP(D194,'Ürün Eşleştirme'!$A$6:$D$505,4,FALSE),1))</f>
        <v/>
      </c>
      <c r="M194" s="16">
        <f>IF(I194="","",I194/L194)</f>
        <v/>
      </c>
      <c r="N194" s="16">
        <f>IF(M194="","",IFERROR(AVERAGEIFS($M$10:$M$1009,$K$10:$K$1009,K194,$A$10:$A$1009,"&lt;"&amp;A194,$A$10:$A$1009,"&gt;="&amp;(A194-$C$6)),""))</f>
        <v/>
      </c>
      <c r="O194" s="16">
        <f>IF(M194="","",_xlfn.MINIFS($M$10:$M$1009,$K$10:$K$1009,K194,$A$10:$A$1009,"&lt;="&amp;A194,$A$10:$A$1009,"&gt;="&amp;(A194-$C$6)))</f>
        <v/>
      </c>
      <c r="P194" s="18">
        <f>IF(OR(N194="",N194=0),"",M194/N194-1)</f>
        <v/>
      </c>
      <c r="Q194">
        <f>IF(D194="","",IF(COUNTIFS($B$10:$B$1009,B194,$C$10:$C$1009,C194,$D$10:$D$1009,D194,$E$10:$E$1009,E194)&gt;1,"MÜKERRER?",IF(P194="","",IF(P194&gt;=$C$5,"İNCELE",IF(P194&lt;=-$C$5,"Düşük",""))))</f>
        <v/>
      </c>
      <c r="R194" s="16">
        <f>IF(AND(P194&lt;&gt;"",N(P194)&gt;=$C$5,COUNTIFS($B$10:B194,B194,$C$10:C194,C194,$D$10:D194,D194,$E$10:E194,E194)=1),(M194-N194)*E194*L194,0)</f>
        <v/>
      </c>
      <c r="S194" s="19">
        <f>IF(D194="",0,N(E194)*L194)</f>
        <v/>
      </c>
    </row>
    <row r="195">
      <c r="A195" s="11" t="n"/>
      <c r="B195" s="12" t="n"/>
      <c r="C195" s="12" t="n"/>
      <c r="D195" s="12" t="n"/>
      <c r="E195" s="13" t="n"/>
      <c r="F195" s="12" t="n"/>
      <c r="G195" s="14" t="n"/>
      <c r="H195" s="15" t="n"/>
      <c r="I195" s="16">
        <f>IF(G195="","",G195*(1-N(H195)))</f>
        <v/>
      </c>
      <c r="J195" s="16">
        <f>IF(I195="","",E195*I195)</f>
        <v/>
      </c>
      <c r="K195">
        <f>IF(D195="","",IFERROR(VLOOKUP(D195,'Ürün Eşleştirme'!$A$6:$D$505,2,FALSE),D195))</f>
        <v/>
      </c>
      <c r="L195" s="17">
        <f>IF(D195="","",IFERROR(VLOOKUP(D195,'Ürün Eşleştirme'!$A$6:$D$505,4,FALSE),1))</f>
        <v/>
      </c>
      <c r="M195" s="16">
        <f>IF(I195="","",I195/L195)</f>
        <v/>
      </c>
      <c r="N195" s="16">
        <f>IF(M195="","",IFERROR(AVERAGEIFS($M$10:$M$1009,$K$10:$K$1009,K195,$A$10:$A$1009,"&lt;"&amp;A195,$A$10:$A$1009,"&gt;="&amp;(A195-$C$6)),""))</f>
        <v/>
      </c>
      <c r="O195" s="16">
        <f>IF(M195="","",_xlfn.MINIFS($M$10:$M$1009,$K$10:$K$1009,K195,$A$10:$A$1009,"&lt;="&amp;A195,$A$10:$A$1009,"&gt;="&amp;(A195-$C$6)))</f>
        <v/>
      </c>
      <c r="P195" s="18">
        <f>IF(OR(N195="",N195=0),"",M195/N195-1)</f>
        <v/>
      </c>
      <c r="Q195">
        <f>IF(D195="","",IF(COUNTIFS($B$10:$B$1009,B195,$C$10:$C$1009,C195,$D$10:$D$1009,D195,$E$10:$E$1009,E195)&gt;1,"MÜKERRER?",IF(P195="","",IF(P195&gt;=$C$5,"İNCELE",IF(P195&lt;=-$C$5,"Düşük",""))))</f>
        <v/>
      </c>
      <c r="R195" s="16">
        <f>IF(AND(P195&lt;&gt;"",N(P195)&gt;=$C$5,COUNTIFS($B$10:B195,B195,$C$10:C195,C195,$D$10:D195,D195,$E$10:E195,E195)=1),(M195-N195)*E195*L195,0)</f>
        <v/>
      </c>
      <c r="S195" s="19">
        <f>IF(D195="",0,N(E195)*L195)</f>
        <v/>
      </c>
    </row>
    <row r="196">
      <c r="A196" s="11" t="n"/>
      <c r="B196" s="12" t="n"/>
      <c r="C196" s="12" t="n"/>
      <c r="D196" s="12" t="n"/>
      <c r="E196" s="13" t="n"/>
      <c r="F196" s="12" t="n"/>
      <c r="G196" s="14" t="n"/>
      <c r="H196" s="15" t="n"/>
      <c r="I196" s="16">
        <f>IF(G196="","",G196*(1-N(H196)))</f>
        <v/>
      </c>
      <c r="J196" s="16">
        <f>IF(I196="","",E196*I196)</f>
        <v/>
      </c>
      <c r="K196">
        <f>IF(D196="","",IFERROR(VLOOKUP(D196,'Ürün Eşleştirme'!$A$6:$D$505,2,FALSE),D196))</f>
        <v/>
      </c>
      <c r="L196" s="17">
        <f>IF(D196="","",IFERROR(VLOOKUP(D196,'Ürün Eşleştirme'!$A$6:$D$505,4,FALSE),1))</f>
        <v/>
      </c>
      <c r="M196" s="16">
        <f>IF(I196="","",I196/L196)</f>
        <v/>
      </c>
      <c r="N196" s="16">
        <f>IF(M196="","",IFERROR(AVERAGEIFS($M$10:$M$1009,$K$10:$K$1009,K196,$A$10:$A$1009,"&lt;"&amp;A196,$A$10:$A$1009,"&gt;="&amp;(A196-$C$6)),""))</f>
        <v/>
      </c>
      <c r="O196" s="16">
        <f>IF(M196="","",_xlfn.MINIFS($M$10:$M$1009,$K$10:$K$1009,K196,$A$10:$A$1009,"&lt;="&amp;A196,$A$10:$A$1009,"&gt;="&amp;(A196-$C$6)))</f>
        <v/>
      </c>
      <c r="P196" s="18">
        <f>IF(OR(N196="",N196=0),"",M196/N196-1)</f>
        <v/>
      </c>
      <c r="Q196">
        <f>IF(D196="","",IF(COUNTIFS($B$10:$B$1009,B196,$C$10:$C$1009,C196,$D$10:$D$1009,D196,$E$10:$E$1009,E196)&gt;1,"MÜKERRER?",IF(P196="","",IF(P196&gt;=$C$5,"İNCELE",IF(P196&lt;=-$C$5,"Düşük",""))))</f>
        <v/>
      </c>
      <c r="R196" s="16">
        <f>IF(AND(P196&lt;&gt;"",N(P196)&gt;=$C$5,COUNTIFS($B$10:B196,B196,$C$10:C196,C196,$D$10:D196,D196,$E$10:E196,E196)=1),(M196-N196)*E196*L196,0)</f>
        <v/>
      </c>
      <c r="S196" s="19">
        <f>IF(D196="",0,N(E196)*L196)</f>
        <v/>
      </c>
    </row>
    <row r="197">
      <c r="A197" s="11" t="n"/>
      <c r="B197" s="12" t="n"/>
      <c r="C197" s="12" t="n"/>
      <c r="D197" s="12" t="n"/>
      <c r="E197" s="13" t="n"/>
      <c r="F197" s="12" t="n"/>
      <c r="G197" s="14" t="n"/>
      <c r="H197" s="15" t="n"/>
      <c r="I197" s="16">
        <f>IF(G197="","",G197*(1-N(H197)))</f>
        <v/>
      </c>
      <c r="J197" s="16">
        <f>IF(I197="","",E197*I197)</f>
        <v/>
      </c>
      <c r="K197">
        <f>IF(D197="","",IFERROR(VLOOKUP(D197,'Ürün Eşleştirme'!$A$6:$D$505,2,FALSE),D197))</f>
        <v/>
      </c>
      <c r="L197" s="17">
        <f>IF(D197="","",IFERROR(VLOOKUP(D197,'Ürün Eşleştirme'!$A$6:$D$505,4,FALSE),1))</f>
        <v/>
      </c>
      <c r="M197" s="16">
        <f>IF(I197="","",I197/L197)</f>
        <v/>
      </c>
      <c r="N197" s="16">
        <f>IF(M197="","",IFERROR(AVERAGEIFS($M$10:$M$1009,$K$10:$K$1009,K197,$A$10:$A$1009,"&lt;"&amp;A197,$A$10:$A$1009,"&gt;="&amp;(A197-$C$6)),""))</f>
        <v/>
      </c>
      <c r="O197" s="16">
        <f>IF(M197="","",_xlfn.MINIFS($M$10:$M$1009,$K$10:$K$1009,K197,$A$10:$A$1009,"&lt;="&amp;A197,$A$10:$A$1009,"&gt;="&amp;(A197-$C$6)))</f>
        <v/>
      </c>
      <c r="P197" s="18">
        <f>IF(OR(N197="",N197=0),"",M197/N197-1)</f>
        <v/>
      </c>
      <c r="Q197">
        <f>IF(D197="","",IF(COUNTIFS($B$10:$B$1009,B197,$C$10:$C$1009,C197,$D$10:$D$1009,D197,$E$10:$E$1009,E197)&gt;1,"MÜKERRER?",IF(P197="","",IF(P197&gt;=$C$5,"İNCELE",IF(P197&lt;=-$C$5,"Düşük",""))))</f>
        <v/>
      </c>
      <c r="R197" s="16">
        <f>IF(AND(P197&lt;&gt;"",N(P197)&gt;=$C$5,COUNTIFS($B$10:B197,B197,$C$10:C197,C197,$D$10:D197,D197,$E$10:E197,E197)=1),(M197-N197)*E197*L197,0)</f>
        <v/>
      </c>
      <c r="S197" s="19">
        <f>IF(D197="",0,N(E197)*L197)</f>
        <v/>
      </c>
    </row>
    <row r="198">
      <c r="A198" s="11" t="n"/>
      <c r="B198" s="12" t="n"/>
      <c r="C198" s="12" t="n"/>
      <c r="D198" s="12" t="n"/>
      <c r="E198" s="13" t="n"/>
      <c r="F198" s="12" t="n"/>
      <c r="G198" s="14" t="n"/>
      <c r="H198" s="15" t="n"/>
      <c r="I198" s="16">
        <f>IF(G198="","",G198*(1-N(H198)))</f>
        <v/>
      </c>
      <c r="J198" s="16">
        <f>IF(I198="","",E198*I198)</f>
        <v/>
      </c>
      <c r="K198">
        <f>IF(D198="","",IFERROR(VLOOKUP(D198,'Ürün Eşleştirme'!$A$6:$D$505,2,FALSE),D198))</f>
        <v/>
      </c>
      <c r="L198" s="17">
        <f>IF(D198="","",IFERROR(VLOOKUP(D198,'Ürün Eşleştirme'!$A$6:$D$505,4,FALSE),1))</f>
        <v/>
      </c>
      <c r="M198" s="16">
        <f>IF(I198="","",I198/L198)</f>
        <v/>
      </c>
      <c r="N198" s="16">
        <f>IF(M198="","",IFERROR(AVERAGEIFS($M$10:$M$1009,$K$10:$K$1009,K198,$A$10:$A$1009,"&lt;"&amp;A198,$A$10:$A$1009,"&gt;="&amp;(A198-$C$6)),""))</f>
        <v/>
      </c>
      <c r="O198" s="16">
        <f>IF(M198="","",_xlfn.MINIFS($M$10:$M$1009,$K$10:$K$1009,K198,$A$10:$A$1009,"&lt;="&amp;A198,$A$10:$A$1009,"&gt;="&amp;(A198-$C$6)))</f>
        <v/>
      </c>
      <c r="P198" s="18">
        <f>IF(OR(N198="",N198=0),"",M198/N198-1)</f>
        <v/>
      </c>
      <c r="Q198">
        <f>IF(D198="","",IF(COUNTIFS($B$10:$B$1009,B198,$C$10:$C$1009,C198,$D$10:$D$1009,D198,$E$10:$E$1009,E198)&gt;1,"MÜKERRER?",IF(P198="","",IF(P198&gt;=$C$5,"İNCELE",IF(P198&lt;=-$C$5,"Düşük",""))))</f>
        <v/>
      </c>
      <c r="R198" s="16">
        <f>IF(AND(P198&lt;&gt;"",N(P198)&gt;=$C$5,COUNTIFS($B$10:B198,B198,$C$10:C198,C198,$D$10:D198,D198,$E$10:E198,E198)=1),(M198-N198)*E198*L198,0)</f>
        <v/>
      </c>
      <c r="S198" s="19">
        <f>IF(D198="",0,N(E198)*L198)</f>
        <v/>
      </c>
    </row>
    <row r="199">
      <c r="A199" s="11" t="n"/>
      <c r="B199" s="12" t="n"/>
      <c r="C199" s="12" t="n"/>
      <c r="D199" s="12" t="n"/>
      <c r="E199" s="13" t="n"/>
      <c r="F199" s="12" t="n"/>
      <c r="G199" s="14" t="n"/>
      <c r="H199" s="15" t="n"/>
      <c r="I199" s="16">
        <f>IF(G199="","",G199*(1-N(H199)))</f>
        <v/>
      </c>
      <c r="J199" s="16">
        <f>IF(I199="","",E199*I199)</f>
        <v/>
      </c>
      <c r="K199">
        <f>IF(D199="","",IFERROR(VLOOKUP(D199,'Ürün Eşleştirme'!$A$6:$D$505,2,FALSE),D199))</f>
        <v/>
      </c>
      <c r="L199" s="17">
        <f>IF(D199="","",IFERROR(VLOOKUP(D199,'Ürün Eşleştirme'!$A$6:$D$505,4,FALSE),1))</f>
        <v/>
      </c>
      <c r="M199" s="16">
        <f>IF(I199="","",I199/L199)</f>
        <v/>
      </c>
      <c r="N199" s="16">
        <f>IF(M199="","",IFERROR(AVERAGEIFS($M$10:$M$1009,$K$10:$K$1009,K199,$A$10:$A$1009,"&lt;"&amp;A199,$A$10:$A$1009,"&gt;="&amp;(A199-$C$6)),""))</f>
        <v/>
      </c>
      <c r="O199" s="16">
        <f>IF(M199="","",_xlfn.MINIFS($M$10:$M$1009,$K$10:$K$1009,K199,$A$10:$A$1009,"&lt;="&amp;A199,$A$10:$A$1009,"&gt;="&amp;(A199-$C$6)))</f>
        <v/>
      </c>
      <c r="P199" s="18">
        <f>IF(OR(N199="",N199=0),"",M199/N199-1)</f>
        <v/>
      </c>
      <c r="Q199">
        <f>IF(D199="","",IF(COUNTIFS($B$10:$B$1009,B199,$C$10:$C$1009,C199,$D$10:$D$1009,D199,$E$10:$E$1009,E199)&gt;1,"MÜKERRER?",IF(P199="","",IF(P199&gt;=$C$5,"İNCELE",IF(P199&lt;=-$C$5,"Düşük",""))))</f>
        <v/>
      </c>
      <c r="R199" s="16">
        <f>IF(AND(P199&lt;&gt;"",N(P199)&gt;=$C$5,COUNTIFS($B$10:B199,B199,$C$10:C199,C199,$D$10:D199,D199,$E$10:E199,E199)=1),(M199-N199)*E199*L199,0)</f>
        <v/>
      </c>
      <c r="S199" s="19">
        <f>IF(D199="",0,N(E199)*L199)</f>
        <v/>
      </c>
    </row>
    <row r="200">
      <c r="A200" s="11" t="n"/>
      <c r="B200" s="12" t="n"/>
      <c r="C200" s="12" t="n"/>
      <c r="D200" s="12" t="n"/>
      <c r="E200" s="13" t="n"/>
      <c r="F200" s="12" t="n"/>
      <c r="G200" s="14" t="n"/>
      <c r="H200" s="15" t="n"/>
      <c r="I200" s="16">
        <f>IF(G200="","",G200*(1-N(H200)))</f>
        <v/>
      </c>
      <c r="J200" s="16">
        <f>IF(I200="","",E200*I200)</f>
        <v/>
      </c>
      <c r="K200">
        <f>IF(D200="","",IFERROR(VLOOKUP(D200,'Ürün Eşleştirme'!$A$6:$D$505,2,FALSE),D200))</f>
        <v/>
      </c>
      <c r="L200" s="17">
        <f>IF(D200="","",IFERROR(VLOOKUP(D200,'Ürün Eşleştirme'!$A$6:$D$505,4,FALSE),1))</f>
        <v/>
      </c>
      <c r="M200" s="16">
        <f>IF(I200="","",I200/L200)</f>
        <v/>
      </c>
      <c r="N200" s="16">
        <f>IF(M200="","",IFERROR(AVERAGEIFS($M$10:$M$1009,$K$10:$K$1009,K200,$A$10:$A$1009,"&lt;"&amp;A200,$A$10:$A$1009,"&gt;="&amp;(A200-$C$6)),""))</f>
        <v/>
      </c>
      <c r="O200" s="16">
        <f>IF(M200="","",_xlfn.MINIFS($M$10:$M$1009,$K$10:$K$1009,K200,$A$10:$A$1009,"&lt;="&amp;A200,$A$10:$A$1009,"&gt;="&amp;(A200-$C$6)))</f>
        <v/>
      </c>
      <c r="P200" s="18">
        <f>IF(OR(N200="",N200=0),"",M200/N200-1)</f>
        <v/>
      </c>
      <c r="Q200">
        <f>IF(D200="","",IF(COUNTIFS($B$10:$B$1009,B200,$C$10:$C$1009,C200,$D$10:$D$1009,D200,$E$10:$E$1009,E200)&gt;1,"MÜKERRER?",IF(P200="","",IF(P200&gt;=$C$5,"İNCELE",IF(P200&lt;=-$C$5,"Düşük",""))))</f>
        <v/>
      </c>
      <c r="R200" s="16">
        <f>IF(AND(P200&lt;&gt;"",N(P200)&gt;=$C$5,COUNTIFS($B$10:B200,B200,$C$10:C200,C200,$D$10:D200,D200,$E$10:E200,E200)=1),(M200-N200)*E200*L200,0)</f>
        <v/>
      </c>
      <c r="S200" s="19">
        <f>IF(D200="",0,N(E200)*L200)</f>
        <v/>
      </c>
    </row>
    <row r="201">
      <c r="A201" s="11" t="n"/>
      <c r="B201" s="12" t="n"/>
      <c r="C201" s="12" t="n"/>
      <c r="D201" s="12" t="n"/>
      <c r="E201" s="13" t="n"/>
      <c r="F201" s="12" t="n"/>
      <c r="G201" s="14" t="n"/>
      <c r="H201" s="15" t="n"/>
      <c r="I201" s="16">
        <f>IF(G201="","",G201*(1-N(H201)))</f>
        <v/>
      </c>
      <c r="J201" s="16">
        <f>IF(I201="","",E201*I201)</f>
        <v/>
      </c>
      <c r="K201">
        <f>IF(D201="","",IFERROR(VLOOKUP(D201,'Ürün Eşleştirme'!$A$6:$D$505,2,FALSE),D201))</f>
        <v/>
      </c>
      <c r="L201" s="17">
        <f>IF(D201="","",IFERROR(VLOOKUP(D201,'Ürün Eşleştirme'!$A$6:$D$505,4,FALSE),1))</f>
        <v/>
      </c>
      <c r="M201" s="16">
        <f>IF(I201="","",I201/L201)</f>
        <v/>
      </c>
      <c r="N201" s="16">
        <f>IF(M201="","",IFERROR(AVERAGEIFS($M$10:$M$1009,$K$10:$K$1009,K201,$A$10:$A$1009,"&lt;"&amp;A201,$A$10:$A$1009,"&gt;="&amp;(A201-$C$6)),""))</f>
        <v/>
      </c>
      <c r="O201" s="16">
        <f>IF(M201="","",_xlfn.MINIFS($M$10:$M$1009,$K$10:$K$1009,K201,$A$10:$A$1009,"&lt;="&amp;A201,$A$10:$A$1009,"&gt;="&amp;(A201-$C$6)))</f>
        <v/>
      </c>
      <c r="P201" s="18">
        <f>IF(OR(N201="",N201=0),"",M201/N201-1)</f>
        <v/>
      </c>
      <c r="Q201">
        <f>IF(D201="","",IF(COUNTIFS($B$10:$B$1009,B201,$C$10:$C$1009,C201,$D$10:$D$1009,D201,$E$10:$E$1009,E201)&gt;1,"MÜKERRER?",IF(P201="","",IF(P201&gt;=$C$5,"İNCELE",IF(P201&lt;=-$C$5,"Düşük",""))))</f>
        <v/>
      </c>
      <c r="R201" s="16">
        <f>IF(AND(P201&lt;&gt;"",N(P201)&gt;=$C$5,COUNTIFS($B$10:B201,B201,$C$10:C201,C201,$D$10:D201,D201,$E$10:E201,E201)=1),(M201-N201)*E201*L201,0)</f>
        <v/>
      </c>
      <c r="S201" s="19">
        <f>IF(D201="",0,N(E201)*L201)</f>
        <v/>
      </c>
    </row>
    <row r="202">
      <c r="A202" s="11" t="n"/>
      <c r="B202" s="12" t="n"/>
      <c r="C202" s="12" t="n"/>
      <c r="D202" s="12" t="n"/>
      <c r="E202" s="13" t="n"/>
      <c r="F202" s="12" t="n"/>
      <c r="G202" s="14" t="n"/>
      <c r="H202" s="15" t="n"/>
      <c r="I202" s="16">
        <f>IF(G202="","",G202*(1-N(H202)))</f>
        <v/>
      </c>
      <c r="J202" s="16">
        <f>IF(I202="","",E202*I202)</f>
        <v/>
      </c>
      <c r="K202">
        <f>IF(D202="","",IFERROR(VLOOKUP(D202,'Ürün Eşleştirme'!$A$6:$D$505,2,FALSE),D202))</f>
        <v/>
      </c>
      <c r="L202" s="17">
        <f>IF(D202="","",IFERROR(VLOOKUP(D202,'Ürün Eşleştirme'!$A$6:$D$505,4,FALSE),1))</f>
        <v/>
      </c>
      <c r="M202" s="16">
        <f>IF(I202="","",I202/L202)</f>
        <v/>
      </c>
      <c r="N202" s="16">
        <f>IF(M202="","",IFERROR(AVERAGEIFS($M$10:$M$1009,$K$10:$K$1009,K202,$A$10:$A$1009,"&lt;"&amp;A202,$A$10:$A$1009,"&gt;="&amp;(A202-$C$6)),""))</f>
        <v/>
      </c>
      <c r="O202" s="16">
        <f>IF(M202="","",_xlfn.MINIFS($M$10:$M$1009,$K$10:$K$1009,K202,$A$10:$A$1009,"&lt;="&amp;A202,$A$10:$A$1009,"&gt;="&amp;(A202-$C$6)))</f>
        <v/>
      </c>
      <c r="P202" s="18">
        <f>IF(OR(N202="",N202=0),"",M202/N202-1)</f>
        <v/>
      </c>
      <c r="Q202">
        <f>IF(D202="","",IF(COUNTIFS($B$10:$B$1009,B202,$C$10:$C$1009,C202,$D$10:$D$1009,D202,$E$10:$E$1009,E202)&gt;1,"MÜKERRER?",IF(P202="","",IF(P202&gt;=$C$5,"İNCELE",IF(P202&lt;=-$C$5,"Düşük",""))))</f>
        <v/>
      </c>
      <c r="R202" s="16">
        <f>IF(AND(P202&lt;&gt;"",N(P202)&gt;=$C$5,COUNTIFS($B$10:B202,B202,$C$10:C202,C202,$D$10:D202,D202,$E$10:E202,E202)=1),(M202-N202)*E202*L202,0)</f>
        <v/>
      </c>
      <c r="S202" s="19">
        <f>IF(D202="",0,N(E202)*L202)</f>
        <v/>
      </c>
    </row>
    <row r="203">
      <c r="A203" s="11" t="n"/>
      <c r="B203" s="12" t="n"/>
      <c r="C203" s="12" t="n"/>
      <c r="D203" s="12" t="n"/>
      <c r="E203" s="13" t="n"/>
      <c r="F203" s="12" t="n"/>
      <c r="G203" s="14" t="n"/>
      <c r="H203" s="15" t="n"/>
      <c r="I203" s="16">
        <f>IF(G203="","",G203*(1-N(H203)))</f>
        <v/>
      </c>
      <c r="J203" s="16">
        <f>IF(I203="","",E203*I203)</f>
        <v/>
      </c>
      <c r="K203">
        <f>IF(D203="","",IFERROR(VLOOKUP(D203,'Ürün Eşleştirme'!$A$6:$D$505,2,FALSE),D203))</f>
        <v/>
      </c>
      <c r="L203" s="17">
        <f>IF(D203="","",IFERROR(VLOOKUP(D203,'Ürün Eşleştirme'!$A$6:$D$505,4,FALSE),1))</f>
        <v/>
      </c>
      <c r="M203" s="16">
        <f>IF(I203="","",I203/L203)</f>
        <v/>
      </c>
      <c r="N203" s="16">
        <f>IF(M203="","",IFERROR(AVERAGEIFS($M$10:$M$1009,$K$10:$K$1009,K203,$A$10:$A$1009,"&lt;"&amp;A203,$A$10:$A$1009,"&gt;="&amp;(A203-$C$6)),""))</f>
        <v/>
      </c>
      <c r="O203" s="16">
        <f>IF(M203="","",_xlfn.MINIFS($M$10:$M$1009,$K$10:$K$1009,K203,$A$10:$A$1009,"&lt;="&amp;A203,$A$10:$A$1009,"&gt;="&amp;(A203-$C$6)))</f>
        <v/>
      </c>
      <c r="P203" s="18">
        <f>IF(OR(N203="",N203=0),"",M203/N203-1)</f>
        <v/>
      </c>
      <c r="Q203">
        <f>IF(D203="","",IF(COUNTIFS($B$10:$B$1009,B203,$C$10:$C$1009,C203,$D$10:$D$1009,D203,$E$10:$E$1009,E203)&gt;1,"MÜKERRER?",IF(P203="","",IF(P203&gt;=$C$5,"İNCELE",IF(P203&lt;=-$C$5,"Düşük",""))))</f>
        <v/>
      </c>
      <c r="R203" s="16">
        <f>IF(AND(P203&lt;&gt;"",N(P203)&gt;=$C$5,COUNTIFS($B$10:B203,B203,$C$10:C203,C203,$D$10:D203,D203,$E$10:E203,E203)=1),(M203-N203)*E203*L203,0)</f>
        <v/>
      </c>
      <c r="S203" s="19">
        <f>IF(D203="",0,N(E203)*L203)</f>
        <v/>
      </c>
    </row>
    <row r="204">
      <c r="A204" s="11" t="n"/>
      <c r="B204" s="12" t="n"/>
      <c r="C204" s="12" t="n"/>
      <c r="D204" s="12" t="n"/>
      <c r="E204" s="13" t="n"/>
      <c r="F204" s="12" t="n"/>
      <c r="G204" s="14" t="n"/>
      <c r="H204" s="15" t="n"/>
      <c r="I204" s="16">
        <f>IF(G204="","",G204*(1-N(H204)))</f>
        <v/>
      </c>
      <c r="J204" s="16">
        <f>IF(I204="","",E204*I204)</f>
        <v/>
      </c>
      <c r="K204">
        <f>IF(D204="","",IFERROR(VLOOKUP(D204,'Ürün Eşleştirme'!$A$6:$D$505,2,FALSE),D204))</f>
        <v/>
      </c>
      <c r="L204" s="17">
        <f>IF(D204="","",IFERROR(VLOOKUP(D204,'Ürün Eşleştirme'!$A$6:$D$505,4,FALSE),1))</f>
        <v/>
      </c>
      <c r="M204" s="16">
        <f>IF(I204="","",I204/L204)</f>
        <v/>
      </c>
      <c r="N204" s="16">
        <f>IF(M204="","",IFERROR(AVERAGEIFS($M$10:$M$1009,$K$10:$K$1009,K204,$A$10:$A$1009,"&lt;"&amp;A204,$A$10:$A$1009,"&gt;="&amp;(A204-$C$6)),""))</f>
        <v/>
      </c>
      <c r="O204" s="16">
        <f>IF(M204="","",_xlfn.MINIFS($M$10:$M$1009,$K$10:$K$1009,K204,$A$10:$A$1009,"&lt;="&amp;A204,$A$10:$A$1009,"&gt;="&amp;(A204-$C$6)))</f>
        <v/>
      </c>
      <c r="P204" s="18">
        <f>IF(OR(N204="",N204=0),"",M204/N204-1)</f>
        <v/>
      </c>
      <c r="Q204">
        <f>IF(D204="","",IF(COUNTIFS($B$10:$B$1009,B204,$C$10:$C$1009,C204,$D$10:$D$1009,D204,$E$10:$E$1009,E204)&gt;1,"MÜKERRER?",IF(P204="","",IF(P204&gt;=$C$5,"İNCELE",IF(P204&lt;=-$C$5,"Düşük",""))))</f>
        <v/>
      </c>
      <c r="R204" s="16">
        <f>IF(AND(P204&lt;&gt;"",N(P204)&gt;=$C$5,COUNTIFS($B$10:B204,B204,$C$10:C204,C204,$D$10:D204,D204,$E$10:E204,E204)=1),(M204-N204)*E204*L204,0)</f>
        <v/>
      </c>
      <c r="S204" s="19">
        <f>IF(D204="",0,N(E204)*L204)</f>
        <v/>
      </c>
    </row>
    <row r="205">
      <c r="A205" s="11" t="n"/>
      <c r="B205" s="12" t="n"/>
      <c r="C205" s="12" t="n"/>
      <c r="D205" s="12" t="n"/>
      <c r="E205" s="13" t="n"/>
      <c r="F205" s="12" t="n"/>
      <c r="G205" s="14" t="n"/>
      <c r="H205" s="15" t="n"/>
      <c r="I205" s="16">
        <f>IF(G205="","",G205*(1-N(H205)))</f>
        <v/>
      </c>
      <c r="J205" s="16">
        <f>IF(I205="","",E205*I205)</f>
        <v/>
      </c>
      <c r="K205">
        <f>IF(D205="","",IFERROR(VLOOKUP(D205,'Ürün Eşleştirme'!$A$6:$D$505,2,FALSE),D205))</f>
        <v/>
      </c>
      <c r="L205" s="17">
        <f>IF(D205="","",IFERROR(VLOOKUP(D205,'Ürün Eşleştirme'!$A$6:$D$505,4,FALSE),1))</f>
        <v/>
      </c>
      <c r="M205" s="16">
        <f>IF(I205="","",I205/L205)</f>
        <v/>
      </c>
      <c r="N205" s="16">
        <f>IF(M205="","",IFERROR(AVERAGEIFS($M$10:$M$1009,$K$10:$K$1009,K205,$A$10:$A$1009,"&lt;"&amp;A205,$A$10:$A$1009,"&gt;="&amp;(A205-$C$6)),""))</f>
        <v/>
      </c>
      <c r="O205" s="16">
        <f>IF(M205="","",_xlfn.MINIFS($M$10:$M$1009,$K$10:$K$1009,K205,$A$10:$A$1009,"&lt;="&amp;A205,$A$10:$A$1009,"&gt;="&amp;(A205-$C$6)))</f>
        <v/>
      </c>
      <c r="P205" s="18">
        <f>IF(OR(N205="",N205=0),"",M205/N205-1)</f>
        <v/>
      </c>
      <c r="Q205">
        <f>IF(D205="","",IF(COUNTIFS($B$10:$B$1009,B205,$C$10:$C$1009,C205,$D$10:$D$1009,D205,$E$10:$E$1009,E205)&gt;1,"MÜKERRER?",IF(P205="","",IF(P205&gt;=$C$5,"İNCELE",IF(P205&lt;=-$C$5,"Düşük",""))))</f>
        <v/>
      </c>
      <c r="R205" s="16">
        <f>IF(AND(P205&lt;&gt;"",N(P205)&gt;=$C$5,COUNTIFS($B$10:B205,B205,$C$10:C205,C205,$D$10:D205,D205,$E$10:E205,E205)=1),(M205-N205)*E205*L205,0)</f>
        <v/>
      </c>
      <c r="S205" s="19">
        <f>IF(D205="",0,N(E205)*L205)</f>
        <v/>
      </c>
    </row>
    <row r="206">
      <c r="A206" s="11" t="n"/>
      <c r="B206" s="12" t="n"/>
      <c r="C206" s="12" t="n"/>
      <c r="D206" s="12" t="n"/>
      <c r="E206" s="13" t="n"/>
      <c r="F206" s="12" t="n"/>
      <c r="G206" s="14" t="n"/>
      <c r="H206" s="15" t="n"/>
      <c r="I206" s="16">
        <f>IF(G206="","",G206*(1-N(H206)))</f>
        <v/>
      </c>
      <c r="J206" s="16">
        <f>IF(I206="","",E206*I206)</f>
        <v/>
      </c>
      <c r="K206">
        <f>IF(D206="","",IFERROR(VLOOKUP(D206,'Ürün Eşleştirme'!$A$6:$D$505,2,FALSE),D206))</f>
        <v/>
      </c>
      <c r="L206" s="17">
        <f>IF(D206="","",IFERROR(VLOOKUP(D206,'Ürün Eşleştirme'!$A$6:$D$505,4,FALSE),1))</f>
        <v/>
      </c>
      <c r="M206" s="16">
        <f>IF(I206="","",I206/L206)</f>
        <v/>
      </c>
      <c r="N206" s="16">
        <f>IF(M206="","",IFERROR(AVERAGEIFS($M$10:$M$1009,$K$10:$K$1009,K206,$A$10:$A$1009,"&lt;"&amp;A206,$A$10:$A$1009,"&gt;="&amp;(A206-$C$6)),""))</f>
        <v/>
      </c>
      <c r="O206" s="16">
        <f>IF(M206="","",_xlfn.MINIFS($M$10:$M$1009,$K$10:$K$1009,K206,$A$10:$A$1009,"&lt;="&amp;A206,$A$10:$A$1009,"&gt;="&amp;(A206-$C$6)))</f>
        <v/>
      </c>
      <c r="P206" s="18">
        <f>IF(OR(N206="",N206=0),"",M206/N206-1)</f>
        <v/>
      </c>
      <c r="Q206">
        <f>IF(D206="","",IF(COUNTIFS($B$10:$B$1009,B206,$C$10:$C$1009,C206,$D$10:$D$1009,D206,$E$10:$E$1009,E206)&gt;1,"MÜKERRER?",IF(P206="","",IF(P206&gt;=$C$5,"İNCELE",IF(P206&lt;=-$C$5,"Düşük",""))))</f>
        <v/>
      </c>
      <c r="R206" s="16">
        <f>IF(AND(P206&lt;&gt;"",N(P206)&gt;=$C$5,COUNTIFS($B$10:B206,B206,$C$10:C206,C206,$D$10:D206,D206,$E$10:E206,E206)=1),(M206-N206)*E206*L206,0)</f>
        <v/>
      </c>
      <c r="S206" s="19">
        <f>IF(D206="",0,N(E206)*L206)</f>
        <v/>
      </c>
    </row>
    <row r="207">
      <c r="A207" s="11" t="n"/>
      <c r="B207" s="12" t="n"/>
      <c r="C207" s="12" t="n"/>
      <c r="D207" s="12" t="n"/>
      <c r="E207" s="13" t="n"/>
      <c r="F207" s="12" t="n"/>
      <c r="G207" s="14" t="n"/>
      <c r="H207" s="15" t="n"/>
      <c r="I207" s="16">
        <f>IF(G207="","",G207*(1-N(H207)))</f>
        <v/>
      </c>
      <c r="J207" s="16">
        <f>IF(I207="","",E207*I207)</f>
        <v/>
      </c>
      <c r="K207">
        <f>IF(D207="","",IFERROR(VLOOKUP(D207,'Ürün Eşleştirme'!$A$6:$D$505,2,FALSE),D207))</f>
        <v/>
      </c>
      <c r="L207" s="17">
        <f>IF(D207="","",IFERROR(VLOOKUP(D207,'Ürün Eşleştirme'!$A$6:$D$505,4,FALSE),1))</f>
        <v/>
      </c>
      <c r="M207" s="16">
        <f>IF(I207="","",I207/L207)</f>
        <v/>
      </c>
      <c r="N207" s="16">
        <f>IF(M207="","",IFERROR(AVERAGEIFS($M$10:$M$1009,$K$10:$K$1009,K207,$A$10:$A$1009,"&lt;"&amp;A207,$A$10:$A$1009,"&gt;="&amp;(A207-$C$6)),""))</f>
        <v/>
      </c>
      <c r="O207" s="16">
        <f>IF(M207="","",_xlfn.MINIFS($M$10:$M$1009,$K$10:$K$1009,K207,$A$10:$A$1009,"&lt;="&amp;A207,$A$10:$A$1009,"&gt;="&amp;(A207-$C$6)))</f>
        <v/>
      </c>
      <c r="P207" s="18">
        <f>IF(OR(N207="",N207=0),"",M207/N207-1)</f>
        <v/>
      </c>
      <c r="Q207">
        <f>IF(D207="","",IF(COUNTIFS($B$10:$B$1009,B207,$C$10:$C$1009,C207,$D$10:$D$1009,D207,$E$10:$E$1009,E207)&gt;1,"MÜKERRER?",IF(P207="","",IF(P207&gt;=$C$5,"İNCELE",IF(P207&lt;=-$C$5,"Düşük",""))))</f>
        <v/>
      </c>
      <c r="R207" s="16">
        <f>IF(AND(P207&lt;&gt;"",N(P207)&gt;=$C$5,COUNTIFS($B$10:B207,B207,$C$10:C207,C207,$D$10:D207,D207,$E$10:E207,E207)=1),(M207-N207)*E207*L207,0)</f>
        <v/>
      </c>
      <c r="S207" s="19">
        <f>IF(D207="",0,N(E207)*L207)</f>
        <v/>
      </c>
    </row>
    <row r="208">
      <c r="A208" s="11" t="n"/>
      <c r="B208" s="12" t="n"/>
      <c r="C208" s="12" t="n"/>
      <c r="D208" s="12" t="n"/>
      <c r="E208" s="13" t="n"/>
      <c r="F208" s="12" t="n"/>
      <c r="G208" s="14" t="n"/>
      <c r="H208" s="15" t="n"/>
      <c r="I208" s="16">
        <f>IF(G208="","",G208*(1-N(H208)))</f>
        <v/>
      </c>
      <c r="J208" s="16">
        <f>IF(I208="","",E208*I208)</f>
        <v/>
      </c>
      <c r="K208">
        <f>IF(D208="","",IFERROR(VLOOKUP(D208,'Ürün Eşleştirme'!$A$6:$D$505,2,FALSE),D208))</f>
        <v/>
      </c>
      <c r="L208" s="17">
        <f>IF(D208="","",IFERROR(VLOOKUP(D208,'Ürün Eşleştirme'!$A$6:$D$505,4,FALSE),1))</f>
        <v/>
      </c>
      <c r="M208" s="16">
        <f>IF(I208="","",I208/L208)</f>
        <v/>
      </c>
      <c r="N208" s="16">
        <f>IF(M208="","",IFERROR(AVERAGEIFS($M$10:$M$1009,$K$10:$K$1009,K208,$A$10:$A$1009,"&lt;"&amp;A208,$A$10:$A$1009,"&gt;="&amp;(A208-$C$6)),""))</f>
        <v/>
      </c>
      <c r="O208" s="16">
        <f>IF(M208="","",_xlfn.MINIFS($M$10:$M$1009,$K$10:$K$1009,K208,$A$10:$A$1009,"&lt;="&amp;A208,$A$10:$A$1009,"&gt;="&amp;(A208-$C$6)))</f>
        <v/>
      </c>
      <c r="P208" s="18">
        <f>IF(OR(N208="",N208=0),"",M208/N208-1)</f>
        <v/>
      </c>
      <c r="Q208">
        <f>IF(D208="","",IF(COUNTIFS($B$10:$B$1009,B208,$C$10:$C$1009,C208,$D$10:$D$1009,D208,$E$10:$E$1009,E208)&gt;1,"MÜKERRER?",IF(P208="","",IF(P208&gt;=$C$5,"İNCELE",IF(P208&lt;=-$C$5,"Düşük",""))))</f>
        <v/>
      </c>
      <c r="R208" s="16">
        <f>IF(AND(P208&lt;&gt;"",N(P208)&gt;=$C$5,COUNTIFS($B$10:B208,B208,$C$10:C208,C208,$D$10:D208,D208,$E$10:E208,E208)=1),(M208-N208)*E208*L208,0)</f>
        <v/>
      </c>
      <c r="S208" s="19">
        <f>IF(D208="",0,N(E208)*L208)</f>
        <v/>
      </c>
    </row>
    <row r="209">
      <c r="A209" s="11" t="n"/>
      <c r="B209" s="12" t="n"/>
      <c r="C209" s="12" t="n"/>
      <c r="D209" s="12" t="n"/>
      <c r="E209" s="13" t="n"/>
      <c r="F209" s="12" t="n"/>
      <c r="G209" s="14" t="n"/>
      <c r="H209" s="15" t="n"/>
      <c r="I209" s="16">
        <f>IF(G209="","",G209*(1-N(H209)))</f>
        <v/>
      </c>
      <c r="J209" s="16">
        <f>IF(I209="","",E209*I209)</f>
        <v/>
      </c>
      <c r="K209">
        <f>IF(D209="","",IFERROR(VLOOKUP(D209,'Ürün Eşleştirme'!$A$6:$D$505,2,FALSE),D209))</f>
        <v/>
      </c>
      <c r="L209" s="17">
        <f>IF(D209="","",IFERROR(VLOOKUP(D209,'Ürün Eşleştirme'!$A$6:$D$505,4,FALSE),1))</f>
        <v/>
      </c>
      <c r="M209" s="16">
        <f>IF(I209="","",I209/L209)</f>
        <v/>
      </c>
      <c r="N209" s="16">
        <f>IF(M209="","",IFERROR(AVERAGEIFS($M$10:$M$1009,$K$10:$K$1009,K209,$A$10:$A$1009,"&lt;"&amp;A209,$A$10:$A$1009,"&gt;="&amp;(A209-$C$6)),""))</f>
        <v/>
      </c>
      <c r="O209" s="16">
        <f>IF(M209="","",_xlfn.MINIFS($M$10:$M$1009,$K$10:$K$1009,K209,$A$10:$A$1009,"&lt;="&amp;A209,$A$10:$A$1009,"&gt;="&amp;(A209-$C$6)))</f>
        <v/>
      </c>
      <c r="P209" s="18">
        <f>IF(OR(N209="",N209=0),"",M209/N209-1)</f>
        <v/>
      </c>
      <c r="Q209">
        <f>IF(D209="","",IF(COUNTIFS($B$10:$B$1009,B209,$C$10:$C$1009,C209,$D$10:$D$1009,D209,$E$10:$E$1009,E209)&gt;1,"MÜKERRER?",IF(P209="","",IF(P209&gt;=$C$5,"İNCELE",IF(P209&lt;=-$C$5,"Düşük",""))))</f>
        <v/>
      </c>
      <c r="R209" s="16">
        <f>IF(AND(P209&lt;&gt;"",N(P209)&gt;=$C$5,COUNTIFS($B$10:B209,B209,$C$10:C209,C209,$D$10:D209,D209,$E$10:E209,E209)=1),(M209-N209)*E209*L209,0)</f>
        <v/>
      </c>
      <c r="S209" s="19">
        <f>IF(D209="",0,N(E209)*L209)</f>
        <v/>
      </c>
    </row>
    <row r="210">
      <c r="A210" s="11" t="n"/>
      <c r="B210" s="12" t="n"/>
      <c r="C210" s="12" t="n"/>
      <c r="D210" s="12" t="n"/>
      <c r="E210" s="13" t="n"/>
      <c r="F210" s="12" t="n"/>
      <c r="G210" s="14" t="n"/>
      <c r="H210" s="15" t="n"/>
      <c r="I210" s="16">
        <f>IF(G210="","",G210*(1-N(H210)))</f>
        <v/>
      </c>
      <c r="J210" s="16">
        <f>IF(I210="","",E210*I210)</f>
        <v/>
      </c>
      <c r="K210">
        <f>IF(D210="","",IFERROR(VLOOKUP(D210,'Ürün Eşleştirme'!$A$6:$D$505,2,FALSE),D210))</f>
        <v/>
      </c>
      <c r="L210" s="17">
        <f>IF(D210="","",IFERROR(VLOOKUP(D210,'Ürün Eşleştirme'!$A$6:$D$505,4,FALSE),1))</f>
        <v/>
      </c>
      <c r="M210" s="16">
        <f>IF(I210="","",I210/L210)</f>
        <v/>
      </c>
      <c r="N210" s="16">
        <f>IF(M210="","",IFERROR(AVERAGEIFS($M$10:$M$1009,$K$10:$K$1009,K210,$A$10:$A$1009,"&lt;"&amp;A210,$A$10:$A$1009,"&gt;="&amp;(A210-$C$6)),""))</f>
        <v/>
      </c>
      <c r="O210" s="16">
        <f>IF(M210="","",_xlfn.MINIFS($M$10:$M$1009,$K$10:$K$1009,K210,$A$10:$A$1009,"&lt;="&amp;A210,$A$10:$A$1009,"&gt;="&amp;(A210-$C$6)))</f>
        <v/>
      </c>
      <c r="P210" s="18">
        <f>IF(OR(N210="",N210=0),"",M210/N210-1)</f>
        <v/>
      </c>
      <c r="Q210">
        <f>IF(D210="","",IF(COUNTIFS($B$10:$B$1009,B210,$C$10:$C$1009,C210,$D$10:$D$1009,D210,$E$10:$E$1009,E210)&gt;1,"MÜKERRER?",IF(P210="","",IF(P210&gt;=$C$5,"İNCELE",IF(P210&lt;=-$C$5,"Düşük",""))))</f>
        <v/>
      </c>
      <c r="R210" s="16">
        <f>IF(AND(P210&lt;&gt;"",N(P210)&gt;=$C$5,COUNTIFS($B$10:B210,B210,$C$10:C210,C210,$D$10:D210,D210,$E$10:E210,E210)=1),(M210-N210)*E210*L210,0)</f>
        <v/>
      </c>
      <c r="S210" s="19">
        <f>IF(D210="",0,N(E210)*L210)</f>
        <v/>
      </c>
    </row>
    <row r="211">
      <c r="A211" s="11" t="n"/>
      <c r="B211" s="12" t="n"/>
      <c r="C211" s="12" t="n"/>
      <c r="D211" s="12" t="n"/>
      <c r="E211" s="13" t="n"/>
      <c r="F211" s="12" t="n"/>
      <c r="G211" s="14" t="n"/>
      <c r="H211" s="15" t="n"/>
      <c r="I211" s="16">
        <f>IF(G211="","",G211*(1-N(H211)))</f>
        <v/>
      </c>
      <c r="J211" s="16">
        <f>IF(I211="","",E211*I211)</f>
        <v/>
      </c>
      <c r="K211">
        <f>IF(D211="","",IFERROR(VLOOKUP(D211,'Ürün Eşleştirme'!$A$6:$D$505,2,FALSE),D211))</f>
        <v/>
      </c>
      <c r="L211" s="17">
        <f>IF(D211="","",IFERROR(VLOOKUP(D211,'Ürün Eşleştirme'!$A$6:$D$505,4,FALSE),1))</f>
        <v/>
      </c>
      <c r="M211" s="16">
        <f>IF(I211="","",I211/L211)</f>
        <v/>
      </c>
      <c r="N211" s="16">
        <f>IF(M211="","",IFERROR(AVERAGEIFS($M$10:$M$1009,$K$10:$K$1009,K211,$A$10:$A$1009,"&lt;"&amp;A211,$A$10:$A$1009,"&gt;="&amp;(A211-$C$6)),""))</f>
        <v/>
      </c>
      <c r="O211" s="16">
        <f>IF(M211="","",_xlfn.MINIFS($M$10:$M$1009,$K$10:$K$1009,K211,$A$10:$A$1009,"&lt;="&amp;A211,$A$10:$A$1009,"&gt;="&amp;(A211-$C$6)))</f>
        <v/>
      </c>
      <c r="P211" s="18">
        <f>IF(OR(N211="",N211=0),"",M211/N211-1)</f>
        <v/>
      </c>
      <c r="Q211">
        <f>IF(D211="","",IF(COUNTIFS($B$10:$B$1009,B211,$C$10:$C$1009,C211,$D$10:$D$1009,D211,$E$10:$E$1009,E211)&gt;1,"MÜKERRER?",IF(P211="","",IF(P211&gt;=$C$5,"İNCELE",IF(P211&lt;=-$C$5,"Düşük",""))))</f>
        <v/>
      </c>
      <c r="R211" s="16">
        <f>IF(AND(P211&lt;&gt;"",N(P211)&gt;=$C$5,COUNTIFS($B$10:B211,B211,$C$10:C211,C211,$D$10:D211,D211,$E$10:E211,E211)=1),(M211-N211)*E211*L211,0)</f>
        <v/>
      </c>
      <c r="S211" s="19">
        <f>IF(D211="",0,N(E211)*L211)</f>
        <v/>
      </c>
    </row>
    <row r="212">
      <c r="A212" s="11" t="n"/>
      <c r="B212" s="12" t="n"/>
      <c r="C212" s="12" t="n"/>
      <c r="D212" s="12" t="n"/>
      <c r="E212" s="13" t="n"/>
      <c r="F212" s="12" t="n"/>
      <c r="G212" s="14" t="n"/>
      <c r="H212" s="15" t="n"/>
      <c r="I212" s="16">
        <f>IF(G212="","",G212*(1-N(H212)))</f>
        <v/>
      </c>
      <c r="J212" s="16">
        <f>IF(I212="","",E212*I212)</f>
        <v/>
      </c>
      <c r="K212">
        <f>IF(D212="","",IFERROR(VLOOKUP(D212,'Ürün Eşleştirme'!$A$6:$D$505,2,FALSE),D212))</f>
        <v/>
      </c>
      <c r="L212" s="17">
        <f>IF(D212="","",IFERROR(VLOOKUP(D212,'Ürün Eşleştirme'!$A$6:$D$505,4,FALSE),1))</f>
        <v/>
      </c>
      <c r="M212" s="16">
        <f>IF(I212="","",I212/L212)</f>
        <v/>
      </c>
      <c r="N212" s="16">
        <f>IF(M212="","",IFERROR(AVERAGEIFS($M$10:$M$1009,$K$10:$K$1009,K212,$A$10:$A$1009,"&lt;"&amp;A212,$A$10:$A$1009,"&gt;="&amp;(A212-$C$6)),""))</f>
        <v/>
      </c>
      <c r="O212" s="16">
        <f>IF(M212="","",_xlfn.MINIFS($M$10:$M$1009,$K$10:$K$1009,K212,$A$10:$A$1009,"&lt;="&amp;A212,$A$10:$A$1009,"&gt;="&amp;(A212-$C$6)))</f>
        <v/>
      </c>
      <c r="P212" s="18">
        <f>IF(OR(N212="",N212=0),"",M212/N212-1)</f>
        <v/>
      </c>
      <c r="Q212">
        <f>IF(D212="","",IF(COUNTIFS($B$10:$B$1009,B212,$C$10:$C$1009,C212,$D$10:$D$1009,D212,$E$10:$E$1009,E212)&gt;1,"MÜKERRER?",IF(P212="","",IF(P212&gt;=$C$5,"İNCELE",IF(P212&lt;=-$C$5,"Düşük",""))))</f>
        <v/>
      </c>
      <c r="R212" s="16">
        <f>IF(AND(P212&lt;&gt;"",N(P212)&gt;=$C$5,COUNTIFS($B$10:B212,B212,$C$10:C212,C212,$D$10:D212,D212,$E$10:E212,E212)=1),(M212-N212)*E212*L212,0)</f>
        <v/>
      </c>
      <c r="S212" s="19">
        <f>IF(D212="",0,N(E212)*L212)</f>
        <v/>
      </c>
    </row>
    <row r="213">
      <c r="A213" s="11" t="n"/>
      <c r="B213" s="12" t="n"/>
      <c r="C213" s="12" t="n"/>
      <c r="D213" s="12" t="n"/>
      <c r="E213" s="13" t="n"/>
      <c r="F213" s="12" t="n"/>
      <c r="G213" s="14" t="n"/>
      <c r="H213" s="15" t="n"/>
      <c r="I213" s="16">
        <f>IF(G213="","",G213*(1-N(H213)))</f>
        <v/>
      </c>
      <c r="J213" s="16">
        <f>IF(I213="","",E213*I213)</f>
        <v/>
      </c>
      <c r="K213">
        <f>IF(D213="","",IFERROR(VLOOKUP(D213,'Ürün Eşleştirme'!$A$6:$D$505,2,FALSE),D213))</f>
        <v/>
      </c>
      <c r="L213" s="17">
        <f>IF(D213="","",IFERROR(VLOOKUP(D213,'Ürün Eşleştirme'!$A$6:$D$505,4,FALSE),1))</f>
        <v/>
      </c>
      <c r="M213" s="16">
        <f>IF(I213="","",I213/L213)</f>
        <v/>
      </c>
      <c r="N213" s="16">
        <f>IF(M213="","",IFERROR(AVERAGEIFS($M$10:$M$1009,$K$10:$K$1009,K213,$A$10:$A$1009,"&lt;"&amp;A213,$A$10:$A$1009,"&gt;="&amp;(A213-$C$6)),""))</f>
        <v/>
      </c>
      <c r="O213" s="16">
        <f>IF(M213="","",_xlfn.MINIFS($M$10:$M$1009,$K$10:$K$1009,K213,$A$10:$A$1009,"&lt;="&amp;A213,$A$10:$A$1009,"&gt;="&amp;(A213-$C$6)))</f>
        <v/>
      </c>
      <c r="P213" s="18">
        <f>IF(OR(N213="",N213=0),"",M213/N213-1)</f>
        <v/>
      </c>
      <c r="Q213">
        <f>IF(D213="","",IF(COUNTIFS($B$10:$B$1009,B213,$C$10:$C$1009,C213,$D$10:$D$1009,D213,$E$10:$E$1009,E213)&gt;1,"MÜKERRER?",IF(P213="","",IF(P213&gt;=$C$5,"İNCELE",IF(P213&lt;=-$C$5,"Düşük",""))))</f>
        <v/>
      </c>
      <c r="R213" s="16">
        <f>IF(AND(P213&lt;&gt;"",N(P213)&gt;=$C$5,COUNTIFS($B$10:B213,B213,$C$10:C213,C213,$D$10:D213,D213,$E$10:E213,E213)=1),(M213-N213)*E213*L213,0)</f>
        <v/>
      </c>
      <c r="S213" s="19">
        <f>IF(D213="",0,N(E213)*L213)</f>
        <v/>
      </c>
    </row>
    <row r="214">
      <c r="A214" s="11" t="n"/>
      <c r="B214" s="12" t="n"/>
      <c r="C214" s="12" t="n"/>
      <c r="D214" s="12" t="n"/>
      <c r="E214" s="13" t="n"/>
      <c r="F214" s="12" t="n"/>
      <c r="G214" s="14" t="n"/>
      <c r="H214" s="15" t="n"/>
      <c r="I214" s="16">
        <f>IF(G214="","",G214*(1-N(H214)))</f>
        <v/>
      </c>
      <c r="J214" s="16">
        <f>IF(I214="","",E214*I214)</f>
        <v/>
      </c>
      <c r="K214">
        <f>IF(D214="","",IFERROR(VLOOKUP(D214,'Ürün Eşleştirme'!$A$6:$D$505,2,FALSE),D214))</f>
        <v/>
      </c>
      <c r="L214" s="17">
        <f>IF(D214="","",IFERROR(VLOOKUP(D214,'Ürün Eşleştirme'!$A$6:$D$505,4,FALSE),1))</f>
        <v/>
      </c>
      <c r="M214" s="16">
        <f>IF(I214="","",I214/L214)</f>
        <v/>
      </c>
      <c r="N214" s="16">
        <f>IF(M214="","",IFERROR(AVERAGEIFS($M$10:$M$1009,$K$10:$K$1009,K214,$A$10:$A$1009,"&lt;"&amp;A214,$A$10:$A$1009,"&gt;="&amp;(A214-$C$6)),""))</f>
        <v/>
      </c>
      <c r="O214" s="16">
        <f>IF(M214="","",_xlfn.MINIFS($M$10:$M$1009,$K$10:$K$1009,K214,$A$10:$A$1009,"&lt;="&amp;A214,$A$10:$A$1009,"&gt;="&amp;(A214-$C$6)))</f>
        <v/>
      </c>
      <c r="P214" s="18">
        <f>IF(OR(N214="",N214=0),"",M214/N214-1)</f>
        <v/>
      </c>
      <c r="Q214">
        <f>IF(D214="","",IF(COUNTIFS($B$10:$B$1009,B214,$C$10:$C$1009,C214,$D$10:$D$1009,D214,$E$10:$E$1009,E214)&gt;1,"MÜKERRER?",IF(P214="","",IF(P214&gt;=$C$5,"İNCELE",IF(P214&lt;=-$C$5,"Düşük",""))))</f>
        <v/>
      </c>
      <c r="R214" s="16">
        <f>IF(AND(P214&lt;&gt;"",N(P214)&gt;=$C$5,COUNTIFS($B$10:B214,B214,$C$10:C214,C214,$D$10:D214,D214,$E$10:E214,E214)=1),(M214-N214)*E214*L214,0)</f>
        <v/>
      </c>
      <c r="S214" s="19">
        <f>IF(D214="",0,N(E214)*L214)</f>
        <v/>
      </c>
    </row>
    <row r="215">
      <c r="A215" s="11" t="n"/>
      <c r="B215" s="12" t="n"/>
      <c r="C215" s="12" t="n"/>
      <c r="D215" s="12" t="n"/>
      <c r="E215" s="13" t="n"/>
      <c r="F215" s="12" t="n"/>
      <c r="G215" s="14" t="n"/>
      <c r="H215" s="15" t="n"/>
      <c r="I215" s="16">
        <f>IF(G215="","",G215*(1-N(H215)))</f>
        <v/>
      </c>
      <c r="J215" s="16">
        <f>IF(I215="","",E215*I215)</f>
        <v/>
      </c>
      <c r="K215">
        <f>IF(D215="","",IFERROR(VLOOKUP(D215,'Ürün Eşleştirme'!$A$6:$D$505,2,FALSE),D215))</f>
        <v/>
      </c>
      <c r="L215" s="17">
        <f>IF(D215="","",IFERROR(VLOOKUP(D215,'Ürün Eşleştirme'!$A$6:$D$505,4,FALSE),1))</f>
        <v/>
      </c>
      <c r="M215" s="16">
        <f>IF(I215="","",I215/L215)</f>
        <v/>
      </c>
      <c r="N215" s="16">
        <f>IF(M215="","",IFERROR(AVERAGEIFS($M$10:$M$1009,$K$10:$K$1009,K215,$A$10:$A$1009,"&lt;"&amp;A215,$A$10:$A$1009,"&gt;="&amp;(A215-$C$6)),""))</f>
        <v/>
      </c>
      <c r="O215" s="16">
        <f>IF(M215="","",_xlfn.MINIFS($M$10:$M$1009,$K$10:$K$1009,K215,$A$10:$A$1009,"&lt;="&amp;A215,$A$10:$A$1009,"&gt;="&amp;(A215-$C$6)))</f>
        <v/>
      </c>
      <c r="P215" s="18">
        <f>IF(OR(N215="",N215=0),"",M215/N215-1)</f>
        <v/>
      </c>
      <c r="Q215">
        <f>IF(D215="","",IF(COUNTIFS($B$10:$B$1009,B215,$C$10:$C$1009,C215,$D$10:$D$1009,D215,$E$10:$E$1009,E215)&gt;1,"MÜKERRER?",IF(P215="","",IF(P215&gt;=$C$5,"İNCELE",IF(P215&lt;=-$C$5,"Düşük",""))))</f>
        <v/>
      </c>
      <c r="R215" s="16">
        <f>IF(AND(P215&lt;&gt;"",N(P215)&gt;=$C$5,COUNTIFS($B$10:B215,B215,$C$10:C215,C215,$D$10:D215,D215,$E$10:E215,E215)=1),(M215-N215)*E215*L215,0)</f>
        <v/>
      </c>
      <c r="S215" s="19">
        <f>IF(D215="",0,N(E215)*L215)</f>
        <v/>
      </c>
    </row>
    <row r="216">
      <c r="A216" s="11" t="n"/>
      <c r="B216" s="12" t="n"/>
      <c r="C216" s="12" t="n"/>
      <c r="D216" s="12" t="n"/>
      <c r="E216" s="13" t="n"/>
      <c r="F216" s="12" t="n"/>
      <c r="G216" s="14" t="n"/>
      <c r="H216" s="15" t="n"/>
      <c r="I216" s="16">
        <f>IF(G216="","",G216*(1-N(H216)))</f>
        <v/>
      </c>
      <c r="J216" s="16">
        <f>IF(I216="","",E216*I216)</f>
        <v/>
      </c>
      <c r="K216">
        <f>IF(D216="","",IFERROR(VLOOKUP(D216,'Ürün Eşleştirme'!$A$6:$D$505,2,FALSE),D216))</f>
        <v/>
      </c>
      <c r="L216" s="17">
        <f>IF(D216="","",IFERROR(VLOOKUP(D216,'Ürün Eşleştirme'!$A$6:$D$505,4,FALSE),1))</f>
        <v/>
      </c>
      <c r="M216" s="16">
        <f>IF(I216="","",I216/L216)</f>
        <v/>
      </c>
      <c r="N216" s="16">
        <f>IF(M216="","",IFERROR(AVERAGEIFS($M$10:$M$1009,$K$10:$K$1009,K216,$A$10:$A$1009,"&lt;"&amp;A216,$A$10:$A$1009,"&gt;="&amp;(A216-$C$6)),""))</f>
        <v/>
      </c>
      <c r="O216" s="16">
        <f>IF(M216="","",_xlfn.MINIFS($M$10:$M$1009,$K$10:$K$1009,K216,$A$10:$A$1009,"&lt;="&amp;A216,$A$10:$A$1009,"&gt;="&amp;(A216-$C$6)))</f>
        <v/>
      </c>
      <c r="P216" s="18">
        <f>IF(OR(N216="",N216=0),"",M216/N216-1)</f>
        <v/>
      </c>
      <c r="Q216">
        <f>IF(D216="","",IF(COUNTIFS($B$10:$B$1009,B216,$C$10:$C$1009,C216,$D$10:$D$1009,D216,$E$10:$E$1009,E216)&gt;1,"MÜKERRER?",IF(P216="","",IF(P216&gt;=$C$5,"İNCELE",IF(P216&lt;=-$C$5,"Düşük",""))))</f>
        <v/>
      </c>
      <c r="R216" s="16">
        <f>IF(AND(P216&lt;&gt;"",N(P216)&gt;=$C$5,COUNTIFS($B$10:B216,B216,$C$10:C216,C216,$D$10:D216,D216,$E$10:E216,E216)=1),(M216-N216)*E216*L216,0)</f>
        <v/>
      </c>
      <c r="S216" s="19">
        <f>IF(D216="",0,N(E216)*L216)</f>
        <v/>
      </c>
    </row>
    <row r="217">
      <c r="A217" s="11" t="n"/>
      <c r="B217" s="12" t="n"/>
      <c r="C217" s="12" t="n"/>
      <c r="D217" s="12" t="n"/>
      <c r="E217" s="13" t="n"/>
      <c r="F217" s="12" t="n"/>
      <c r="G217" s="14" t="n"/>
      <c r="H217" s="15" t="n"/>
      <c r="I217" s="16">
        <f>IF(G217="","",G217*(1-N(H217)))</f>
        <v/>
      </c>
      <c r="J217" s="16">
        <f>IF(I217="","",E217*I217)</f>
        <v/>
      </c>
      <c r="K217">
        <f>IF(D217="","",IFERROR(VLOOKUP(D217,'Ürün Eşleştirme'!$A$6:$D$505,2,FALSE),D217))</f>
        <v/>
      </c>
      <c r="L217" s="17">
        <f>IF(D217="","",IFERROR(VLOOKUP(D217,'Ürün Eşleştirme'!$A$6:$D$505,4,FALSE),1))</f>
        <v/>
      </c>
      <c r="M217" s="16">
        <f>IF(I217="","",I217/L217)</f>
        <v/>
      </c>
      <c r="N217" s="16">
        <f>IF(M217="","",IFERROR(AVERAGEIFS($M$10:$M$1009,$K$10:$K$1009,K217,$A$10:$A$1009,"&lt;"&amp;A217,$A$10:$A$1009,"&gt;="&amp;(A217-$C$6)),""))</f>
        <v/>
      </c>
      <c r="O217" s="16">
        <f>IF(M217="","",_xlfn.MINIFS($M$10:$M$1009,$K$10:$K$1009,K217,$A$10:$A$1009,"&lt;="&amp;A217,$A$10:$A$1009,"&gt;="&amp;(A217-$C$6)))</f>
        <v/>
      </c>
      <c r="P217" s="18">
        <f>IF(OR(N217="",N217=0),"",M217/N217-1)</f>
        <v/>
      </c>
      <c r="Q217">
        <f>IF(D217="","",IF(COUNTIFS($B$10:$B$1009,B217,$C$10:$C$1009,C217,$D$10:$D$1009,D217,$E$10:$E$1009,E217)&gt;1,"MÜKERRER?",IF(P217="","",IF(P217&gt;=$C$5,"İNCELE",IF(P217&lt;=-$C$5,"Düşük",""))))</f>
        <v/>
      </c>
      <c r="R217" s="16">
        <f>IF(AND(P217&lt;&gt;"",N(P217)&gt;=$C$5,COUNTIFS($B$10:B217,B217,$C$10:C217,C217,$D$10:D217,D217,$E$10:E217,E217)=1),(M217-N217)*E217*L217,0)</f>
        <v/>
      </c>
      <c r="S217" s="19">
        <f>IF(D217="",0,N(E217)*L217)</f>
        <v/>
      </c>
    </row>
    <row r="218">
      <c r="A218" s="11" t="n"/>
      <c r="B218" s="12" t="n"/>
      <c r="C218" s="12" t="n"/>
      <c r="D218" s="12" t="n"/>
      <c r="E218" s="13" t="n"/>
      <c r="F218" s="12" t="n"/>
      <c r="G218" s="14" t="n"/>
      <c r="H218" s="15" t="n"/>
      <c r="I218" s="16">
        <f>IF(G218="","",G218*(1-N(H218)))</f>
        <v/>
      </c>
      <c r="J218" s="16">
        <f>IF(I218="","",E218*I218)</f>
        <v/>
      </c>
      <c r="K218">
        <f>IF(D218="","",IFERROR(VLOOKUP(D218,'Ürün Eşleştirme'!$A$6:$D$505,2,FALSE),D218))</f>
        <v/>
      </c>
      <c r="L218" s="17">
        <f>IF(D218="","",IFERROR(VLOOKUP(D218,'Ürün Eşleştirme'!$A$6:$D$505,4,FALSE),1))</f>
        <v/>
      </c>
      <c r="M218" s="16">
        <f>IF(I218="","",I218/L218)</f>
        <v/>
      </c>
      <c r="N218" s="16">
        <f>IF(M218="","",IFERROR(AVERAGEIFS($M$10:$M$1009,$K$10:$K$1009,K218,$A$10:$A$1009,"&lt;"&amp;A218,$A$10:$A$1009,"&gt;="&amp;(A218-$C$6)),""))</f>
        <v/>
      </c>
      <c r="O218" s="16">
        <f>IF(M218="","",_xlfn.MINIFS($M$10:$M$1009,$K$10:$K$1009,K218,$A$10:$A$1009,"&lt;="&amp;A218,$A$10:$A$1009,"&gt;="&amp;(A218-$C$6)))</f>
        <v/>
      </c>
      <c r="P218" s="18">
        <f>IF(OR(N218="",N218=0),"",M218/N218-1)</f>
        <v/>
      </c>
      <c r="Q218">
        <f>IF(D218="","",IF(COUNTIFS($B$10:$B$1009,B218,$C$10:$C$1009,C218,$D$10:$D$1009,D218,$E$10:$E$1009,E218)&gt;1,"MÜKERRER?",IF(P218="","",IF(P218&gt;=$C$5,"İNCELE",IF(P218&lt;=-$C$5,"Düşük",""))))</f>
        <v/>
      </c>
      <c r="R218" s="16">
        <f>IF(AND(P218&lt;&gt;"",N(P218)&gt;=$C$5,COUNTIFS($B$10:B218,B218,$C$10:C218,C218,$D$10:D218,D218,$E$10:E218,E218)=1),(M218-N218)*E218*L218,0)</f>
        <v/>
      </c>
      <c r="S218" s="19">
        <f>IF(D218="",0,N(E218)*L218)</f>
        <v/>
      </c>
    </row>
    <row r="219">
      <c r="A219" s="11" t="n"/>
      <c r="B219" s="12" t="n"/>
      <c r="C219" s="12" t="n"/>
      <c r="D219" s="12" t="n"/>
      <c r="E219" s="13" t="n"/>
      <c r="F219" s="12" t="n"/>
      <c r="G219" s="14" t="n"/>
      <c r="H219" s="15" t="n"/>
      <c r="I219" s="16">
        <f>IF(G219="","",G219*(1-N(H219)))</f>
        <v/>
      </c>
      <c r="J219" s="16">
        <f>IF(I219="","",E219*I219)</f>
        <v/>
      </c>
      <c r="K219">
        <f>IF(D219="","",IFERROR(VLOOKUP(D219,'Ürün Eşleştirme'!$A$6:$D$505,2,FALSE),D219))</f>
        <v/>
      </c>
      <c r="L219" s="17">
        <f>IF(D219="","",IFERROR(VLOOKUP(D219,'Ürün Eşleştirme'!$A$6:$D$505,4,FALSE),1))</f>
        <v/>
      </c>
      <c r="M219" s="16">
        <f>IF(I219="","",I219/L219)</f>
        <v/>
      </c>
      <c r="N219" s="16">
        <f>IF(M219="","",IFERROR(AVERAGEIFS($M$10:$M$1009,$K$10:$K$1009,K219,$A$10:$A$1009,"&lt;"&amp;A219,$A$10:$A$1009,"&gt;="&amp;(A219-$C$6)),""))</f>
        <v/>
      </c>
      <c r="O219" s="16">
        <f>IF(M219="","",_xlfn.MINIFS($M$10:$M$1009,$K$10:$K$1009,K219,$A$10:$A$1009,"&lt;="&amp;A219,$A$10:$A$1009,"&gt;="&amp;(A219-$C$6)))</f>
        <v/>
      </c>
      <c r="P219" s="18">
        <f>IF(OR(N219="",N219=0),"",M219/N219-1)</f>
        <v/>
      </c>
      <c r="Q219">
        <f>IF(D219="","",IF(COUNTIFS($B$10:$B$1009,B219,$C$10:$C$1009,C219,$D$10:$D$1009,D219,$E$10:$E$1009,E219)&gt;1,"MÜKERRER?",IF(P219="","",IF(P219&gt;=$C$5,"İNCELE",IF(P219&lt;=-$C$5,"Düşük",""))))</f>
        <v/>
      </c>
      <c r="R219" s="16">
        <f>IF(AND(P219&lt;&gt;"",N(P219)&gt;=$C$5,COUNTIFS($B$10:B219,B219,$C$10:C219,C219,$D$10:D219,D219,$E$10:E219,E219)=1),(M219-N219)*E219*L219,0)</f>
        <v/>
      </c>
      <c r="S219" s="19">
        <f>IF(D219="",0,N(E219)*L219)</f>
        <v/>
      </c>
    </row>
    <row r="220">
      <c r="A220" s="11" t="n"/>
      <c r="B220" s="12" t="n"/>
      <c r="C220" s="12" t="n"/>
      <c r="D220" s="12" t="n"/>
      <c r="E220" s="13" t="n"/>
      <c r="F220" s="12" t="n"/>
      <c r="G220" s="14" t="n"/>
      <c r="H220" s="15" t="n"/>
      <c r="I220" s="16">
        <f>IF(G220="","",G220*(1-N(H220)))</f>
        <v/>
      </c>
      <c r="J220" s="16">
        <f>IF(I220="","",E220*I220)</f>
        <v/>
      </c>
      <c r="K220">
        <f>IF(D220="","",IFERROR(VLOOKUP(D220,'Ürün Eşleştirme'!$A$6:$D$505,2,FALSE),D220))</f>
        <v/>
      </c>
      <c r="L220" s="17">
        <f>IF(D220="","",IFERROR(VLOOKUP(D220,'Ürün Eşleştirme'!$A$6:$D$505,4,FALSE),1))</f>
        <v/>
      </c>
      <c r="M220" s="16">
        <f>IF(I220="","",I220/L220)</f>
        <v/>
      </c>
      <c r="N220" s="16">
        <f>IF(M220="","",IFERROR(AVERAGEIFS($M$10:$M$1009,$K$10:$K$1009,K220,$A$10:$A$1009,"&lt;"&amp;A220,$A$10:$A$1009,"&gt;="&amp;(A220-$C$6)),""))</f>
        <v/>
      </c>
      <c r="O220" s="16">
        <f>IF(M220="","",_xlfn.MINIFS($M$10:$M$1009,$K$10:$K$1009,K220,$A$10:$A$1009,"&lt;="&amp;A220,$A$10:$A$1009,"&gt;="&amp;(A220-$C$6)))</f>
        <v/>
      </c>
      <c r="P220" s="18">
        <f>IF(OR(N220="",N220=0),"",M220/N220-1)</f>
        <v/>
      </c>
      <c r="Q220">
        <f>IF(D220="","",IF(COUNTIFS($B$10:$B$1009,B220,$C$10:$C$1009,C220,$D$10:$D$1009,D220,$E$10:$E$1009,E220)&gt;1,"MÜKERRER?",IF(P220="","",IF(P220&gt;=$C$5,"İNCELE",IF(P220&lt;=-$C$5,"Düşük",""))))</f>
        <v/>
      </c>
      <c r="R220" s="16">
        <f>IF(AND(P220&lt;&gt;"",N(P220)&gt;=$C$5,COUNTIFS($B$10:B220,B220,$C$10:C220,C220,$D$10:D220,D220,$E$10:E220,E220)=1),(M220-N220)*E220*L220,0)</f>
        <v/>
      </c>
      <c r="S220" s="19">
        <f>IF(D220="",0,N(E220)*L220)</f>
        <v/>
      </c>
    </row>
    <row r="221">
      <c r="A221" s="11" t="n"/>
      <c r="B221" s="12" t="n"/>
      <c r="C221" s="12" t="n"/>
      <c r="D221" s="12" t="n"/>
      <c r="E221" s="13" t="n"/>
      <c r="F221" s="12" t="n"/>
      <c r="G221" s="14" t="n"/>
      <c r="H221" s="15" t="n"/>
      <c r="I221" s="16">
        <f>IF(G221="","",G221*(1-N(H221)))</f>
        <v/>
      </c>
      <c r="J221" s="16">
        <f>IF(I221="","",E221*I221)</f>
        <v/>
      </c>
      <c r="K221">
        <f>IF(D221="","",IFERROR(VLOOKUP(D221,'Ürün Eşleştirme'!$A$6:$D$505,2,FALSE),D221))</f>
        <v/>
      </c>
      <c r="L221" s="17">
        <f>IF(D221="","",IFERROR(VLOOKUP(D221,'Ürün Eşleştirme'!$A$6:$D$505,4,FALSE),1))</f>
        <v/>
      </c>
      <c r="M221" s="16">
        <f>IF(I221="","",I221/L221)</f>
        <v/>
      </c>
      <c r="N221" s="16">
        <f>IF(M221="","",IFERROR(AVERAGEIFS($M$10:$M$1009,$K$10:$K$1009,K221,$A$10:$A$1009,"&lt;"&amp;A221,$A$10:$A$1009,"&gt;="&amp;(A221-$C$6)),""))</f>
        <v/>
      </c>
      <c r="O221" s="16">
        <f>IF(M221="","",_xlfn.MINIFS($M$10:$M$1009,$K$10:$K$1009,K221,$A$10:$A$1009,"&lt;="&amp;A221,$A$10:$A$1009,"&gt;="&amp;(A221-$C$6)))</f>
        <v/>
      </c>
      <c r="P221" s="18">
        <f>IF(OR(N221="",N221=0),"",M221/N221-1)</f>
        <v/>
      </c>
      <c r="Q221">
        <f>IF(D221="","",IF(COUNTIFS($B$10:$B$1009,B221,$C$10:$C$1009,C221,$D$10:$D$1009,D221,$E$10:$E$1009,E221)&gt;1,"MÜKERRER?",IF(P221="","",IF(P221&gt;=$C$5,"İNCELE",IF(P221&lt;=-$C$5,"Düşük",""))))</f>
        <v/>
      </c>
      <c r="R221" s="16">
        <f>IF(AND(P221&lt;&gt;"",N(P221)&gt;=$C$5,COUNTIFS($B$10:B221,B221,$C$10:C221,C221,$D$10:D221,D221,$E$10:E221,E221)=1),(M221-N221)*E221*L221,0)</f>
        <v/>
      </c>
      <c r="S221" s="19">
        <f>IF(D221="",0,N(E221)*L221)</f>
        <v/>
      </c>
    </row>
    <row r="222">
      <c r="A222" s="11" t="n"/>
      <c r="B222" s="12" t="n"/>
      <c r="C222" s="12" t="n"/>
      <c r="D222" s="12" t="n"/>
      <c r="E222" s="13" t="n"/>
      <c r="F222" s="12" t="n"/>
      <c r="G222" s="14" t="n"/>
      <c r="H222" s="15" t="n"/>
      <c r="I222" s="16">
        <f>IF(G222="","",G222*(1-N(H222)))</f>
        <v/>
      </c>
      <c r="J222" s="16">
        <f>IF(I222="","",E222*I222)</f>
        <v/>
      </c>
      <c r="K222">
        <f>IF(D222="","",IFERROR(VLOOKUP(D222,'Ürün Eşleştirme'!$A$6:$D$505,2,FALSE),D222))</f>
        <v/>
      </c>
      <c r="L222" s="17">
        <f>IF(D222="","",IFERROR(VLOOKUP(D222,'Ürün Eşleştirme'!$A$6:$D$505,4,FALSE),1))</f>
        <v/>
      </c>
      <c r="M222" s="16">
        <f>IF(I222="","",I222/L222)</f>
        <v/>
      </c>
      <c r="N222" s="16">
        <f>IF(M222="","",IFERROR(AVERAGEIFS($M$10:$M$1009,$K$10:$K$1009,K222,$A$10:$A$1009,"&lt;"&amp;A222,$A$10:$A$1009,"&gt;="&amp;(A222-$C$6)),""))</f>
        <v/>
      </c>
      <c r="O222" s="16">
        <f>IF(M222="","",_xlfn.MINIFS($M$10:$M$1009,$K$10:$K$1009,K222,$A$10:$A$1009,"&lt;="&amp;A222,$A$10:$A$1009,"&gt;="&amp;(A222-$C$6)))</f>
        <v/>
      </c>
      <c r="P222" s="18">
        <f>IF(OR(N222="",N222=0),"",M222/N222-1)</f>
        <v/>
      </c>
      <c r="Q222">
        <f>IF(D222="","",IF(COUNTIFS($B$10:$B$1009,B222,$C$10:$C$1009,C222,$D$10:$D$1009,D222,$E$10:$E$1009,E222)&gt;1,"MÜKERRER?",IF(P222="","",IF(P222&gt;=$C$5,"İNCELE",IF(P222&lt;=-$C$5,"Düşük",""))))</f>
        <v/>
      </c>
      <c r="R222" s="16">
        <f>IF(AND(P222&lt;&gt;"",N(P222)&gt;=$C$5,COUNTIFS($B$10:B222,B222,$C$10:C222,C222,$D$10:D222,D222,$E$10:E222,E222)=1),(M222-N222)*E222*L222,0)</f>
        <v/>
      </c>
      <c r="S222" s="19">
        <f>IF(D222="",0,N(E222)*L222)</f>
        <v/>
      </c>
    </row>
    <row r="223">
      <c r="A223" s="11" t="n"/>
      <c r="B223" s="12" t="n"/>
      <c r="C223" s="12" t="n"/>
      <c r="D223" s="12" t="n"/>
      <c r="E223" s="13" t="n"/>
      <c r="F223" s="12" t="n"/>
      <c r="G223" s="14" t="n"/>
      <c r="H223" s="15" t="n"/>
      <c r="I223" s="16">
        <f>IF(G223="","",G223*(1-N(H223)))</f>
        <v/>
      </c>
      <c r="J223" s="16">
        <f>IF(I223="","",E223*I223)</f>
        <v/>
      </c>
      <c r="K223">
        <f>IF(D223="","",IFERROR(VLOOKUP(D223,'Ürün Eşleştirme'!$A$6:$D$505,2,FALSE),D223))</f>
        <v/>
      </c>
      <c r="L223" s="17">
        <f>IF(D223="","",IFERROR(VLOOKUP(D223,'Ürün Eşleştirme'!$A$6:$D$505,4,FALSE),1))</f>
        <v/>
      </c>
      <c r="M223" s="16">
        <f>IF(I223="","",I223/L223)</f>
        <v/>
      </c>
      <c r="N223" s="16">
        <f>IF(M223="","",IFERROR(AVERAGEIFS($M$10:$M$1009,$K$10:$K$1009,K223,$A$10:$A$1009,"&lt;"&amp;A223,$A$10:$A$1009,"&gt;="&amp;(A223-$C$6)),""))</f>
        <v/>
      </c>
      <c r="O223" s="16">
        <f>IF(M223="","",_xlfn.MINIFS($M$10:$M$1009,$K$10:$K$1009,K223,$A$10:$A$1009,"&lt;="&amp;A223,$A$10:$A$1009,"&gt;="&amp;(A223-$C$6)))</f>
        <v/>
      </c>
      <c r="P223" s="18">
        <f>IF(OR(N223="",N223=0),"",M223/N223-1)</f>
        <v/>
      </c>
      <c r="Q223">
        <f>IF(D223="","",IF(COUNTIFS($B$10:$B$1009,B223,$C$10:$C$1009,C223,$D$10:$D$1009,D223,$E$10:$E$1009,E223)&gt;1,"MÜKERRER?",IF(P223="","",IF(P223&gt;=$C$5,"İNCELE",IF(P223&lt;=-$C$5,"Düşük",""))))</f>
        <v/>
      </c>
      <c r="R223" s="16">
        <f>IF(AND(P223&lt;&gt;"",N(P223)&gt;=$C$5,COUNTIFS($B$10:B223,B223,$C$10:C223,C223,$D$10:D223,D223,$E$10:E223,E223)=1),(M223-N223)*E223*L223,0)</f>
        <v/>
      </c>
      <c r="S223" s="19">
        <f>IF(D223="",0,N(E223)*L223)</f>
        <v/>
      </c>
    </row>
    <row r="224">
      <c r="A224" s="11" t="n"/>
      <c r="B224" s="12" t="n"/>
      <c r="C224" s="12" t="n"/>
      <c r="D224" s="12" t="n"/>
      <c r="E224" s="13" t="n"/>
      <c r="F224" s="12" t="n"/>
      <c r="G224" s="14" t="n"/>
      <c r="H224" s="15" t="n"/>
      <c r="I224" s="16">
        <f>IF(G224="","",G224*(1-N(H224)))</f>
        <v/>
      </c>
      <c r="J224" s="16">
        <f>IF(I224="","",E224*I224)</f>
        <v/>
      </c>
      <c r="K224">
        <f>IF(D224="","",IFERROR(VLOOKUP(D224,'Ürün Eşleştirme'!$A$6:$D$505,2,FALSE),D224))</f>
        <v/>
      </c>
      <c r="L224" s="17">
        <f>IF(D224="","",IFERROR(VLOOKUP(D224,'Ürün Eşleştirme'!$A$6:$D$505,4,FALSE),1))</f>
        <v/>
      </c>
      <c r="M224" s="16">
        <f>IF(I224="","",I224/L224)</f>
        <v/>
      </c>
      <c r="N224" s="16">
        <f>IF(M224="","",IFERROR(AVERAGEIFS($M$10:$M$1009,$K$10:$K$1009,K224,$A$10:$A$1009,"&lt;"&amp;A224,$A$10:$A$1009,"&gt;="&amp;(A224-$C$6)),""))</f>
        <v/>
      </c>
      <c r="O224" s="16">
        <f>IF(M224="","",_xlfn.MINIFS($M$10:$M$1009,$K$10:$K$1009,K224,$A$10:$A$1009,"&lt;="&amp;A224,$A$10:$A$1009,"&gt;="&amp;(A224-$C$6)))</f>
        <v/>
      </c>
      <c r="P224" s="18">
        <f>IF(OR(N224="",N224=0),"",M224/N224-1)</f>
        <v/>
      </c>
      <c r="Q224">
        <f>IF(D224="","",IF(COUNTIFS($B$10:$B$1009,B224,$C$10:$C$1009,C224,$D$10:$D$1009,D224,$E$10:$E$1009,E224)&gt;1,"MÜKERRER?",IF(P224="","",IF(P224&gt;=$C$5,"İNCELE",IF(P224&lt;=-$C$5,"Düşük",""))))</f>
        <v/>
      </c>
      <c r="R224" s="16">
        <f>IF(AND(P224&lt;&gt;"",N(P224)&gt;=$C$5,COUNTIFS($B$10:B224,B224,$C$10:C224,C224,$D$10:D224,D224,$E$10:E224,E224)=1),(M224-N224)*E224*L224,0)</f>
        <v/>
      </c>
      <c r="S224" s="19">
        <f>IF(D224="",0,N(E224)*L224)</f>
        <v/>
      </c>
    </row>
    <row r="225">
      <c r="A225" s="11" t="n"/>
      <c r="B225" s="12" t="n"/>
      <c r="C225" s="12" t="n"/>
      <c r="D225" s="12" t="n"/>
      <c r="E225" s="13" t="n"/>
      <c r="F225" s="12" t="n"/>
      <c r="G225" s="14" t="n"/>
      <c r="H225" s="15" t="n"/>
      <c r="I225" s="16">
        <f>IF(G225="","",G225*(1-N(H225)))</f>
        <v/>
      </c>
      <c r="J225" s="16">
        <f>IF(I225="","",E225*I225)</f>
        <v/>
      </c>
      <c r="K225">
        <f>IF(D225="","",IFERROR(VLOOKUP(D225,'Ürün Eşleştirme'!$A$6:$D$505,2,FALSE),D225))</f>
        <v/>
      </c>
      <c r="L225" s="17">
        <f>IF(D225="","",IFERROR(VLOOKUP(D225,'Ürün Eşleştirme'!$A$6:$D$505,4,FALSE),1))</f>
        <v/>
      </c>
      <c r="M225" s="16">
        <f>IF(I225="","",I225/L225)</f>
        <v/>
      </c>
      <c r="N225" s="16">
        <f>IF(M225="","",IFERROR(AVERAGEIFS($M$10:$M$1009,$K$10:$K$1009,K225,$A$10:$A$1009,"&lt;"&amp;A225,$A$10:$A$1009,"&gt;="&amp;(A225-$C$6)),""))</f>
        <v/>
      </c>
      <c r="O225" s="16">
        <f>IF(M225="","",_xlfn.MINIFS($M$10:$M$1009,$K$10:$K$1009,K225,$A$10:$A$1009,"&lt;="&amp;A225,$A$10:$A$1009,"&gt;="&amp;(A225-$C$6)))</f>
        <v/>
      </c>
      <c r="P225" s="18">
        <f>IF(OR(N225="",N225=0),"",M225/N225-1)</f>
        <v/>
      </c>
      <c r="Q225">
        <f>IF(D225="","",IF(COUNTIFS($B$10:$B$1009,B225,$C$10:$C$1009,C225,$D$10:$D$1009,D225,$E$10:$E$1009,E225)&gt;1,"MÜKERRER?",IF(P225="","",IF(P225&gt;=$C$5,"İNCELE",IF(P225&lt;=-$C$5,"Düşük",""))))</f>
        <v/>
      </c>
      <c r="R225" s="16">
        <f>IF(AND(P225&lt;&gt;"",N(P225)&gt;=$C$5,COUNTIFS($B$10:B225,B225,$C$10:C225,C225,$D$10:D225,D225,$E$10:E225,E225)=1),(M225-N225)*E225*L225,0)</f>
        <v/>
      </c>
      <c r="S225" s="19">
        <f>IF(D225="",0,N(E225)*L225)</f>
        <v/>
      </c>
    </row>
    <row r="226">
      <c r="A226" s="11" t="n"/>
      <c r="B226" s="12" t="n"/>
      <c r="C226" s="12" t="n"/>
      <c r="D226" s="12" t="n"/>
      <c r="E226" s="13" t="n"/>
      <c r="F226" s="12" t="n"/>
      <c r="G226" s="14" t="n"/>
      <c r="H226" s="15" t="n"/>
      <c r="I226" s="16">
        <f>IF(G226="","",G226*(1-N(H226)))</f>
        <v/>
      </c>
      <c r="J226" s="16">
        <f>IF(I226="","",E226*I226)</f>
        <v/>
      </c>
      <c r="K226">
        <f>IF(D226="","",IFERROR(VLOOKUP(D226,'Ürün Eşleştirme'!$A$6:$D$505,2,FALSE),D226))</f>
        <v/>
      </c>
      <c r="L226" s="17">
        <f>IF(D226="","",IFERROR(VLOOKUP(D226,'Ürün Eşleştirme'!$A$6:$D$505,4,FALSE),1))</f>
        <v/>
      </c>
      <c r="M226" s="16">
        <f>IF(I226="","",I226/L226)</f>
        <v/>
      </c>
      <c r="N226" s="16">
        <f>IF(M226="","",IFERROR(AVERAGEIFS($M$10:$M$1009,$K$10:$K$1009,K226,$A$10:$A$1009,"&lt;"&amp;A226,$A$10:$A$1009,"&gt;="&amp;(A226-$C$6)),""))</f>
        <v/>
      </c>
      <c r="O226" s="16">
        <f>IF(M226="","",_xlfn.MINIFS($M$10:$M$1009,$K$10:$K$1009,K226,$A$10:$A$1009,"&lt;="&amp;A226,$A$10:$A$1009,"&gt;="&amp;(A226-$C$6)))</f>
        <v/>
      </c>
      <c r="P226" s="18">
        <f>IF(OR(N226="",N226=0),"",M226/N226-1)</f>
        <v/>
      </c>
      <c r="Q226">
        <f>IF(D226="","",IF(COUNTIFS($B$10:$B$1009,B226,$C$10:$C$1009,C226,$D$10:$D$1009,D226,$E$10:$E$1009,E226)&gt;1,"MÜKERRER?",IF(P226="","",IF(P226&gt;=$C$5,"İNCELE",IF(P226&lt;=-$C$5,"Düşük",""))))</f>
        <v/>
      </c>
      <c r="R226" s="16">
        <f>IF(AND(P226&lt;&gt;"",N(P226)&gt;=$C$5,COUNTIFS($B$10:B226,B226,$C$10:C226,C226,$D$10:D226,D226,$E$10:E226,E226)=1),(M226-N226)*E226*L226,0)</f>
        <v/>
      </c>
      <c r="S226" s="19">
        <f>IF(D226="",0,N(E226)*L226)</f>
        <v/>
      </c>
    </row>
    <row r="227">
      <c r="A227" s="11" t="n"/>
      <c r="B227" s="12" t="n"/>
      <c r="C227" s="12" t="n"/>
      <c r="D227" s="12" t="n"/>
      <c r="E227" s="13" t="n"/>
      <c r="F227" s="12" t="n"/>
      <c r="G227" s="14" t="n"/>
      <c r="H227" s="15" t="n"/>
      <c r="I227" s="16">
        <f>IF(G227="","",G227*(1-N(H227)))</f>
        <v/>
      </c>
      <c r="J227" s="16">
        <f>IF(I227="","",E227*I227)</f>
        <v/>
      </c>
      <c r="K227">
        <f>IF(D227="","",IFERROR(VLOOKUP(D227,'Ürün Eşleştirme'!$A$6:$D$505,2,FALSE),D227))</f>
        <v/>
      </c>
      <c r="L227" s="17">
        <f>IF(D227="","",IFERROR(VLOOKUP(D227,'Ürün Eşleştirme'!$A$6:$D$505,4,FALSE),1))</f>
        <v/>
      </c>
      <c r="M227" s="16">
        <f>IF(I227="","",I227/L227)</f>
        <v/>
      </c>
      <c r="N227" s="16">
        <f>IF(M227="","",IFERROR(AVERAGEIFS($M$10:$M$1009,$K$10:$K$1009,K227,$A$10:$A$1009,"&lt;"&amp;A227,$A$10:$A$1009,"&gt;="&amp;(A227-$C$6)),""))</f>
        <v/>
      </c>
      <c r="O227" s="16">
        <f>IF(M227="","",_xlfn.MINIFS($M$10:$M$1009,$K$10:$K$1009,K227,$A$10:$A$1009,"&lt;="&amp;A227,$A$10:$A$1009,"&gt;="&amp;(A227-$C$6)))</f>
        <v/>
      </c>
      <c r="P227" s="18">
        <f>IF(OR(N227="",N227=0),"",M227/N227-1)</f>
        <v/>
      </c>
      <c r="Q227">
        <f>IF(D227="","",IF(COUNTIFS($B$10:$B$1009,B227,$C$10:$C$1009,C227,$D$10:$D$1009,D227,$E$10:$E$1009,E227)&gt;1,"MÜKERRER?",IF(P227="","",IF(P227&gt;=$C$5,"İNCELE",IF(P227&lt;=-$C$5,"Düşük",""))))</f>
        <v/>
      </c>
      <c r="R227" s="16">
        <f>IF(AND(P227&lt;&gt;"",N(P227)&gt;=$C$5,COUNTIFS($B$10:B227,B227,$C$10:C227,C227,$D$10:D227,D227,$E$10:E227,E227)=1),(M227-N227)*E227*L227,0)</f>
        <v/>
      </c>
      <c r="S227" s="19">
        <f>IF(D227="",0,N(E227)*L227)</f>
        <v/>
      </c>
    </row>
    <row r="228">
      <c r="A228" s="11" t="n"/>
      <c r="B228" s="12" t="n"/>
      <c r="C228" s="12" t="n"/>
      <c r="D228" s="12" t="n"/>
      <c r="E228" s="13" t="n"/>
      <c r="F228" s="12" t="n"/>
      <c r="G228" s="14" t="n"/>
      <c r="H228" s="15" t="n"/>
      <c r="I228" s="16">
        <f>IF(G228="","",G228*(1-N(H228)))</f>
        <v/>
      </c>
      <c r="J228" s="16">
        <f>IF(I228="","",E228*I228)</f>
        <v/>
      </c>
      <c r="K228">
        <f>IF(D228="","",IFERROR(VLOOKUP(D228,'Ürün Eşleştirme'!$A$6:$D$505,2,FALSE),D228))</f>
        <v/>
      </c>
      <c r="L228" s="17">
        <f>IF(D228="","",IFERROR(VLOOKUP(D228,'Ürün Eşleştirme'!$A$6:$D$505,4,FALSE),1))</f>
        <v/>
      </c>
      <c r="M228" s="16">
        <f>IF(I228="","",I228/L228)</f>
        <v/>
      </c>
      <c r="N228" s="16">
        <f>IF(M228="","",IFERROR(AVERAGEIFS($M$10:$M$1009,$K$10:$K$1009,K228,$A$10:$A$1009,"&lt;"&amp;A228,$A$10:$A$1009,"&gt;="&amp;(A228-$C$6)),""))</f>
        <v/>
      </c>
      <c r="O228" s="16">
        <f>IF(M228="","",_xlfn.MINIFS($M$10:$M$1009,$K$10:$K$1009,K228,$A$10:$A$1009,"&lt;="&amp;A228,$A$10:$A$1009,"&gt;="&amp;(A228-$C$6)))</f>
        <v/>
      </c>
      <c r="P228" s="18">
        <f>IF(OR(N228="",N228=0),"",M228/N228-1)</f>
        <v/>
      </c>
      <c r="Q228">
        <f>IF(D228="","",IF(COUNTIFS($B$10:$B$1009,B228,$C$10:$C$1009,C228,$D$10:$D$1009,D228,$E$10:$E$1009,E228)&gt;1,"MÜKERRER?",IF(P228="","",IF(P228&gt;=$C$5,"İNCELE",IF(P228&lt;=-$C$5,"Düşük",""))))</f>
        <v/>
      </c>
      <c r="R228" s="16">
        <f>IF(AND(P228&lt;&gt;"",N(P228)&gt;=$C$5,COUNTIFS($B$10:B228,B228,$C$10:C228,C228,$D$10:D228,D228,$E$10:E228,E228)=1),(M228-N228)*E228*L228,0)</f>
        <v/>
      </c>
      <c r="S228" s="19">
        <f>IF(D228="",0,N(E228)*L228)</f>
        <v/>
      </c>
    </row>
    <row r="229">
      <c r="A229" s="11" t="n"/>
      <c r="B229" s="12" t="n"/>
      <c r="C229" s="12" t="n"/>
      <c r="D229" s="12" t="n"/>
      <c r="E229" s="13" t="n"/>
      <c r="F229" s="12" t="n"/>
      <c r="G229" s="14" t="n"/>
      <c r="H229" s="15" t="n"/>
      <c r="I229" s="16">
        <f>IF(G229="","",G229*(1-N(H229)))</f>
        <v/>
      </c>
      <c r="J229" s="16">
        <f>IF(I229="","",E229*I229)</f>
        <v/>
      </c>
      <c r="K229">
        <f>IF(D229="","",IFERROR(VLOOKUP(D229,'Ürün Eşleştirme'!$A$6:$D$505,2,FALSE),D229))</f>
        <v/>
      </c>
      <c r="L229" s="17">
        <f>IF(D229="","",IFERROR(VLOOKUP(D229,'Ürün Eşleştirme'!$A$6:$D$505,4,FALSE),1))</f>
        <v/>
      </c>
      <c r="M229" s="16">
        <f>IF(I229="","",I229/L229)</f>
        <v/>
      </c>
      <c r="N229" s="16">
        <f>IF(M229="","",IFERROR(AVERAGEIFS($M$10:$M$1009,$K$10:$K$1009,K229,$A$10:$A$1009,"&lt;"&amp;A229,$A$10:$A$1009,"&gt;="&amp;(A229-$C$6)),""))</f>
        <v/>
      </c>
      <c r="O229" s="16">
        <f>IF(M229="","",_xlfn.MINIFS($M$10:$M$1009,$K$10:$K$1009,K229,$A$10:$A$1009,"&lt;="&amp;A229,$A$10:$A$1009,"&gt;="&amp;(A229-$C$6)))</f>
        <v/>
      </c>
      <c r="P229" s="18">
        <f>IF(OR(N229="",N229=0),"",M229/N229-1)</f>
        <v/>
      </c>
      <c r="Q229">
        <f>IF(D229="","",IF(COUNTIFS($B$10:$B$1009,B229,$C$10:$C$1009,C229,$D$10:$D$1009,D229,$E$10:$E$1009,E229)&gt;1,"MÜKERRER?",IF(P229="","",IF(P229&gt;=$C$5,"İNCELE",IF(P229&lt;=-$C$5,"Düşük",""))))</f>
        <v/>
      </c>
      <c r="R229" s="16">
        <f>IF(AND(P229&lt;&gt;"",N(P229)&gt;=$C$5,COUNTIFS($B$10:B229,B229,$C$10:C229,C229,$D$10:D229,D229,$E$10:E229,E229)=1),(M229-N229)*E229*L229,0)</f>
        <v/>
      </c>
      <c r="S229" s="19">
        <f>IF(D229="",0,N(E229)*L229)</f>
        <v/>
      </c>
    </row>
    <row r="230">
      <c r="A230" s="11" t="n"/>
      <c r="B230" s="12" t="n"/>
      <c r="C230" s="12" t="n"/>
      <c r="D230" s="12" t="n"/>
      <c r="E230" s="13" t="n"/>
      <c r="F230" s="12" t="n"/>
      <c r="G230" s="14" t="n"/>
      <c r="H230" s="15" t="n"/>
      <c r="I230" s="16">
        <f>IF(G230="","",G230*(1-N(H230)))</f>
        <v/>
      </c>
      <c r="J230" s="16">
        <f>IF(I230="","",E230*I230)</f>
        <v/>
      </c>
      <c r="K230">
        <f>IF(D230="","",IFERROR(VLOOKUP(D230,'Ürün Eşleştirme'!$A$6:$D$505,2,FALSE),D230))</f>
        <v/>
      </c>
      <c r="L230" s="17">
        <f>IF(D230="","",IFERROR(VLOOKUP(D230,'Ürün Eşleştirme'!$A$6:$D$505,4,FALSE),1))</f>
        <v/>
      </c>
      <c r="M230" s="16">
        <f>IF(I230="","",I230/L230)</f>
        <v/>
      </c>
      <c r="N230" s="16">
        <f>IF(M230="","",IFERROR(AVERAGEIFS($M$10:$M$1009,$K$10:$K$1009,K230,$A$10:$A$1009,"&lt;"&amp;A230,$A$10:$A$1009,"&gt;="&amp;(A230-$C$6)),""))</f>
        <v/>
      </c>
      <c r="O230" s="16">
        <f>IF(M230="","",_xlfn.MINIFS($M$10:$M$1009,$K$10:$K$1009,K230,$A$10:$A$1009,"&lt;="&amp;A230,$A$10:$A$1009,"&gt;="&amp;(A230-$C$6)))</f>
        <v/>
      </c>
      <c r="P230" s="18">
        <f>IF(OR(N230="",N230=0),"",M230/N230-1)</f>
        <v/>
      </c>
      <c r="Q230">
        <f>IF(D230="","",IF(COUNTIFS($B$10:$B$1009,B230,$C$10:$C$1009,C230,$D$10:$D$1009,D230,$E$10:$E$1009,E230)&gt;1,"MÜKERRER?",IF(P230="","",IF(P230&gt;=$C$5,"İNCELE",IF(P230&lt;=-$C$5,"Düşük",""))))</f>
        <v/>
      </c>
      <c r="R230" s="16">
        <f>IF(AND(P230&lt;&gt;"",N(P230)&gt;=$C$5,COUNTIFS($B$10:B230,B230,$C$10:C230,C230,$D$10:D230,D230,$E$10:E230,E230)=1),(M230-N230)*E230*L230,0)</f>
        <v/>
      </c>
      <c r="S230" s="19">
        <f>IF(D230="",0,N(E230)*L230)</f>
        <v/>
      </c>
    </row>
    <row r="231">
      <c r="A231" s="11" t="n"/>
      <c r="B231" s="12" t="n"/>
      <c r="C231" s="12" t="n"/>
      <c r="D231" s="12" t="n"/>
      <c r="E231" s="13" t="n"/>
      <c r="F231" s="12" t="n"/>
      <c r="G231" s="14" t="n"/>
      <c r="H231" s="15" t="n"/>
      <c r="I231" s="16">
        <f>IF(G231="","",G231*(1-N(H231)))</f>
        <v/>
      </c>
      <c r="J231" s="16">
        <f>IF(I231="","",E231*I231)</f>
        <v/>
      </c>
      <c r="K231">
        <f>IF(D231="","",IFERROR(VLOOKUP(D231,'Ürün Eşleştirme'!$A$6:$D$505,2,FALSE),D231))</f>
        <v/>
      </c>
      <c r="L231" s="17">
        <f>IF(D231="","",IFERROR(VLOOKUP(D231,'Ürün Eşleştirme'!$A$6:$D$505,4,FALSE),1))</f>
        <v/>
      </c>
      <c r="M231" s="16">
        <f>IF(I231="","",I231/L231)</f>
        <v/>
      </c>
      <c r="N231" s="16">
        <f>IF(M231="","",IFERROR(AVERAGEIFS($M$10:$M$1009,$K$10:$K$1009,K231,$A$10:$A$1009,"&lt;"&amp;A231,$A$10:$A$1009,"&gt;="&amp;(A231-$C$6)),""))</f>
        <v/>
      </c>
      <c r="O231" s="16">
        <f>IF(M231="","",_xlfn.MINIFS($M$10:$M$1009,$K$10:$K$1009,K231,$A$10:$A$1009,"&lt;="&amp;A231,$A$10:$A$1009,"&gt;="&amp;(A231-$C$6)))</f>
        <v/>
      </c>
      <c r="P231" s="18">
        <f>IF(OR(N231="",N231=0),"",M231/N231-1)</f>
        <v/>
      </c>
      <c r="Q231">
        <f>IF(D231="","",IF(COUNTIFS($B$10:$B$1009,B231,$C$10:$C$1009,C231,$D$10:$D$1009,D231,$E$10:$E$1009,E231)&gt;1,"MÜKERRER?",IF(P231="","",IF(P231&gt;=$C$5,"İNCELE",IF(P231&lt;=-$C$5,"Düşük",""))))</f>
        <v/>
      </c>
      <c r="R231" s="16">
        <f>IF(AND(P231&lt;&gt;"",N(P231)&gt;=$C$5,COUNTIFS($B$10:B231,B231,$C$10:C231,C231,$D$10:D231,D231,$E$10:E231,E231)=1),(M231-N231)*E231*L231,0)</f>
        <v/>
      </c>
      <c r="S231" s="19">
        <f>IF(D231="",0,N(E231)*L231)</f>
        <v/>
      </c>
    </row>
    <row r="232">
      <c r="A232" s="11" t="n"/>
      <c r="B232" s="12" t="n"/>
      <c r="C232" s="12" t="n"/>
      <c r="D232" s="12" t="n"/>
      <c r="E232" s="13" t="n"/>
      <c r="F232" s="12" t="n"/>
      <c r="G232" s="14" t="n"/>
      <c r="H232" s="15" t="n"/>
      <c r="I232" s="16">
        <f>IF(G232="","",G232*(1-N(H232)))</f>
        <v/>
      </c>
      <c r="J232" s="16">
        <f>IF(I232="","",E232*I232)</f>
        <v/>
      </c>
      <c r="K232">
        <f>IF(D232="","",IFERROR(VLOOKUP(D232,'Ürün Eşleştirme'!$A$6:$D$505,2,FALSE),D232))</f>
        <v/>
      </c>
      <c r="L232" s="17">
        <f>IF(D232="","",IFERROR(VLOOKUP(D232,'Ürün Eşleştirme'!$A$6:$D$505,4,FALSE),1))</f>
        <v/>
      </c>
      <c r="M232" s="16">
        <f>IF(I232="","",I232/L232)</f>
        <v/>
      </c>
      <c r="N232" s="16">
        <f>IF(M232="","",IFERROR(AVERAGEIFS($M$10:$M$1009,$K$10:$K$1009,K232,$A$10:$A$1009,"&lt;"&amp;A232,$A$10:$A$1009,"&gt;="&amp;(A232-$C$6)),""))</f>
        <v/>
      </c>
      <c r="O232" s="16">
        <f>IF(M232="","",_xlfn.MINIFS($M$10:$M$1009,$K$10:$K$1009,K232,$A$10:$A$1009,"&lt;="&amp;A232,$A$10:$A$1009,"&gt;="&amp;(A232-$C$6)))</f>
        <v/>
      </c>
      <c r="P232" s="18">
        <f>IF(OR(N232="",N232=0),"",M232/N232-1)</f>
        <v/>
      </c>
      <c r="Q232">
        <f>IF(D232="","",IF(COUNTIFS($B$10:$B$1009,B232,$C$10:$C$1009,C232,$D$10:$D$1009,D232,$E$10:$E$1009,E232)&gt;1,"MÜKERRER?",IF(P232="","",IF(P232&gt;=$C$5,"İNCELE",IF(P232&lt;=-$C$5,"Düşük",""))))</f>
        <v/>
      </c>
      <c r="R232" s="16">
        <f>IF(AND(P232&lt;&gt;"",N(P232)&gt;=$C$5,COUNTIFS($B$10:B232,B232,$C$10:C232,C232,$D$10:D232,D232,$E$10:E232,E232)=1),(M232-N232)*E232*L232,0)</f>
        <v/>
      </c>
      <c r="S232" s="19">
        <f>IF(D232="",0,N(E232)*L232)</f>
        <v/>
      </c>
    </row>
    <row r="233">
      <c r="A233" s="11" t="n"/>
      <c r="B233" s="12" t="n"/>
      <c r="C233" s="12" t="n"/>
      <c r="D233" s="12" t="n"/>
      <c r="E233" s="13" t="n"/>
      <c r="F233" s="12" t="n"/>
      <c r="G233" s="14" t="n"/>
      <c r="H233" s="15" t="n"/>
      <c r="I233" s="16">
        <f>IF(G233="","",G233*(1-N(H233)))</f>
        <v/>
      </c>
      <c r="J233" s="16">
        <f>IF(I233="","",E233*I233)</f>
        <v/>
      </c>
      <c r="K233">
        <f>IF(D233="","",IFERROR(VLOOKUP(D233,'Ürün Eşleştirme'!$A$6:$D$505,2,FALSE),D233))</f>
        <v/>
      </c>
      <c r="L233" s="17">
        <f>IF(D233="","",IFERROR(VLOOKUP(D233,'Ürün Eşleştirme'!$A$6:$D$505,4,FALSE),1))</f>
        <v/>
      </c>
      <c r="M233" s="16">
        <f>IF(I233="","",I233/L233)</f>
        <v/>
      </c>
      <c r="N233" s="16">
        <f>IF(M233="","",IFERROR(AVERAGEIFS($M$10:$M$1009,$K$10:$K$1009,K233,$A$10:$A$1009,"&lt;"&amp;A233,$A$10:$A$1009,"&gt;="&amp;(A233-$C$6)),""))</f>
        <v/>
      </c>
      <c r="O233" s="16">
        <f>IF(M233="","",_xlfn.MINIFS($M$10:$M$1009,$K$10:$K$1009,K233,$A$10:$A$1009,"&lt;="&amp;A233,$A$10:$A$1009,"&gt;="&amp;(A233-$C$6)))</f>
        <v/>
      </c>
      <c r="P233" s="18">
        <f>IF(OR(N233="",N233=0),"",M233/N233-1)</f>
        <v/>
      </c>
      <c r="Q233">
        <f>IF(D233="","",IF(COUNTIFS($B$10:$B$1009,B233,$C$10:$C$1009,C233,$D$10:$D$1009,D233,$E$10:$E$1009,E233)&gt;1,"MÜKERRER?",IF(P233="","",IF(P233&gt;=$C$5,"İNCELE",IF(P233&lt;=-$C$5,"Düşük",""))))</f>
        <v/>
      </c>
      <c r="R233" s="16">
        <f>IF(AND(P233&lt;&gt;"",N(P233)&gt;=$C$5,COUNTIFS($B$10:B233,B233,$C$10:C233,C233,$D$10:D233,D233,$E$10:E233,E233)=1),(M233-N233)*E233*L233,0)</f>
        <v/>
      </c>
      <c r="S233" s="19">
        <f>IF(D233="",0,N(E233)*L233)</f>
        <v/>
      </c>
    </row>
    <row r="234">
      <c r="A234" s="11" t="n"/>
      <c r="B234" s="12" t="n"/>
      <c r="C234" s="12" t="n"/>
      <c r="D234" s="12" t="n"/>
      <c r="E234" s="13" t="n"/>
      <c r="F234" s="12" t="n"/>
      <c r="G234" s="14" t="n"/>
      <c r="H234" s="15" t="n"/>
      <c r="I234" s="16">
        <f>IF(G234="","",G234*(1-N(H234)))</f>
        <v/>
      </c>
      <c r="J234" s="16">
        <f>IF(I234="","",E234*I234)</f>
        <v/>
      </c>
      <c r="K234">
        <f>IF(D234="","",IFERROR(VLOOKUP(D234,'Ürün Eşleştirme'!$A$6:$D$505,2,FALSE),D234))</f>
        <v/>
      </c>
      <c r="L234" s="17">
        <f>IF(D234="","",IFERROR(VLOOKUP(D234,'Ürün Eşleştirme'!$A$6:$D$505,4,FALSE),1))</f>
        <v/>
      </c>
      <c r="M234" s="16">
        <f>IF(I234="","",I234/L234)</f>
        <v/>
      </c>
      <c r="N234" s="16">
        <f>IF(M234="","",IFERROR(AVERAGEIFS($M$10:$M$1009,$K$10:$K$1009,K234,$A$10:$A$1009,"&lt;"&amp;A234,$A$10:$A$1009,"&gt;="&amp;(A234-$C$6)),""))</f>
        <v/>
      </c>
      <c r="O234" s="16">
        <f>IF(M234="","",_xlfn.MINIFS($M$10:$M$1009,$K$10:$K$1009,K234,$A$10:$A$1009,"&lt;="&amp;A234,$A$10:$A$1009,"&gt;="&amp;(A234-$C$6)))</f>
        <v/>
      </c>
      <c r="P234" s="18">
        <f>IF(OR(N234="",N234=0),"",M234/N234-1)</f>
        <v/>
      </c>
      <c r="Q234">
        <f>IF(D234="","",IF(COUNTIFS($B$10:$B$1009,B234,$C$10:$C$1009,C234,$D$10:$D$1009,D234,$E$10:$E$1009,E234)&gt;1,"MÜKERRER?",IF(P234="","",IF(P234&gt;=$C$5,"İNCELE",IF(P234&lt;=-$C$5,"Düşük",""))))</f>
        <v/>
      </c>
      <c r="R234" s="16">
        <f>IF(AND(P234&lt;&gt;"",N(P234)&gt;=$C$5,COUNTIFS($B$10:B234,B234,$C$10:C234,C234,$D$10:D234,D234,$E$10:E234,E234)=1),(M234-N234)*E234*L234,0)</f>
        <v/>
      </c>
      <c r="S234" s="19">
        <f>IF(D234="",0,N(E234)*L234)</f>
        <v/>
      </c>
    </row>
    <row r="235">
      <c r="A235" s="11" t="n"/>
      <c r="B235" s="12" t="n"/>
      <c r="C235" s="12" t="n"/>
      <c r="D235" s="12" t="n"/>
      <c r="E235" s="13" t="n"/>
      <c r="F235" s="12" t="n"/>
      <c r="G235" s="14" t="n"/>
      <c r="H235" s="15" t="n"/>
      <c r="I235" s="16">
        <f>IF(G235="","",G235*(1-N(H235)))</f>
        <v/>
      </c>
      <c r="J235" s="16">
        <f>IF(I235="","",E235*I235)</f>
        <v/>
      </c>
      <c r="K235">
        <f>IF(D235="","",IFERROR(VLOOKUP(D235,'Ürün Eşleştirme'!$A$6:$D$505,2,FALSE),D235))</f>
        <v/>
      </c>
      <c r="L235" s="17">
        <f>IF(D235="","",IFERROR(VLOOKUP(D235,'Ürün Eşleştirme'!$A$6:$D$505,4,FALSE),1))</f>
        <v/>
      </c>
      <c r="M235" s="16">
        <f>IF(I235="","",I235/L235)</f>
        <v/>
      </c>
      <c r="N235" s="16">
        <f>IF(M235="","",IFERROR(AVERAGEIFS($M$10:$M$1009,$K$10:$K$1009,K235,$A$10:$A$1009,"&lt;"&amp;A235,$A$10:$A$1009,"&gt;="&amp;(A235-$C$6)),""))</f>
        <v/>
      </c>
      <c r="O235" s="16">
        <f>IF(M235="","",_xlfn.MINIFS($M$10:$M$1009,$K$10:$K$1009,K235,$A$10:$A$1009,"&lt;="&amp;A235,$A$10:$A$1009,"&gt;="&amp;(A235-$C$6)))</f>
        <v/>
      </c>
      <c r="P235" s="18">
        <f>IF(OR(N235="",N235=0),"",M235/N235-1)</f>
        <v/>
      </c>
      <c r="Q235">
        <f>IF(D235="","",IF(COUNTIFS($B$10:$B$1009,B235,$C$10:$C$1009,C235,$D$10:$D$1009,D235,$E$10:$E$1009,E235)&gt;1,"MÜKERRER?",IF(P235="","",IF(P235&gt;=$C$5,"İNCELE",IF(P235&lt;=-$C$5,"Düşük",""))))</f>
        <v/>
      </c>
      <c r="R235" s="16">
        <f>IF(AND(P235&lt;&gt;"",N(P235)&gt;=$C$5,COUNTIFS($B$10:B235,B235,$C$10:C235,C235,$D$10:D235,D235,$E$10:E235,E235)=1),(M235-N235)*E235*L235,0)</f>
        <v/>
      </c>
      <c r="S235" s="19">
        <f>IF(D235="",0,N(E235)*L235)</f>
        <v/>
      </c>
    </row>
    <row r="236">
      <c r="A236" s="11" t="n"/>
      <c r="B236" s="12" t="n"/>
      <c r="C236" s="12" t="n"/>
      <c r="D236" s="12" t="n"/>
      <c r="E236" s="13" t="n"/>
      <c r="F236" s="12" t="n"/>
      <c r="G236" s="14" t="n"/>
      <c r="H236" s="15" t="n"/>
      <c r="I236" s="16">
        <f>IF(G236="","",G236*(1-N(H236)))</f>
        <v/>
      </c>
      <c r="J236" s="16">
        <f>IF(I236="","",E236*I236)</f>
        <v/>
      </c>
      <c r="K236">
        <f>IF(D236="","",IFERROR(VLOOKUP(D236,'Ürün Eşleştirme'!$A$6:$D$505,2,FALSE),D236))</f>
        <v/>
      </c>
      <c r="L236" s="17">
        <f>IF(D236="","",IFERROR(VLOOKUP(D236,'Ürün Eşleştirme'!$A$6:$D$505,4,FALSE),1))</f>
        <v/>
      </c>
      <c r="M236" s="16">
        <f>IF(I236="","",I236/L236)</f>
        <v/>
      </c>
      <c r="N236" s="16">
        <f>IF(M236="","",IFERROR(AVERAGEIFS($M$10:$M$1009,$K$10:$K$1009,K236,$A$10:$A$1009,"&lt;"&amp;A236,$A$10:$A$1009,"&gt;="&amp;(A236-$C$6)),""))</f>
        <v/>
      </c>
      <c r="O236" s="16">
        <f>IF(M236="","",_xlfn.MINIFS($M$10:$M$1009,$K$10:$K$1009,K236,$A$10:$A$1009,"&lt;="&amp;A236,$A$10:$A$1009,"&gt;="&amp;(A236-$C$6)))</f>
        <v/>
      </c>
      <c r="P236" s="18">
        <f>IF(OR(N236="",N236=0),"",M236/N236-1)</f>
        <v/>
      </c>
      <c r="Q236">
        <f>IF(D236="","",IF(COUNTIFS($B$10:$B$1009,B236,$C$10:$C$1009,C236,$D$10:$D$1009,D236,$E$10:$E$1009,E236)&gt;1,"MÜKERRER?",IF(P236="","",IF(P236&gt;=$C$5,"İNCELE",IF(P236&lt;=-$C$5,"Düşük",""))))</f>
        <v/>
      </c>
      <c r="R236" s="16">
        <f>IF(AND(P236&lt;&gt;"",N(P236)&gt;=$C$5,COUNTIFS($B$10:B236,B236,$C$10:C236,C236,$D$10:D236,D236,$E$10:E236,E236)=1),(M236-N236)*E236*L236,0)</f>
        <v/>
      </c>
      <c r="S236" s="19">
        <f>IF(D236="",0,N(E236)*L236)</f>
        <v/>
      </c>
    </row>
    <row r="237">
      <c r="A237" s="11" t="n"/>
      <c r="B237" s="12" t="n"/>
      <c r="C237" s="12" t="n"/>
      <c r="D237" s="12" t="n"/>
      <c r="E237" s="13" t="n"/>
      <c r="F237" s="12" t="n"/>
      <c r="G237" s="14" t="n"/>
      <c r="H237" s="15" t="n"/>
      <c r="I237" s="16">
        <f>IF(G237="","",G237*(1-N(H237)))</f>
        <v/>
      </c>
      <c r="J237" s="16">
        <f>IF(I237="","",E237*I237)</f>
        <v/>
      </c>
      <c r="K237">
        <f>IF(D237="","",IFERROR(VLOOKUP(D237,'Ürün Eşleştirme'!$A$6:$D$505,2,FALSE),D237))</f>
        <v/>
      </c>
      <c r="L237" s="17">
        <f>IF(D237="","",IFERROR(VLOOKUP(D237,'Ürün Eşleştirme'!$A$6:$D$505,4,FALSE),1))</f>
        <v/>
      </c>
      <c r="M237" s="16">
        <f>IF(I237="","",I237/L237)</f>
        <v/>
      </c>
      <c r="N237" s="16">
        <f>IF(M237="","",IFERROR(AVERAGEIFS($M$10:$M$1009,$K$10:$K$1009,K237,$A$10:$A$1009,"&lt;"&amp;A237,$A$10:$A$1009,"&gt;="&amp;(A237-$C$6)),""))</f>
        <v/>
      </c>
      <c r="O237" s="16">
        <f>IF(M237="","",_xlfn.MINIFS($M$10:$M$1009,$K$10:$K$1009,K237,$A$10:$A$1009,"&lt;="&amp;A237,$A$10:$A$1009,"&gt;="&amp;(A237-$C$6)))</f>
        <v/>
      </c>
      <c r="P237" s="18">
        <f>IF(OR(N237="",N237=0),"",M237/N237-1)</f>
        <v/>
      </c>
      <c r="Q237">
        <f>IF(D237="","",IF(COUNTIFS($B$10:$B$1009,B237,$C$10:$C$1009,C237,$D$10:$D$1009,D237,$E$10:$E$1009,E237)&gt;1,"MÜKERRER?",IF(P237="","",IF(P237&gt;=$C$5,"İNCELE",IF(P237&lt;=-$C$5,"Düşük",""))))</f>
        <v/>
      </c>
      <c r="R237" s="16">
        <f>IF(AND(P237&lt;&gt;"",N(P237)&gt;=$C$5,COUNTIFS($B$10:B237,B237,$C$10:C237,C237,$D$10:D237,D237,$E$10:E237,E237)=1),(M237-N237)*E237*L237,0)</f>
        <v/>
      </c>
      <c r="S237" s="19">
        <f>IF(D237="",0,N(E237)*L237)</f>
        <v/>
      </c>
    </row>
    <row r="238">
      <c r="A238" s="11" t="n"/>
      <c r="B238" s="12" t="n"/>
      <c r="C238" s="12" t="n"/>
      <c r="D238" s="12" t="n"/>
      <c r="E238" s="13" t="n"/>
      <c r="F238" s="12" t="n"/>
      <c r="G238" s="14" t="n"/>
      <c r="H238" s="15" t="n"/>
      <c r="I238" s="16">
        <f>IF(G238="","",G238*(1-N(H238)))</f>
        <v/>
      </c>
      <c r="J238" s="16">
        <f>IF(I238="","",E238*I238)</f>
        <v/>
      </c>
      <c r="K238">
        <f>IF(D238="","",IFERROR(VLOOKUP(D238,'Ürün Eşleştirme'!$A$6:$D$505,2,FALSE),D238))</f>
        <v/>
      </c>
      <c r="L238" s="17">
        <f>IF(D238="","",IFERROR(VLOOKUP(D238,'Ürün Eşleştirme'!$A$6:$D$505,4,FALSE),1))</f>
        <v/>
      </c>
      <c r="M238" s="16">
        <f>IF(I238="","",I238/L238)</f>
        <v/>
      </c>
      <c r="N238" s="16">
        <f>IF(M238="","",IFERROR(AVERAGEIFS($M$10:$M$1009,$K$10:$K$1009,K238,$A$10:$A$1009,"&lt;"&amp;A238,$A$10:$A$1009,"&gt;="&amp;(A238-$C$6)),""))</f>
        <v/>
      </c>
      <c r="O238" s="16">
        <f>IF(M238="","",_xlfn.MINIFS($M$10:$M$1009,$K$10:$K$1009,K238,$A$10:$A$1009,"&lt;="&amp;A238,$A$10:$A$1009,"&gt;="&amp;(A238-$C$6)))</f>
        <v/>
      </c>
      <c r="P238" s="18">
        <f>IF(OR(N238="",N238=0),"",M238/N238-1)</f>
        <v/>
      </c>
      <c r="Q238">
        <f>IF(D238="","",IF(COUNTIFS($B$10:$B$1009,B238,$C$10:$C$1009,C238,$D$10:$D$1009,D238,$E$10:$E$1009,E238)&gt;1,"MÜKERRER?",IF(P238="","",IF(P238&gt;=$C$5,"İNCELE",IF(P238&lt;=-$C$5,"Düşük",""))))</f>
        <v/>
      </c>
      <c r="R238" s="16">
        <f>IF(AND(P238&lt;&gt;"",N(P238)&gt;=$C$5,COUNTIFS($B$10:B238,B238,$C$10:C238,C238,$D$10:D238,D238,$E$10:E238,E238)=1),(M238-N238)*E238*L238,0)</f>
        <v/>
      </c>
      <c r="S238" s="19">
        <f>IF(D238="",0,N(E238)*L238)</f>
        <v/>
      </c>
    </row>
    <row r="239">
      <c r="A239" s="11" t="n"/>
      <c r="B239" s="12" t="n"/>
      <c r="C239" s="12" t="n"/>
      <c r="D239" s="12" t="n"/>
      <c r="E239" s="13" t="n"/>
      <c r="F239" s="12" t="n"/>
      <c r="G239" s="14" t="n"/>
      <c r="H239" s="15" t="n"/>
      <c r="I239" s="16">
        <f>IF(G239="","",G239*(1-N(H239)))</f>
        <v/>
      </c>
      <c r="J239" s="16">
        <f>IF(I239="","",E239*I239)</f>
        <v/>
      </c>
      <c r="K239">
        <f>IF(D239="","",IFERROR(VLOOKUP(D239,'Ürün Eşleştirme'!$A$6:$D$505,2,FALSE),D239))</f>
        <v/>
      </c>
      <c r="L239" s="17">
        <f>IF(D239="","",IFERROR(VLOOKUP(D239,'Ürün Eşleştirme'!$A$6:$D$505,4,FALSE),1))</f>
        <v/>
      </c>
      <c r="M239" s="16">
        <f>IF(I239="","",I239/L239)</f>
        <v/>
      </c>
      <c r="N239" s="16">
        <f>IF(M239="","",IFERROR(AVERAGEIFS($M$10:$M$1009,$K$10:$K$1009,K239,$A$10:$A$1009,"&lt;"&amp;A239,$A$10:$A$1009,"&gt;="&amp;(A239-$C$6)),""))</f>
        <v/>
      </c>
      <c r="O239" s="16">
        <f>IF(M239="","",_xlfn.MINIFS($M$10:$M$1009,$K$10:$K$1009,K239,$A$10:$A$1009,"&lt;="&amp;A239,$A$10:$A$1009,"&gt;="&amp;(A239-$C$6)))</f>
        <v/>
      </c>
      <c r="P239" s="18">
        <f>IF(OR(N239="",N239=0),"",M239/N239-1)</f>
        <v/>
      </c>
      <c r="Q239">
        <f>IF(D239="","",IF(COUNTIFS($B$10:$B$1009,B239,$C$10:$C$1009,C239,$D$10:$D$1009,D239,$E$10:$E$1009,E239)&gt;1,"MÜKERRER?",IF(P239="","",IF(P239&gt;=$C$5,"İNCELE",IF(P239&lt;=-$C$5,"Düşük",""))))</f>
        <v/>
      </c>
      <c r="R239" s="16">
        <f>IF(AND(P239&lt;&gt;"",N(P239)&gt;=$C$5,COUNTIFS($B$10:B239,B239,$C$10:C239,C239,$D$10:D239,D239,$E$10:E239,E239)=1),(M239-N239)*E239*L239,0)</f>
        <v/>
      </c>
      <c r="S239" s="19">
        <f>IF(D239="",0,N(E239)*L239)</f>
        <v/>
      </c>
    </row>
    <row r="240">
      <c r="A240" s="11" t="n"/>
      <c r="B240" s="12" t="n"/>
      <c r="C240" s="12" t="n"/>
      <c r="D240" s="12" t="n"/>
      <c r="E240" s="13" t="n"/>
      <c r="F240" s="12" t="n"/>
      <c r="G240" s="14" t="n"/>
      <c r="H240" s="15" t="n"/>
      <c r="I240" s="16">
        <f>IF(G240="","",G240*(1-N(H240)))</f>
        <v/>
      </c>
      <c r="J240" s="16">
        <f>IF(I240="","",E240*I240)</f>
        <v/>
      </c>
      <c r="K240">
        <f>IF(D240="","",IFERROR(VLOOKUP(D240,'Ürün Eşleştirme'!$A$6:$D$505,2,FALSE),D240))</f>
        <v/>
      </c>
      <c r="L240" s="17">
        <f>IF(D240="","",IFERROR(VLOOKUP(D240,'Ürün Eşleştirme'!$A$6:$D$505,4,FALSE),1))</f>
        <v/>
      </c>
      <c r="M240" s="16">
        <f>IF(I240="","",I240/L240)</f>
        <v/>
      </c>
      <c r="N240" s="16">
        <f>IF(M240="","",IFERROR(AVERAGEIFS($M$10:$M$1009,$K$10:$K$1009,K240,$A$10:$A$1009,"&lt;"&amp;A240,$A$10:$A$1009,"&gt;="&amp;(A240-$C$6)),""))</f>
        <v/>
      </c>
      <c r="O240" s="16">
        <f>IF(M240="","",_xlfn.MINIFS($M$10:$M$1009,$K$10:$K$1009,K240,$A$10:$A$1009,"&lt;="&amp;A240,$A$10:$A$1009,"&gt;="&amp;(A240-$C$6)))</f>
        <v/>
      </c>
      <c r="P240" s="18">
        <f>IF(OR(N240="",N240=0),"",M240/N240-1)</f>
        <v/>
      </c>
      <c r="Q240">
        <f>IF(D240="","",IF(COUNTIFS($B$10:$B$1009,B240,$C$10:$C$1009,C240,$D$10:$D$1009,D240,$E$10:$E$1009,E240)&gt;1,"MÜKERRER?",IF(P240="","",IF(P240&gt;=$C$5,"İNCELE",IF(P240&lt;=-$C$5,"Düşük",""))))</f>
        <v/>
      </c>
      <c r="R240" s="16">
        <f>IF(AND(P240&lt;&gt;"",N(P240)&gt;=$C$5,COUNTIFS($B$10:B240,B240,$C$10:C240,C240,$D$10:D240,D240,$E$10:E240,E240)=1),(M240-N240)*E240*L240,0)</f>
        <v/>
      </c>
      <c r="S240" s="19">
        <f>IF(D240="",0,N(E240)*L240)</f>
        <v/>
      </c>
    </row>
    <row r="241">
      <c r="A241" s="11" t="n"/>
      <c r="B241" s="12" t="n"/>
      <c r="C241" s="12" t="n"/>
      <c r="D241" s="12" t="n"/>
      <c r="E241" s="13" t="n"/>
      <c r="F241" s="12" t="n"/>
      <c r="G241" s="14" t="n"/>
      <c r="H241" s="15" t="n"/>
      <c r="I241" s="16">
        <f>IF(G241="","",G241*(1-N(H241)))</f>
        <v/>
      </c>
      <c r="J241" s="16">
        <f>IF(I241="","",E241*I241)</f>
        <v/>
      </c>
      <c r="K241">
        <f>IF(D241="","",IFERROR(VLOOKUP(D241,'Ürün Eşleştirme'!$A$6:$D$505,2,FALSE),D241))</f>
        <v/>
      </c>
      <c r="L241" s="17">
        <f>IF(D241="","",IFERROR(VLOOKUP(D241,'Ürün Eşleştirme'!$A$6:$D$505,4,FALSE),1))</f>
        <v/>
      </c>
      <c r="M241" s="16">
        <f>IF(I241="","",I241/L241)</f>
        <v/>
      </c>
      <c r="N241" s="16">
        <f>IF(M241="","",IFERROR(AVERAGEIFS($M$10:$M$1009,$K$10:$K$1009,K241,$A$10:$A$1009,"&lt;"&amp;A241,$A$10:$A$1009,"&gt;="&amp;(A241-$C$6)),""))</f>
        <v/>
      </c>
      <c r="O241" s="16">
        <f>IF(M241="","",_xlfn.MINIFS($M$10:$M$1009,$K$10:$K$1009,K241,$A$10:$A$1009,"&lt;="&amp;A241,$A$10:$A$1009,"&gt;="&amp;(A241-$C$6)))</f>
        <v/>
      </c>
      <c r="P241" s="18">
        <f>IF(OR(N241="",N241=0),"",M241/N241-1)</f>
        <v/>
      </c>
      <c r="Q241">
        <f>IF(D241="","",IF(COUNTIFS($B$10:$B$1009,B241,$C$10:$C$1009,C241,$D$10:$D$1009,D241,$E$10:$E$1009,E241)&gt;1,"MÜKERRER?",IF(P241="","",IF(P241&gt;=$C$5,"İNCELE",IF(P241&lt;=-$C$5,"Düşük",""))))</f>
        <v/>
      </c>
      <c r="R241" s="16">
        <f>IF(AND(P241&lt;&gt;"",N(P241)&gt;=$C$5,COUNTIFS($B$10:B241,B241,$C$10:C241,C241,$D$10:D241,D241,$E$10:E241,E241)=1),(M241-N241)*E241*L241,0)</f>
        <v/>
      </c>
      <c r="S241" s="19">
        <f>IF(D241="",0,N(E241)*L241)</f>
        <v/>
      </c>
    </row>
    <row r="242">
      <c r="A242" s="11" t="n"/>
      <c r="B242" s="12" t="n"/>
      <c r="C242" s="12" t="n"/>
      <c r="D242" s="12" t="n"/>
      <c r="E242" s="13" t="n"/>
      <c r="F242" s="12" t="n"/>
      <c r="G242" s="14" t="n"/>
      <c r="H242" s="15" t="n"/>
      <c r="I242" s="16">
        <f>IF(G242="","",G242*(1-N(H242)))</f>
        <v/>
      </c>
      <c r="J242" s="16">
        <f>IF(I242="","",E242*I242)</f>
        <v/>
      </c>
      <c r="K242">
        <f>IF(D242="","",IFERROR(VLOOKUP(D242,'Ürün Eşleştirme'!$A$6:$D$505,2,FALSE),D242))</f>
        <v/>
      </c>
      <c r="L242" s="17">
        <f>IF(D242="","",IFERROR(VLOOKUP(D242,'Ürün Eşleştirme'!$A$6:$D$505,4,FALSE),1))</f>
        <v/>
      </c>
      <c r="M242" s="16">
        <f>IF(I242="","",I242/L242)</f>
        <v/>
      </c>
      <c r="N242" s="16">
        <f>IF(M242="","",IFERROR(AVERAGEIFS($M$10:$M$1009,$K$10:$K$1009,K242,$A$10:$A$1009,"&lt;"&amp;A242,$A$10:$A$1009,"&gt;="&amp;(A242-$C$6)),""))</f>
        <v/>
      </c>
      <c r="O242" s="16">
        <f>IF(M242="","",_xlfn.MINIFS($M$10:$M$1009,$K$10:$K$1009,K242,$A$10:$A$1009,"&lt;="&amp;A242,$A$10:$A$1009,"&gt;="&amp;(A242-$C$6)))</f>
        <v/>
      </c>
      <c r="P242" s="18">
        <f>IF(OR(N242="",N242=0),"",M242/N242-1)</f>
        <v/>
      </c>
      <c r="Q242">
        <f>IF(D242="","",IF(COUNTIFS($B$10:$B$1009,B242,$C$10:$C$1009,C242,$D$10:$D$1009,D242,$E$10:$E$1009,E242)&gt;1,"MÜKERRER?",IF(P242="","",IF(P242&gt;=$C$5,"İNCELE",IF(P242&lt;=-$C$5,"Düşük",""))))</f>
        <v/>
      </c>
      <c r="R242" s="16">
        <f>IF(AND(P242&lt;&gt;"",N(P242)&gt;=$C$5,COUNTIFS($B$10:B242,B242,$C$10:C242,C242,$D$10:D242,D242,$E$10:E242,E242)=1),(M242-N242)*E242*L242,0)</f>
        <v/>
      </c>
      <c r="S242" s="19">
        <f>IF(D242="",0,N(E242)*L242)</f>
        <v/>
      </c>
    </row>
    <row r="243">
      <c r="A243" s="11" t="n"/>
      <c r="B243" s="12" t="n"/>
      <c r="C243" s="12" t="n"/>
      <c r="D243" s="12" t="n"/>
      <c r="E243" s="13" t="n"/>
      <c r="F243" s="12" t="n"/>
      <c r="G243" s="14" t="n"/>
      <c r="H243" s="15" t="n"/>
      <c r="I243" s="16">
        <f>IF(G243="","",G243*(1-N(H243)))</f>
        <v/>
      </c>
      <c r="J243" s="16">
        <f>IF(I243="","",E243*I243)</f>
        <v/>
      </c>
      <c r="K243">
        <f>IF(D243="","",IFERROR(VLOOKUP(D243,'Ürün Eşleştirme'!$A$6:$D$505,2,FALSE),D243))</f>
        <v/>
      </c>
      <c r="L243" s="17">
        <f>IF(D243="","",IFERROR(VLOOKUP(D243,'Ürün Eşleştirme'!$A$6:$D$505,4,FALSE),1))</f>
        <v/>
      </c>
      <c r="M243" s="16">
        <f>IF(I243="","",I243/L243)</f>
        <v/>
      </c>
      <c r="N243" s="16">
        <f>IF(M243="","",IFERROR(AVERAGEIFS($M$10:$M$1009,$K$10:$K$1009,K243,$A$10:$A$1009,"&lt;"&amp;A243,$A$10:$A$1009,"&gt;="&amp;(A243-$C$6)),""))</f>
        <v/>
      </c>
      <c r="O243" s="16">
        <f>IF(M243="","",_xlfn.MINIFS($M$10:$M$1009,$K$10:$K$1009,K243,$A$10:$A$1009,"&lt;="&amp;A243,$A$10:$A$1009,"&gt;="&amp;(A243-$C$6)))</f>
        <v/>
      </c>
      <c r="P243" s="18">
        <f>IF(OR(N243="",N243=0),"",M243/N243-1)</f>
        <v/>
      </c>
      <c r="Q243">
        <f>IF(D243="","",IF(COUNTIFS($B$10:$B$1009,B243,$C$10:$C$1009,C243,$D$10:$D$1009,D243,$E$10:$E$1009,E243)&gt;1,"MÜKERRER?",IF(P243="","",IF(P243&gt;=$C$5,"İNCELE",IF(P243&lt;=-$C$5,"Düşük",""))))</f>
        <v/>
      </c>
      <c r="R243" s="16">
        <f>IF(AND(P243&lt;&gt;"",N(P243)&gt;=$C$5,COUNTIFS($B$10:B243,B243,$C$10:C243,C243,$D$10:D243,D243,$E$10:E243,E243)=1),(M243-N243)*E243*L243,0)</f>
        <v/>
      </c>
      <c r="S243" s="19">
        <f>IF(D243="",0,N(E243)*L243)</f>
        <v/>
      </c>
    </row>
    <row r="244">
      <c r="A244" s="11" t="n"/>
      <c r="B244" s="12" t="n"/>
      <c r="C244" s="12" t="n"/>
      <c r="D244" s="12" t="n"/>
      <c r="E244" s="13" t="n"/>
      <c r="F244" s="12" t="n"/>
      <c r="G244" s="14" t="n"/>
      <c r="H244" s="15" t="n"/>
      <c r="I244" s="16">
        <f>IF(G244="","",G244*(1-N(H244)))</f>
        <v/>
      </c>
      <c r="J244" s="16">
        <f>IF(I244="","",E244*I244)</f>
        <v/>
      </c>
      <c r="K244">
        <f>IF(D244="","",IFERROR(VLOOKUP(D244,'Ürün Eşleştirme'!$A$6:$D$505,2,FALSE),D244))</f>
        <v/>
      </c>
      <c r="L244" s="17">
        <f>IF(D244="","",IFERROR(VLOOKUP(D244,'Ürün Eşleştirme'!$A$6:$D$505,4,FALSE),1))</f>
        <v/>
      </c>
      <c r="M244" s="16">
        <f>IF(I244="","",I244/L244)</f>
        <v/>
      </c>
      <c r="N244" s="16">
        <f>IF(M244="","",IFERROR(AVERAGEIFS($M$10:$M$1009,$K$10:$K$1009,K244,$A$10:$A$1009,"&lt;"&amp;A244,$A$10:$A$1009,"&gt;="&amp;(A244-$C$6)),""))</f>
        <v/>
      </c>
      <c r="O244" s="16">
        <f>IF(M244="","",_xlfn.MINIFS($M$10:$M$1009,$K$10:$K$1009,K244,$A$10:$A$1009,"&lt;="&amp;A244,$A$10:$A$1009,"&gt;="&amp;(A244-$C$6)))</f>
        <v/>
      </c>
      <c r="P244" s="18">
        <f>IF(OR(N244="",N244=0),"",M244/N244-1)</f>
        <v/>
      </c>
      <c r="Q244">
        <f>IF(D244="","",IF(COUNTIFS($B$10:$B$1009,B244,$C$10:$C$1009,C244,$D$10:$D$1009,D244,$E$10:$E$1009,E244)&gt;1,"MÜKERRER?",IF(P244="","",IF(P244&gt;=$C$5,"İNCELE",IF(P244&lt;=-$C$5,"Düşük",""))))</f>
        <v/>
      </c>
      <c r="R244" s="16">
        <f>IF(AND(P244&lt;&gt;"",N(P244)&gt;=$C$5,COUNTIFS($B$10:B244,B244,$C$10:C244,C244,$D$10:D244,D244,$E$10:E244,E244)=1),(M244-N244)*E244*L244,0)</f>
        <v/>
      </c>
      <c r="S244" s="19">
        <f>IF(D244="",0,N(E244)*L244)</f>
        <v/>
      </c>
    </row>
    <row r="245">
      <c r="A245" s="11" t="n"/>
      <c r="B245" s="12" t="n"/>
      <c r="C245" s="12" t="n"/>
      <c r="D245" s="12" t="n"/>
      <c r="E245" s="13" t="n"/>
      <c r="F245" s="12" t="n"/>
      <c r="G245" s="14" t="n"/>
      <c r="H245" s="15" t="n"/>
      <c r="I245" s="16">
        <f>IF(G245="","",G245*(1-N(H245)))</f>
        <v/>
      </c>
      <c r="J245" s="16">
        <f>IF(I245="","",E245*I245)</f>
        <v/>
      </c>
      <c r="K245">
        <f>IF(D245="","",IFERROR(VLOOKUP(D245,'Ürün Eşleştirme'!$A$6:$D$505,2,FALSE),D245))</f>
        <v/>
      </c>
      <c r="L245" s="17">
        <f>IF(D245="","",IFERROR(VLOOKUP(D245,'Ürün Eşleştirme'!$A$6:$D$505,4,FALSE),1))</f>
        <v/>
      </c>
      <c r="M245" s="16">
        <f>IF(I245="","",I245/L245)</f>
        <v/>
      </c>
      <c r="N245" s="16">
        <f>IF(M245="","",IFERROR(AVERAGEIFS($M$10:$M$1009,$K$10:$K$1009,K245,$A$10:$A$1009,"&lt;"&amp;A245,$A$10:$A$1009,"&gt;="&amp;(A245-$C$6)),""))</f>
        <v/>
      </c>
      <c r="O245" s="16">
        <f>IF(M245="","",_xlfn.MINIFS($M$10:$M$1009,$K$10:$K$1009,K245,$A$10:$A$1009,"&lt;="&amp;A245,$A$10:$A$1009,"&gt;="&amp;(A245-$C$6)))</f>
        <v/>
      </c>
      <c r="P245" s="18">
        <f>IF(OR(N245="",N245=0),"",M245/N245-1)</f>
        <v/>
      </c>
      <c r="Q245">
        <f>IF(D245="","",IF(COUNTIFS($B$10:$B$1009,B245,$C$10:$C$1009,C245,$D$10:$D$1009,D245,$E$10:$E$1009,E245)&gt;1,"MÜKERRER?",IF(P245="","",IF(P245&gt;=$C$5,"İNCELE",IF(P245&lt;=-$C$5,"Düşük",""))))</f>
        <v/>
      </c>
      <c r="R245" s="16">
        <f>IF(AND(P245&lt;&gt;"",N(P245)&gt;=$C$5,COUNTIFS($B$10:B245,B245,$C$10:C245,C245,$D$10:D245,D245,$E$10:E245,E245)=1),(M245-N245)*E245*L245,0)</f>
        <v/>
      </c>
      <c r="S245" s="19">
        <f>IF(D245="",0,N(E245)*L245)</f>
        <v/>
      </c>
    </row>
    <row r="246">
      <c r="A246" s="11" t="n"/>
      <c r="B246" s="12" t="n"/>
      <c r="C246" s="12" t="n"/>
      <c r="D246" s="12" t="n"/>
      <c r="E246" s="13" t="n"/>
      <c r="F246" s="12" t="n"/>
      <c r="G246" s="14" t="n"/>
      <c r="H246" s="15" t="n"/>
      <c r="I246" s="16">
        <f>IF(G246="","",G246*(1-N(H246)))</f>
        <v/>
      </c>
      <c r="J246" s="16">
        <f>IF(I246="","",E246*I246)</f>
        <v/>
      </c>
      <c r="K246">
        <f>IF(D246="","",IFERROR(VLOOKUP(D246,'Ürün Eşleştirme'!$A$6:$D$505,2,FALSE),D246))</f>
        <v/>
      </c>
      <c r="L246" s="17">
        <f>IF(D246="","",IFERROR(VLOOKUP(D246,'Ürün Eşleştirme'!$A$6:$D$505,4,FALSE),1))</f>
        <v/>
      </c>
      <c r="M246" s="16">
        <f>IF(I246="","",I246/L246)</f>
        <v/>
      </c>
      <c r="N246" s="16">
        <f>IF(M246="","",IFERROR(AVERAGEIFS($M$10:$M$1009,$K$10:$K$1009,K246,$A$10:$A$1009,"&lt;"&amp;A246,$A$10:$A$1009,"&gt;="&amp;(A246-$C$6)),""))</f>
        <v/>
      </c>
      <c r="O246" s="16">
        <f>IF(M246="","",_xlfn.MINIFS($M$10:$M$1009,$K$10:$K$1009,K246,$A$10:$A$1009,"&lt;="&amp;A246,$A$10:$A$1009,"&gt;="&amp;(A246-$C$6)))</f>
        <v/>
      </c>
      <c r="P246" s="18">
        <f>IF(OR(N246="",N246=0),"",M246/N246-1)</f>
        <v/>
      </c>
      <c r="Q246">
        <f>IF(D246="","",IF(COUNTIFS($B$10:$B$1009,B246,$C$10:$C$1009,C246,$D$10:$D$1009,D246,$E$10:$E$1009,E246)&gt;1,"MÜKERRER?",IF(P246="","",IF(P246&gt;=$C$5,"İNCELE",IF(P246&lt;=-$C$5,"Düşük",""))))</f>
        <v/>
      </c>
      <c r="R246" s="16">
        <f>IF(AND(P246&lt;&gt;"",N(P246)&gt;=$C$5,COUNTIFS($B$10:B246,B246,$C$10:C246,C246,$D$10:D246,D246,$E$10:E246,E246)=1),(M246-N246)*E246*L246,0)</f>
        <v/>
      </c>
      <c r="S246" s="19">
        <f>IF(D246="",0,N(E246)*L246)</f>
        <v/>
      </c>
    </row>
    <row r="247">
      <c r="A247" s="11" t="n"/>
      <c r="B247" s="12" t="n"/>
      <c r="C247" s="12" t="n"/>
      <c r="D247" s="12" t="n"/>
      <c r="E247" s="13" t="n"/>
      <c r="F247" s="12" t="n"/>
      <c r="G247" s="14" t="n"/>
      <c r="H247" s="15" t="n"/>
      <c r="I247" s="16">
        <f>IF(G247="","",G247*(1-N(H247)))</f>
        <v/>
      </c>
      <c r="J247" s="16">
        <f>IF(I247="","",E247*I247)</f>
        <v/>
      </c>
      <c r="K247">
        <f>IF(D247="","",IFERROR(VLOOKUP(D247,'Ürün Eşleştirme'!$A$6:$D$505,2,FALSE),D247))</f>
        <v/>
      </c>
      <c r="L247" s="17">
        <f>IF(D247="","",IFERROR(VLOOKUP(D247,'Ürün Eşleştirme'!$A$6:$D$505,4,FALSE),1))</f>
        <v/>
      </c>
      <c r="M247" s="16">
        <f>IF(I247="","",I247/L247)</f>
        <v/>
      </c>
      <c r="N247" s="16">
        <f>IF(M247="","",IFERROR(AVERAGEIFS($M$10:$M$1009,$K$10:$K$1009,K247,$A$10:$A$1009,"&lt;"&amp;A247,$A$10:$A$1009,"&gt;="&amp;(A247-$C$6)),""))</f>
        <v/>
      </c>
      <c r="O247" s="16">
        <f>IF(M247="","",_xlfn.MINIFS($M$10:$M$1009,$K$10:$K$1009,K247,$A$10:$A$1009,"&lt;="&amp;A247,$A$10:$A$1009,"&gt;="&amp;(A247-$C$6)))</f>
        <v/>
      </c>
      <c r="P247" s="18">
        <f>IF(OR(N247="",N247=0),"",M247/N247-1)</f>
        <v/>
      </c>
      <c r="Q247">
        <f>IF(D247="","",IF(COUNTIFS($B$10:$B$1009,B247,$C$10:$C$1009,C247,$D$10:$D$1009,D247,$E$10:$E$1009,E247)&gt;1,"MÜKERRER?",IF(P247="","",IF(P247&gt;=$C$5,"İNCELE",IF(P247&lt;=-$C$5,"Düşük",""))))</f>
        <v/>
      </c>
      <c r="R247" s="16">
        <f>IF(AND(P247&lt;&gt;"",N(P247)&gt;=$C$5,COUNTIFS($B$10:B247,B247,$C$10:C247,C247,$D$10:D247,D247,$E$10:E247,E247)=1),(M247-N247)*E247*L247,0)</f>
        <v/>
      </c>
      <c r="S247" s="19">
        <f>IF(D247="",0,N(E247)*L247)</f>
        <v/>
      </c>
    </row>
    <row r="248">
      <c r="A248" s="11" t="n"/>
      <c r="B248" s="12" t="n"/>
      <c r="C248" s="12" t="n"/>
      <c r="D248" s="12" t="n"/>
      <c r="E248" s="13" t="n"/>
      <c r="F248" s="12" t="n"/>
      <c r="G248" s="14" t="n"/>
      <c r="H248" s="15" t="n"/>
      <c r="I248" s="16">
        <f>IF(G248="","",G248*(1-N(H248)))</f>
        <v/>
      </c>
      <c r="J248" s="16">
        <f>IF(I248="","",E248*I248)</f>
        <v/>
      </c>
      <c r="K248">
        <f>IF(D248="","",IFERROR(VLOOKUP(D248,'Ürün Eşleştirme'!$A$6:$D$505,2,FALSE),D248))</f>
        <v/>
      </c>
      <c r="L248" s="17">
        <f>IF(D248="","",IFERROR(VLOOKUP(D248,'Ürün Eşleştirme'!$A$6:$D$505,4,FALSE),1))</f>
        <v/>
      </c>
      <c r="M248" s="16">
        <f>IF(I248="","",I248/L248)</f>
        <v/>
      </c>
      <c r="N248" s="16">
        <f>IF(M248="","",IFERROR(AVERAGEIFS($M$10:$M$1009,$K$10:$K$1009,K248,$A$10:$A$1009,"&lt;"&amp;A248,$A$10:$A$1009,"&gt;="&amp;(A248-$C$6)),""))</f>
        <v/>
      </c>
      <c r="O248" s="16">
        <f>IF(M248="","",_xlfn.MINIFS($M$10:$M$1009,$K$10:$K$1009,K248,$A$10:$A$1009,"&lt;="&amp;A248,$A$10:$A$1009,"&gt;="&amp;(A248-$C$6)))</f>
        <v/>
      </c>
      <c r="P248" s="18">
        <f>IF(OR(N248="",N248=0),"",M248/N248-1)</f>
        <v/>
      </c>
      <c r="Q248">
        <f>IF(D248="","",IF(COUNTIFS($B$10:$B$1009,B248,$C$10:$C$1009,C248,$D$10:$D$1009,D248,$E$10:$E$1009,E248)&gt;1,"MÜKERRER?",IF(P248="","",IF(P248&gt;=$C$5,"İNCELE",IF(P248&lt;=-$C$5,"Düşük",""))))</f>
        <v/>
      </c>
      <c r="R248" s="16">
        <f>IF(AND(P248&lt;&gt;"",N(P248)&gt;=$C$5,COUNTIFS($B$10:B248,B248,$C$10:C248,C248,$D$10:D248,D248,$E$10:E248,E248)=1),(M248-N248)*E248*L248,0)</f>
        <v/>
      </c>
      <c r="S248" s="19">
        <f>IF(D248="",0,N(E248)*L248)</f>
        <v/>
      </c>
    </row>
    <row r="249">
      <c r="A249" s="11" t="n"/>
      <c r="B249" s="12" t="n"/>
      <c r="C249" s="12" t="n"/>
      <c r="D249" s="12" t="n"/>
      <c r="E249" s="13" t="n"/>
      <c r="F249" s="12" t="n"/>
      <c r="G249" s="14" t="n"/>
      <c r="H249" s="15" t="n"/>
      <c r="I249" s="16">
        <f>IF(G249="","",G249*(1-N(H249)))</f>
        <v/>
      </c>
      <c r="J249" s="16">
        <f>IF(I249="","",E249*I249)</f>
        <v/>
      </c>
      <c r="K249">
        <f>IF(D249="","",IFERROR(VLOOKUP(D249,'Ürün Eşleştirme'!$A$6:$D$505,2,FALSE),D249))</f>
        <v/>
      </c>
      <c r="L249" s="17">
        <f>IF(D249="","",IFERROR(VLOOKUP(D249,'Ürün Eşleştirme'!$A$6:$D$505,4,FALSE),1))</f>
        <v/>
      </c>
      <c r="M249" s="16">
        <f>IF(I249="","",I249/L249)</f>
        <v/>
      </c>
      <c r="N249" s="16">
        <f>IF(M249="","",IFERROR(AVERAGEIFS($M$10:$M$1009,$K$10:$K$1009,K249,$A$10:$A$1009,"&lt;"&amp;A249,$A$10:$A$1009,"&gt;="&amp;(A249-$C$6)),""))</f>
        <v/>
      </c>
      <c r="O249" s="16">
        <f>IF(M249="","",_xlfn.MINIFS($M$10:$M$1009,$K$10:$K$1009,K249,$A$10:$A$1009,"&lt;="&amp;A249,$A$10:$A$1009,"&gt;="&amp;(A249-$C$6)))</f>
        <v/>
      </c>
      <c r="P249" s="18">
        <f>IF(OR(N249="",N249=0),"",M249/N249-1)</f>
        <v/>
      </c>
      <c r="Q249">
        <f>IF(D249="","",IF(COUNTIFS($B$10:$B$1009,B249,$C$10:$C$1009,C249,$D$10:$D$1009,D249,$E$10:$E$1009,E249)&gt;1,"MÜKERRER?",IF(P249="","",IF(P249&gt;=$C$5,"İNCELE",IF(P249&lt;=-$C$5,"Düşük",""))))</f>
        <v/>
      </c>
      <c r="R249" s="16">
        <f>IF(AND(P249&lt;&gt;"",N(P249)&gt;=$C$5,COUNTIFS($B$10:B249,B249,$C$10:C249,C249,$D$10:D249,D249,$E$10:E249,E249)=1),(M249-N249)*E249*L249,0)</f>
        <v/>
      </c>
      <c r="S249" s="19">
        <f>IF(D249="",0,N(E249)*L249)</f>
        <v/>
      </c>
    </row>
    <row r="250">
      <c r="A250" s="11" t="n"/>
      <c r="B250" s="12" t="n"/>
      <c r="C250" s="12" t="n"/>
      <c r="D250" s="12" t="n"/>
      <c r="E250" s="13" t="n"/>
      <c r="F250" s="12" t="n"/>
      <c r="G250" s="14" t="n"/>
      <c r="H250" s="15" t="n"/>
      <c r="I250" s="16">
        <f>IF(G250="","",G250*(1-N(H250)))</f>
        <v/>
      </c>
      <c r="J250" s="16">
        <f>IF(I250="","",E250*I250)</f>
        <v/>
      </c>
      <c r="K250">
        <f>IF(D250="","",IFERROR(VLOOKUP(D250,'Ürün Eşleştirme'!$A$6:$D$505,2,FALSE),D250))</f>
        <v/>
      </c>
      <c r="L250" s="17">
        <f>IF(D250="","",IFERROR(VLOOKUP(D250,'Ürün Eşleştirme'!$A$6:$D$505,4,FALSE),1))</f>
        <v/>
      </c>
      <c r="M250" s="16">
        <f>IF(I250="","",I250/L250)</f>
        <v/>
      </c>
      <c r="N250" s="16">
        <f>IF(M250="","",IFERROR(AVERAGEIFS($M$10:$M$1009,$K$10:$K$1009,K250,$A$10:$A$1009,"&lt;"&amp;A250,$A$10:$A$1009,"&gt;="&amp;(A250-$C$6)),""))</f>
        <v/>
      </c>
      <c r="O250" s="16">
        <f>IF(M250="","",_xlfn.MINIFS($M$10:$M$1009,$K$10:$K$1009,K250,$A$10:$A$1009,"&lt;="&amp;A250,$A$10:$A$1009,"&gt;="&amp;(A250-$C$6)))</f>
        <v/>
      </c>
      <c r="P250" s="18">
        <f>IF(OR(N250="",N250=0),"",M250/N250-1)</f>
        <v/>
      </c>
      <c r="Q250">
        <f>IF(D250="","",IF(COUNTIFS($B$10:$B$1009,B250,$C$10:$C$1009,C250,$D$10:$D$1009,D250,$E$10:$E$1009,E250)&gt;1,"MÜKERRER?",IF(P250="","",IF(P250&gt;=$C$5,"İNCELE",IF(P250&lt;=-$C$5,"Düşük",""))))</f>
        <v/>
      </c>
      <c r="R250" s="16">
        <f>IF(AND(P250&lt;&gt;"",N(P250)&gt;=$C$5,COUNTIFS($B$10:B250,B250,$C$10:C250,C250,$D$10:D250,D250,$E$10:E250,E250)=1),(M250-N250)*E250*L250,0)</f>
        <v/>
      </c>
      <c r="S250" s="19">
        <f>IF(D250="",0,N(E250)*L250)</f>
        <v/>
      </c>
    </row>
    <row r="251">
      <c r="A251" s="11" t="n"/>
      <c r="B251" s="12" t="n"/>
      <c r="C251" s="12" t="n"/>
      <c r="D251" s="12" t="n"/>
      <c r="E251" s="13" t="n"/>
      <c r="F251" s="12" t="n"/>
      <c r="G251" s="14" t="n"/>
      <c r="H251" s="15" t="n"/>
      <c r="I251" s="16">
        <f>IF(G251="","",G251*(1-N(H251)))</f>
        <v/>
      </c>
      <c r="J251" s="16">
        <f>IF(I251="","",E251*I251)</f>
        <v/>
      </c>
      <c r="K251">
        <f>IF(D251="","",IFERROR(VLOOKUP(D251,'Ürün Eşleştirme'!$A$6:$D$505,2,FALSE),D251))</f>
        <v/>
      </c>
      <c r="L251" s="17">
        <f>IF(D251="","",IFERROR(VLOOKUP(D251,'Ürün Eşleştirme'!$A$6:$D$505,4,FALSE),1))</f>
        <v/>
      </c>
      <c r="M251" s="16">
        <f>IF(I251="","",I251/L251)</f>
        <v/>
      </c>
      <c r="N251" s="16">
        <f>IF(M251="","",IFERROR(AVERAGEIFS($M$10:$M$1009,$K$10:$K$1009,K251,$A$10:$A$1009,"&lt;"&amp;A251,$A$10:$A$1009,"&gt;="&amp;(A251-$C$6)),""))</f>
        <v/>
      </c>
      <c r="O251" s="16">
        <f>IF(M251="","",_xlfn.MINIFS($M$10:$M$1009,$K$10:$K$1009,K251,$A$10:$A$1009,"&lt;="&amp;A251,$A$10:$A$1009,"&gt;="&amp;(A251-$C$6)))</f>
        <v/>
      </c>
      <c r="P251" s="18">
        <f>IF(OR(N251="",N251=0),"",M251/N251-1)</f>
        <v/>
      </c>
      <c r="Q251">
        <f>IF(D251="","",IF(COUNTIFS($B$10:$B$1009,B251,$C$10:$C$1009,C251,$D$10:$D$1009,D251,$E$10:$E$1009,E251)&gt;1,"MÜKERRER?",IF(P251="","",IF(P251&gt;=$C$5,"İNCELE",IF(P251&lt;=-$C$5,"Düşük",""))))</f>
        <v/>
      </c>
      <c r="R251" s="16">
        <f>IF(AND(P251&lt;&gt;"",N(P251)&gt;=$C$5,COUNTIFS($B$10:B251,B251,$C$10:C251,C251,$D$10:D251,D251,$E$10:E251,E251)=1),(M251-N251)*E251*L251,0)</f>
        <v/>
      </c>
      <c r="S251" s="19">
        <f>IF(D251="",0,N(E251)*L251)</f>
        <v/>
      </c>
    </row>
    <row r="252">
      <c r="A252" s="11" t="n"/>
      <c r="B252" s="12" t="n"/>
      <c r="C252" s="12" t="n"/>
      <c r="D252" s="12" t="n"/>
      <c r="E252" s="13" t="n"/>
      <c r="F252" s="12" t="n"/>
      <c r="G252" s="14" t="n"/>
      <c r="H252" s="15" t="n"/>
      <c r="I252" s="16">
        <f>IF(G252="","",G252*(1-N(H252)))</f>
        <v/>
      </c>
      <c r="J252" s="16">
        <f>IF(I252="","",E252*I252)</f>
        <v/>
      </c>
      <c r="K252">
        <f>IF(D252="","",IFERROR(VLOOKUP(D252,'Ürün Eşleştirme'!$A$6:$D$505,2,FALSE),D252))</f>
        <v/>
      </c>
      <c r="L252" s="17">
        <f>IF(D252="","",IFERROR(VLOOKUP(D252,'Ürün Eşleştirme'!$A$6:$D$505,4,FALSE),1))</f>
        <v/>
      </c>
      <c r="M252" s="16">
        <f>IF(I252="","",I252/L252)</f>
        <v/>
      </c>
      <c r="N252" s="16">
        <f>IF(M252="","",IFERROR(AVERAGEIFS($M$10:$M$1009,$K$10:$K$1009,K252,$A$10:$A$1009,"&lt;"&amp;A252,$A$10:$A$1009,"&gt;="&amp;(A252-$C$6)),""))</f>
        <v/>
      </c>
      <c r="O252" s="16">
        <f>IF(M252="","",_xlfn.MINIFS($M$10:$M$1009,$K$10:$K$1009,K252,$A$10:$A$1009,"&lt;="&amp;A252,$A$10:$A$1009,"&gt;="&amp;(A252-$C$6)))</f>
        <v/>
      </c>
      <c r="P252" s="18">
        <f>IF(OR(N252="",N252=0),"",M252/N252-1)</f>
        <v/>
      </c>
      <c r="Q252">
        <f>IF(D252="","",IF(COUNTIFS($B$10:$B$1009,B252,$C$10:$C$1009,C252,$D$10:$D$1009,D252,$E$10:$E$1009,E252)&gt;1,"MÜKERRER?",IF(P252="","",IF(P252&gt;=$C$5,"İNCELE",IF(P252&lt;=-$C$5,"Düşük",""))))</f>
        <v/>
      </c>
      <c r="R252" s="16">
        <f>IF(AND(P252&lt;&gt;"",N(P252)&gt;=$C$5,COUNTIFS($B$10:B252,B252,$C$10:C252,C252,$D$10:D252,D252,$E$10:E252,E252)=1),(M252-N252)*E252*L252,0)</f>
        <v/>
      </c>
      <c r="S252" s="19">
        <f>IF(D252="",0,N(E252)*L252)</f>
        <v/>
      </c>
    </row>
    <row r="253">
      <c r="A253" s="11" t="n"/>
      <c r="B253" s="12" t="n"/>
      <c r="C253" s="12" t="n"/>
      <c r="D253" s="12" t="n"/>
      <c r="E253" s="13" t="n"/>
      <c r="F253" s="12" t="n"/>
      <c r="G253" s="14" t="n"/>
      <c r="H253" s="15" t="n"/>
      <c r="I253" s="16">
        <f>IF(G253="","",G253*(1-N(H253)))</f>
        <v/>
      </c>
      <c r="J253" s="16">
        <f>IF(I253="","",E253*I253)</f>
        <v/>
      </c>
      <c r="K253">
        <f>IF(D253="","",IFERROR(VLOOKUP(D253,'Ürün Eşleştirme'!$A$6:$D$505,2,FALSE),D253))</f>
        <v/>
      </c>
      <c r="L253" s="17">
        <f>IF(D253="","",IFERROR(VLOOKUP(D253,'Ürün Eşleştirme'!$A$6:$D$505,4,FALSE),1))</f>
        <v/>
      </c>
      <c r="M253" s="16">
        <f>IF(I253="","",I253/L253)</f>
        <v/>
      </c>
      <c r="N253" s="16">
        <f>IF(M253="","",IFERROR(AVERAGEIFS($M$10:$M$1009,$K$10:$K$1009,K253,$A$10:$A$1009,"&lt;"&amp;A253,$A$10:$A$1009,"&gt;="&amp;(A253-$C$6)),""))</f>
        <v/>
      </c>
      <c r="O253" s="16">
        <f>IF(M253="","",_xlfn.MINIFS($M$10:$M$1009,$K$10:$K$1009,K253,$A$10:$A$1009,"&lt;="&amp;A253,$A$10:$A$1009,"&gt;="&amp;(A253-$C$6)))</f>
        <v/>
      </c>
      <c r="P253" s="18">
        <f>IF(OR(N253="",N253=0),"",M253/N253-1)</f>
        <v/>
      </c>
      <c r="Q253">
        <f>IF(D253="","",IF(COUNTIFS($B$10:$B$1009,B253,$C$10:$C$1009,C253,$D$10:$D$1009,D253,$E$10:$E$1009,E253)&gt;1,"MÜKERRER?",IF(P253="","",IF(P253&gt;=$C$5,"İNCELE",IF(P253&lt;=-$C$5,"Düşük",""))))</f>
        <v/>
      </c>
      <c r="R253" s="16">
        <f>IF(AND(P253&lt;&gt;"",N(P253)&gt;=$C$5,COUNTIFS($B$10:B253,B253,$C$10:C253,C253,$D$10:D253,D253,$E$10:E253,E253)=1),(M253-N253)*E253*L253,0)</f>
        <v/>
      </c>
      <c r="S253" s="19">
        <f>IF(D253="",0,N(E253)*L253)</f>
        <v/>
      </c>
    </row>
    <row r="254">
      <c r="A254" s="11" t="n"/>
      <c r="B254" s="12" t="n"/>
      <c r="C254" s="12" t="n"/>
      <c r="D254" s="12" t="n"/>
      <c r="E254" s="13" t="n"/>
      <c r="F254" s="12" t="n"/>
      <c r="G254" s="14" t="n"/>
      <c r="H254" s="15" t="n"/>
      <c r="I254" s="16">
        <f>IF(G254="","",G254*(1-N(H254)))</f>
        <v/>
      </c>
      <c r="J254" s="16">
        <f>IF(I254="","",E254*I254)</f>
        <v/>
      </c>
      <c r="K254">
        <f>IF(D254="","",IFERROR(VLOOKUP(D254,'Ürün Eşleştirme'!$A$6:$D$505,2,FALSE),D254))</f>
        <v/>
      </c>
      <c r="L254" s="17">
        <f>IF(D254="","",IFERROR(VLOOKUP(D254,'Ürün Eşleştirme'!$A$6:$D$505,4,FALSE),1))</f>
        <v/>
      </c>
      <c r="M254" s="16">
        <f>IF(I254="","",I254/L254)</f>
        <v/>
      </c>
      <c r="N254" s="16">
        <f>IF(M254="","",IFERROR(AVERAGEIFS($M$10:$M$1009,$K$10:$K$1009,K254,$A$10:$A$1009,"&lt;"&amp;A254,$A$10:$A$1009,"&gt;="&amp;(A254-$C$6)),""))</f>
        <v/>
      </c>
      <c r="O254" s="16">
        <f>IF(M254="","",_xlfn.MINIFS($M$10:$M$1009,$K$10:$K$1009,K254,$A$10:$A$1009,"&lt;="&amp;A254,$A$10:$A$1009,"&gt;="&amp;(A254-$C$6)))</f>
        <v/>
      </c>
      <c r="P254" s="18">
        <f>IF(OR(N254="",N254=0),"",M254/N254-1)</f>
        <v/>
      </c>
      <c r="Q254">
        <f>IF(D254="","",IF(COUNTIFS($B$10:$B$1009,B254,$C$10:$C$1009,C254,$D$10:$D$1009,D254,$E$10:$E$1009,E254)&gt;1,"MÜKERRER?",IF(P254="","",IF(P254&gt;=$C$5,"İNCELE",IF(P254&lt;=-$C$5,"Düşük",""))))</f>
        <v/>
      </c>
      <c r="R254" s="16">
        <f>IF(AND(P254&lt;&gt;"",N(P254)&gt;=$C$5,COUNTIFS($B$10:B254,B254,$C$10:C254,C254,$D$10:D254,D254,$E$10:E254,E254)=1),(M254-N254)*E254*L254,0)</f>
        <v/>
      </c>
      <c r="S254" s="19">
        <f>IF(D254="",0,N(E254)*L254)</f>
        <v/>
      </c>
    </row>
    <row r="255">
      <c r="A255" s="11" t="n"/>
      <c r="B255" s="12" t="n"/>
      <c r="C255" s="12" t="n"/>
      <c r="D255" s="12" t="n"/>
      <c r="E255" s="13" t="n"/>
      <c r="F255" s="12" t="n"/>
      <c r="G255" s="14" t="n"/>
      <c r="H255" s="15" t="n"/>
      <c r="I255" s="16">
        <f>IF(G255="","",G255*(1-N(H255)))</f>
        <v/>
      </c>
      <c r="J255" s="16">
        <f>IF(I255="","",E255*I255)</f>
        <v/>
      </c>
      <c r="K255">
        <f>IF(D255="","",IFERROR(VLOOKUP(D255,'Ürün Eşleştirme'!$A$6:$D$505,2,FALSE),D255))</f>
        <v/>
      </c>
      <c r="L255" s="17">
        <f>IF(D255="","",IFERROR(VLOOKUP(D255,'Ürün Eşleştirme'!$A$6:$D$505,4,FALSE),1))</f>
        <v/>
      </c>
      <c r="M255" s="16">
        <f>IF(I255="","",I255/L255)</f>
        <v/>
      </c>
      <c r="N255" s="16">
        <f>IF(M255="","",IFERROR(AVERAGEIFS($M$10:$M$1009,$K$10:$K$1009,K255,$A$10:$A$1009,"&lt;"&amp;A255,$A$10:$A$1009,"&gt;="&amp;(A255-$C$6)),""))</f>
        <v/>
      </c>
      <c r="O255" s="16">
        <f>IF(M255="","",_xlfn.MINIFS($M$10:$M$1009,$K$10:$K$1009,K255,$A$10:$A$1009,"&lt;="&amp;A255,$A$10:$A$1009,"&gt;="&amp;(A255-$C$6)))</f>
        <v/>
      </c>
      <c r="P255" s="18">
        <f>IF(OR(N255="",N255=0),"",M255/N255-1)</f>
        <v/>
      </c>
      <c r="Q255">
        <f>IF(D255="","",IF(COUNTIFS($B$10:$B$1009,B255,$C$10:$C$1009,C255,$D$10:$D$1009,D255,$E$10:$E$1009,E255)&gt;1,"MÜKERRER?",IF(P255="","",IF(P255&gt;=$C$5,"İNCELE",IF(P255&lt;=-$C$5,"Düşük",""))))</f>
        <v/>
      </c>
      <c r="R255" s="16">
        <f>IF(AND(P255&lt;&gt;"",N(P255)&gt;=$C$5,COUNTIFS($B$10:B255,B255,$C$10:C255,C255,$D$10:D255,D255,$E$10:E255,E255)=1),(M255-N255)*E255*L255,0)</f>
        <v/>
      </c>
      <c r="S255" s="19">
        <f>IF(D255="",0,N(E255)*L255)</f>
        <v/>
      </c>
    </row>
    <row r="256">
      <c r="A256" s="11" t="n"/>
      <c r="B256" s="12" t="n"/>
      <c r="C256" s="12" t="n"/>
      <c r="D256" s="12" t="n"/>
      <c r="E256" s="13" t="n"/>
      <c r="F256" s="12" t="n"/>
      <c r="G256" s="14" t="n"/>
      <c r="H256" s="15" t="n"/>
      <c r="I256" s="16">
        <f>IF(G256="","",G256*(1-N(H256)))</f>
        <v/>
      </c>
      <c r="J256" s="16">
        <f>IF(I256="","",E256*I256)</f>
        <v/>
      </c>
      <c r="K256">
        <f>IF(D256="","",IFERROR(VLOOKUP(D256,'Ürün Eşleştirme'!$A$6:$D$505,2,FALSE),D256))</f>
        <v/>
      </c>
      <c r="L256" s="17">
        <f>IF(D256="","",IFERROR(VLOOKUP(D256,'Ürün Eşleştirme'!$A$6:$D$505,4,FALSE),1))</f>
        <v/>
      </c>
      <c r="M256" s="16">
        <f>IF(I256="","",I256/L256)</f>
        <v/>
      </c>
      <c r="N256" s="16">
        <f>IF(M256="","",IFERROR(AVERAGEIFS($M$10:$M$1009,$K$10:$K$1009,K256,$A$10:$A$1009,"&lt;"&amp;A256,$A$10:$A$1009,"&gt;="&amp;(A256-$C$6)),""))</f>
        <v/>
      </c>
      <c r="O256" s="16">
        <f>IF(M256="","",_xlfn.MINIFS($M$10:$M$1009,$K$10:$K$1009,K256,$A$10:$A$1009,"&lt;="&amp;A256,$A$10:$A$1009,"&gt;="&amp;(A256-$C$6)))</f>
        <v/>
      </c>
      <c r="P256" s="18">
        <f>IF(OR(N256="",N256=0),"",M256/N256-1)</f>
        <v/>
      </c>
      <c r="Q256">
        <f>IF(D256="","",IF(COUNTIFS($B$10:$B$1009,B256,$C$10:$C$1009,C256,$D$10:$D$1009,D256,$E$10:$E$1009,E256)&gt;1,"MÜKERRER?",IF(P256="","",IF(P256&gt;=$C$5,"İNCELE",IF(P256&lt;=-$C$5,"Düşük",""))))</f>
        <v/>
      </c>
      <c r="R256" s="16">
        <f>IF(AND(P256&lt;&gt;"",N(P256)&gt;=$C$5,COUNTIFS($B$10:B256,B256,$C$10:C256,C256,$D$10:D256,D256,$E$10:E256,E256)=1),(M256-N256)*E256*L256,0)</f>
        <v/>
      </c>
      <c r="S256" s="19">
        <f>IF(D256="",0,N(E256)*L256)</f>
        <v/>
      </c>
    </row>
    <row r="257">
      <c r="A257" s="11" t="n"/>
      <c r="B257" s="12" t="n"/>
      <c r="C257" s="12" t="n"/>
      <c r="D257" s="12" t="n"/>
      <c r="E257" s="13" t="n"/>
      <c r="F257" s="12" t="n"/>
      <c r="G257" s="14" t="n"/>
      <c r="H257" s="15" t="n"/>
      <c r="I257" s="16">
        <f>IF(G257="","",G257*(1-N(H257)))</f>
        <v/>
      </c>
      <c r="J257" s="16">
        <f>IF(I257="","",E257*I257)</f>
        <v/>
      </c>
      <c r="K257">
        <f>IF(D257="","",IFERROR(VLOOKUP(D257,'Ürün Eşleştirme'!$A$6:$D$505,2,FALSE),D257))</f>
        <v/>
      </c>
      <c r="L257" s="17">
        <f>IF(D257="","",IFERROR(VLOOKUP(D257,'Ürün Eşleştirme'!$A$6:$D$505,4,FALSE),1))</f>
        <v/>
      </c>
      <c r="M257" s="16">
        <f>IF(I257="","",I257/L257)</f>
        <v/>
      </c>
      <c r="N257" s="16">
        <f>IF(M257="","",IFERROR(AVERAGEIFS($M$10:$M$1009,$K$10:$K$1009,K257,$A$10:$A$1009,"&lt;"&amp;A257,$A$10:$A$1009,"&gt;="&amp;(A257-$C$6)),""))</f>
        <v/>
      </c>
      <c r="O257" s="16">
        <f>IF(M257="","",_xlfn.MINIFS($M$10:$M$1009,$K$10:$K$1009,K257,$A$10:$A$1009,"&lt;="&amp;A257,$A$10:$A$1009,"&gt;="&amp;(A257-$C$6)))</f>
        <v/>
      </c>
      <c r="P257" s="18">
        <f>IF(OR(N257="",N257=0),"",M257/N257-1)</f>
        <v/>
      </c>
      <c r="Q257">
        <f>IF(D257="","",IF(COUNTIFS($B$10:$B$1009,B257,$C$10:$C$1009,C257,$D$10:$D$1009,D257,$E$10:$E$1009,E257)&gt;1,"MÜKERRER?",IF(P257="","",IF(P257&gt;=$C$5,"İNCELE",IF(P257&lt;=-$C$5,"Düşük",""))))</f>
        <v/>
      </c>
      <c r="R257" s="16">
        <f>IF(AND(P257&lt;&gt;"",N(P257)&gt;=$C$5,COUNTIFS($B$10:B257,B257,$C$10:C257,C257,$D$10:D257,D257,$E$10:E257,E257)=1),(M257-N257)*E257*L257,0)</f>
        <v/>
      </c>
      <c r="S257" s="19">
        <f>IF(D257="",0,N(E257)*L257)</f>
        <v/>
      </c>
    </row>
    <row r="258">
      <c r="A258" s="11" t="n"/>
      <c r="B258" s="12" t="n"/>
      <c r="C258" s="12" t="n"/>
      <c r="D258" s="12" t="n"/>
      <c r="E258" s="13" t="n"/>
      <c r="F258" s="12" t="n"/>
      <c r="G258" s="14" t="n"/>
      <c r="H258" s="15" t="n"/>
      <c r="I258" s="16">
        <f>IF(G258="","",G258*(1-N(H258)))</f>
        <v/>
      </c>
      <c r="J258" s="16">
        <f>IF(I258="","",E258*I258)</f>
        <v/>
      </c>
      <c r="K258">
        <f>IF(D258="","",IFERROR(VLOOKUP(D258,'Ürün Eşleştirme'!$A$6:$D$505,2,FALSE),D258))</f>
        <v/>
      </c>
      <c r="L258" s="17">
        <f>IF(D258="","",IFERROR(VLOOKUP(D258,'Ürün Eşleştirme'!$A$6:$D$505,4,FALSE),1))</f>
        <v/>
      </c>
      <c r="M258" s="16">
        <f>IF(I258="","",I258/L258)</f>
        <v/>
      </c>
      <c r="N258" s="16">
        <f>IF(M258="","",IFERROR(AVERAGEIFS($M$10:$M$1009,$K$10:$K$1009,K258,$A$10:$A$1009,"&lt;"&amp;A258,$A$10:$A$1009,"&gt;="&amp;(A258-$C$6)),""))</f>
        <v/>
      </c>
      <c r="O258" s="16">
        <f>IF(M258="","",_xlfn.MINIFS($M$10:$M$1009,$K$10:$K$1009,K258,$A$10:$A$1009,"&lt;="&amp;A258,$A$10:$A$1009,"&gt;="&amp;(A258-$C$6)))</f>
        <v/>
      </c>
      <c r="P258" s="18">
        <f>IF(OR(N258="",N258=0),"",M258/N258-1)</f>
        <v/>
      </c>
      <c r="Q258">
        <f>IF(D258="","",IF(COUNTIFS($B$10:$B$1009,B258,$C$10:$C$1009,C258,$D$10:$D$1009,D258,$E$10:$E$1009,E258)&gt;1,"MÜKERRER?",IF(P258="","",IF(P258&gt;=$C$5,"İNCELE",IF(P258&lt;=-$C$5,"Düşük",""))))</f>
        <v/>
      </c>
      <c r="R258" s="16">
        <f>IF(AND(P258&lt;&gt;"",N(P258)&gt;=$C$5,COUNTIFS($B$10:B258,B258,$C$10:C258,C258,$D$10:D258,D258,$E$10:E258,E258)=1),(M258-N258)*E258*L258,0)</f>
        <v/>
      </c>
      <c r="S258" s="19">
        <f>IF(D258="",0,N(E258)*L258)</f>
        <v/>
      </c>
    </row>
    <row r="259">
      <c r="A259" s="11" t="n"/>
      <c r="B259" s="12" t="n"/>
      <c r="C259" s="12" t="n"/>
      <c r="D259" s="12" t="n"/>
      <c r="E259" s="13" t="n"/>
      <c r="F259" s="12" t="n"/>
      <c r="G259" s="14" t="n"/>
      <c r="H259" s="15" t="n"/>
      <c r="I259" s="16">
        <f>IF(G259="","",G259*(1-N(H259)))</f>
        <v/>
      </c>
      <c r="J259" s="16">
        <f>IF(I259="","",E259*I259)</f>
        <v/>
      </c>
      <c r="K259">
        <f>IF(D259="","",IFERROR(VLOOKUP(D259,'Ürün Eşleştirme'!$A$6:$D$505,2,FALSE),D259))</f>
        <v/>
      </c>
      <c r="L259" s="17">
        <f>IF(D259="","",IFERROR(VLOOKUP(D259,'Ürün Eşleştirme'!$A$6:$D$505,4,FALSE),1))</f>
        <v/>
      </c>
      <c r="M259" s="16">
        <f>IF(I259="","",I259/L259)</f>
        <v/>
      </c>
      <c r="N259" s="16">
        <f>IF(M259="","",IFERROR(AVERAGEIFS($M$10:$M$1009,$K$10:$K$1009,K259,$A$10:$A$1009,"&lt;"&amp;A259,$A$10:$A$1009,"&gt;="&amp;(A259-$C$6)),""))</f>
        <v/>
      </c>
      <c r="O259" s="16">
        <f>IF(M259="","",_xlfn.MINIFS($M$10:$M$1009,$K$10:$K$1009,K259,$A$10:$A$1009,"&lt;="&amp;A259,$A$10:$A$1009,"&gt;="&amp;(A259-$C$6)))</f>
        <v/>
      </c>
      <c r="P259" s="18">
        <f>IF(OR(N259="",N259=0),"",M259/N259-1)</f>
        <v/>
      </c>
      <c r="Q259">
        <f>IF(D259="","",IF(COUNTIFS($B$10:$B$1009,B259,$C$10:$C$1009,C259,$D$10:$D$1009,D259,$E$10:$E$1009,E259)&gt;1,"MÜKERRER?",IF(P259="","",IF(P259&gt;=$C$5,"İNCELE",IF(P259&lt;=-$C$5,"Düşük",""))))</f>
        <v/>
      </c>
      <c r="R259" s="16">
        <f>IF(AND(P259&lt;&gt;"",N(P259)&gt;=$C$5,COUNTIFS($B$10:B259,B259,$C$10:C259,C259,$D$10:D259,D259,$E$10:E259,E259)=1),(M259-N259)*E259*L259,0)</f>
        <v/>
      </c>
      <c r="S259" s="19">
        <f>IF(D259="",0,N(E259)*L259)</f>
        <v/>
      </c>
    </row>
    <row r="260">
      <c r="A260" s="11" t="n"/>
      <c r="B260" s="12" t="n"/>
      <c r="C260" s="12" t="n"/>
      <c r="D260" s="12" t="n"/>
      <c r="E260" s="13" t="n"/>
      <c r="F260" s="12" t="n"/>
      <c r="G260" s="14" t="n"/>
      <c r="H260" s="15" t="n"/>
      <c r="I260" s="16">
        <f>IF(G260="","",G260*(1-N(H260)))</f>
        <v/>
      </c>
      <c r="J260" s="16">
        <f>IF(I260="","",E260*I260)</f>
        <v/>
      </c>
      <c r="K260">
        <f>IF(D260="","",IFERROR(VLOOKUP(D260,'Ürün Eşleştirme'!$A$6:$D$505,2,FALSE),D260))</f>
        <v/>
      </c>
      <c r="L260" s="17">
        <f>IF(D260="","",IFERROR(VLOOKUP(D260,'Ürün Eşleştirme'!$A$6:$D$505,4,FALSE),1))</f>
        <v/>
      </c>
      <c r="M260" s="16">
        <f>IF(I260="","",I260/L260)</f>
        <v/>
      </c>
      <c r="N260" s="16">
        <f>IF(M260="","",IFERROR(AVERAGEIFS($M$10:$M$1009,$K$10:$K$1009,K260,$A$10:$A$1009,"&lt;"&amp;A260,$A$10:$A$1009,"&gt;="&amp;(A260-$C$6)),""))</f>
        <v/>
      </c>
      <c r="O260" s="16">
        <f>IF(M260="","",_xlfn.MINIFS($M$10:$M$1009,$K$10:$K$1009,K260,$A$10:$A$1009,"&lt;="&amp;A260,$A$10:$A$1009,"&gt;="&amp;(A260-$C$6)))</f>
        <v/>
      </c>
      <c r="P260" s="18">
        <f>IF(OR(N260="",N260=0),"",M260/N260-1)</f>
        <v/>
      </c>
      <c r="Q260">
        <f>IF(D260="","",IF(COUNTIFS($B$10:$B$1009,B260,$C$10:$C$1009,C260,$D$10:$D$1009,D260,$E$10:$E$1009,E260)&gt;1,"MÜKERRER?",IF(P260="","",IF(P260&gt;=$C$5,"İNCELE",IF(P260&lt;=-$C$5,"Düşük",""))))</f>
        <v/>
      </c>
      <c r="R260" s="16">
        <f>IF(AND(P260&lt;&gt;"",N(P260)&gt;=$C$5,COUNTIFS($B$10:B260,B260,$C$10:C260,C260,$D$10:D260,D260,$E$10:E260,E260)=1),(M260-N260)*E260*L260,0)</f>
        <v/>
      </c>
      <c r="S260" s="19">
        <f>IF(D260="",0,N(E260)*L260)</f>
        <v/>
      </c>
    </row>
    <row r="261">
      <c r="A261" s="11" t="n"/>
      <c r="B261" s="12" t="n"/>
      <c r="C261" s="12" t="n"/>
      <c r="D261" s="12" t="n"/>
      <c r="E261" s="13" t="n"/>
      <c r="F261" s="12" t="n"/>
      <c r="G261" s="14" t="n"/>
      <c r="H261" s="15" t="n"/>
      <c r="I261" s="16">
        <f>IF(G261="","",G261*(1-N(H261)))</f>
        <v/>
      </c>
      <c r="J261" s="16">
        <f>IF(I261="","",E261*I261)</f>
        <v/>
      </c>
      <c r="K261">
        <f>IF(D261="","",IFERROR(VLOOKUP(D261,'Ürün Eşleştirme'!$A$6:$D$505,2,FALSE),D261))</f>
        <v/>
      </c>
      <c r="L261" s="17">
        <f>IF(D261="","",IFERROR(VLOOKUP(D261,'Ürün Eşleştirme'!$A$6:$D$505,4,FALSE),1))</f>
        <v/>
      </c>
      <c r="M261" s="16">
        <f>IF(I261="","",I261/L261)</f>
        <v/>
      </c>
      <c r="N261" s="16">
        <f>IF(M261="","",IFERROR(AVERAGEIFS($M$10:$M$1009,$K$10:$K$1009,K261,$A$10:$A$1009,"&lt;"&amp;A261,$A$10:$A$1009,"&gt;="&amp;(A261-$C$6)),""))</f>
        <v/>
      </c>
      <c r="O261" s="16">
        <f>IF(M261="","",_xlfn.MINIFS($M$10:$M$1009,$K$10:$K$1009,K261,$A$10:$A$1009,"&lt;="&amp;A261,$A$10:$A$1009,"&gt;="&amp;(A261-$C$6)))</f>
        <v/>
      </c>
      <c r="P261" s="18">
        <f>IF(OR(N261="",N261=0),"",M261/N261-1)</f>
        <v/>
      </c>
      <c r="Q261">
        <f>IF(D261="","",IF(COUNTIFS($B$10:$B$1009,B261,$C$10:$C$1009,C261,$D$10:$D$1009,D261,$E$10:$E$1009,E261)&gt;1,"MÜKERRER?",IF(P261="","",IF(P261&gt;=$C$5,"İNCELE",IF(P261&lt;=-$C$5,"Düşük",""))))</f>
        <v/>
      </c>
      <c r="R261" s="16">
        <f>IF(AND(P261&lt;&gt;"",N(P261)&gt;=$C$5,COUNTIFS($B$10:B261,B261,$C$10:C261,C261,$D$10:D261,D261,$E$10:E261,E261)=1),(M261-N261)*E261*L261,0)</f>
        <v/>
      </c>
      <c r="S261" s="19">
        <f>IF(D261="",0,N(E261)*L261)</f>
        <v/>
      </c>
    </row>
    <row r="262">
      <c r="A262" s="11" t="n"/>
      <c r="B262" s="12" t="n"/>
      <c r="C262" s="12" t="n"/>
      <c r="D262" s="12" t="n"/>
      <c r="E262" s="13" t="n"/>
      <c r="F262" s="12" t="n"/>
      <c r="G262" s="14" t="n"/>
      <c r="H262" s="15" t="n"/>
      <c r="I262" s="16">
        <f>IF(G262="","",G262*(1-N(H262)))</f>
        <v/>
      </c>
      <c r="J262" s="16">
        <f>IF(I262="","",E262*I262)</f>
        <v/>
      </c>
      <c r="K262">
        <f>IF(D262="","",IFERROR(VLOOKUP(D262,'Ürün Eşleştirme'!$A$6:$D$505,2,FALSE),D262))</f>
        <v/>
      </c>
      <c r="L262" s="17">
        <f>IF(D262="","",IFERROR(VLOOKUP(D262,'Ürün Eşleştirme'!$A$6:$D$505,4,FALSE),1))</f>
        <v/>
      </c>
      <c r="M262" s="16">
        <f>IF(I262="","",I262/L262)</f>
        <v/>
      </c>
      <c r="N262" s="16">
        <f>IF(M262="","",IFERROR(AVERAGEIFS($M$10:$M$1009,$K$10:$K$1009,K262,$A$10:$A$1009,"&lt;"&amp;A262,$A$10:$A$1009,"&gt;="&amp;(A262-$C$6)),""))</f>
        <v/>
      </c>
      <c r="O262" s="16">
        <f>IF(M262="","",_xlfn.MINIFS($M$10:$M$1009,$K$10:$K$1009,K262,$A$10:$A$1009,"&lt;="&amp;A262,$A$10:$A$1009,"&gt;="&amp;(A262-$C$6)))</f>
        <v/>
      </c>
      <c r="P262" s="18">
        <f>IF(OR(N262="",N262=0),"",M262/N262-1)</f>
        <v/>
      </c>
      <c r="Q262">
        <f>IF(D262="","",IF(COUNTIFS($B$10:$B$1009,B262,$C$10:$C$1009,C262,$D$10:$D$1009,D262,$E$10:$E$1009,E262)&gt;1,"MÜKERRER?",IF(P262="","",IF(P262&gt;=$C$5,"İNCELE",IF(P262&lt;=-$C$5,"Düşük",""))))</f>
        <v/>
      </c>
      <c r="R262" s="16">
        <f>IF(AND(P262&lt;&gt;"",N(P262)&gt;=$C$5,COUNTIFS($B$10:B262,B262,$C$10:C262,C262,$D$10:D262,D262,$E$10:E262,E262)=1),(M262-N262)*E262*L262,0)</f>
        <v/>
      </c>
      <c r="S262" s="19">
        <f>IF(D262="",0,N(E262)*L262)</f>
        <v/>
      </c>
    </row>
    <row r="263">
      <c r="A263" s="11" t="n"/>
      <c r="B263" s="12" t="n"/>
      <c r="C263" s="12" t="n"/>
      <c r="D263" s="12" t="n"/>
      <c r="E263" s="13" t="n"/>
      <c r="F263" s="12" t="n"/>
      <c r="G263" s="14" t="n"/>
      <c r="H263" s="15" t="n"/>
      <c r="I263" s="16">
        <f>IF(G263="","",G263*(1-N(H263)))</f>
        <v/>
      </c>
      <c r="J263" s="16">
        <f>IF(I263="","",E263*I263)</f>
        <v/>
      </c>
      <c r="K263">
        <f>IF(D263="","",IFERROR(VLOOKUP(D263,'Ürün Eşleştirme'!$A$6:$D$505,2,FALSE),D263))</f>
        <v/>
      </c>
      <c r="L263" s="17">
        <f>IF(D263="","",IFERROR(VLOOKUP(D263,'Ürün Eşleştirme'!$A$6:$D$505,4,FALSE),1))</f>
        <v/>
      </c>
      <c r="M263" s="16">
        <f>IF(I263="","",I263/L263)</f>
        <v/>
      </c>
      <c r="N263" s="16">
        <f>IF(M263="","",IFERROR(AVERAGEIFS($M$10:$M$1009,$K$10:$K$1009,K263,$A$10:$A$1009,"&lt;"&amp;A263,$A$10:$A$1009,"&gt;="&amp;(A263-$C$6)),""))</f>
        <v/>
      </c>
      <c r="O263" s="16">
        <f>IF(M263="","",_xlfn.MINIFS($M$10:$M$1009,$K$10:$K$1009,K263,$A$10:$A$1009,"&lt;="&amp;A263,$A$10:$A$1009,"&gt;="&amp;(A263-$C$6)))</f>
        <v/>
      </c>
      <c r="P263" s="18">
        <f>IF(OR(N263="",N263=0),"",M263/N263-1)</f>
        <v/>
      </c>
      <c r="Q263">
        <f>IF(D263="","",IF(COUNTIFS($B$10:$B$1009,B263,$C$10:$C$1009,C263,$D$10:$D$1009,D263,$E$10:$E$1009,E263)&gt;1,"MÜKERRER?",IF(P263="","",IF(P263&gt;=$C$5,"İNCELE",IF(P263&lt;=-$C$5,"Düşük",""))))</f>
        <v/>
      </c>
      <c r="R263" s="16">
        <f>IF(AND(P263&lt;&gt;"",N(P263)&gt;=$C$5,COUNTIFS($B$10:B263,B263,$C$10:C263,C263,$D$10:D263,D263,$E$10:E263,E263)=1),(M263-N263)*E263*L263,0)</f>
        <v/>
      </c>
      <c r="S263" s="19">
        <f>IF(D263="",0,N(E263)*L263)</f>
        <v/>
      </c>
    </row>
    <row r="264">
      <c r="A264" s="11" t="n"/>
      <c r="B264" s="12" t="n"/>
      <c r="C264" s="12" t="n"/>
      <c r="D264" s="12" t="n"/>
      <c r="E264" s="13" t="n"/>
      <c r="F264" s="12" t="n"/>
      <c r="G264" s="14" t="n"/>
      <c r="H264" s="15" t="n"/>
      <c r="I264" s="16">
        <f>IF(G264="","",G264*(1-N(H264)))</f>
        <v/>
      </c>
      <c r="J264" s="16">
        <f>IF(I264="","",E264*I264)</f>
        <v/>
      </c>
      <c r="K264">
        <f>IF(D264="","",IFERROR(VLOOKUP(D264,'Ürün Eşleştirme'!$A$6:$D$505,2,FALSE),D264))</f>
        <v/>
      </c>
      <c r="L264" s="17">
        <f>IF(D264="","",IFERROR(VLOOKUP(D264,'Ürün Eşleştirme'!$A$6:$D$505,4,FALSE),1))</f>
        <v/>
      </c>
      <c r="M264" s="16">
        <f>IF(I264="","",I264/L264)</f>
        <v/>
      </c>
      <c r="N264" s="16">
        <f>IF(M264="","",IFERROR(AVERAGEIFS($M$10:$M$1009,$K$10:$K$1009,K264,$A$10:$A$1009,"&lt;"&amp;A264,$A$10:$A$1009,"&gt;="&amp;(A264-$C$6)),""))</f>
        <v/>
      </c>
      <c r="O264" s="16">
        <f>IF(M264="","",_xlfn.MINIFS($M$10:$M$1009,$K$10:$K$1009,K264,$A$10:$A$1009,"&lt;="&amp;A264,$A$10:$A$1009,"&gt;="&amp;(A264-$C$6)))</f>
        <v/>
      </c>
      <c r="P264" s="18">
        <f>IF(OR(N264="",N264=0),"",M264/N264-1)</f>
        <v/>
      </c>
      <c r="Q264">
        <f>IF(D264="","",IF(COUNTIFS($B$10:$B$1009,B264,$C$10:$C$1009,C264,$D$10:$D$1009,D264,$E$10:$E$1009,E264)&gt;1,"MÜKERRER?",IF(P264="","",IF(P264&gt;=$C$5,"İNCELE",IF(P264&lt;=-$C$5,"Düşük",""))))</f>
        <v/>
      </c>
      <c r="R264" s="16">
        <f>IF(AND(P264&lt;&gt;"",N(P264)&gt;=$C$5,COUNTIFS($B$10:B264,B264,$C$10:C264,C264,$D$10:D264,D264,$E$10:E264,E264)=1),(M264-N264)*E264*L264,0)</f>
        <v/>
      </c>
      <c r="S264" s="19">
        <f>IF(D264="",0,N(E264)*L264)</f>
        <v/>
      </c>
    </row>
    <row r="265">
      <c r="A265" s="11" t="n"/>
      <c r="B265" s="12" t="n"/>
      <c r="C265" s="12" t="n"/>
      <c r="D265" s="12" t="n"/>
      <c r="E265" s="13" t="n"/>
      <c r="F265" s="12" t="n"/>
      <c r="G265" s="14" t="n"/>
      <c r="H265" s="15" t="n"/>
      <c r="I265" s="16">
        <f>IF(G265="","",G265*(1-N(H265)))</f>
        <v/>
      </c>
      <c r="J265" s="16">
        <f>IF(I265="","",E265*I265)</f>
        <v/>
      </c>
      <c r="K265">
        <f>IF(D265="","",IFERROR(VLOOKUP(D265,'Ürün Eşleştirme'!$A$6:$D$505,2,FALSE),D265))</f>
        <v/>
      </c>
      <c r="L265" s="17">
        <f>IF(D265="","",IFERROR(VLOOKUP(D265,'Ürün Eşleştirme'!$A$6:$D$505,4,FALSE),1))</f>
        <v/>
      </c>
      <c r="M265" s="16">
        <f>IF(I265="","",I265/L265)</f>
        <v/>
      </c>
      <c r="N265" s="16">
        <f>IF(M265="","",IFERROR(AVERAGEIFS($M$10:$M$1009,$K$10:$K$1009,K265,$A$10:$A$1009,"&lt;"&amp;A265,$A$10:$A$1009,"&gt;="&amp;(A265-$C$6)),""))</f>
        <v/>
      </c>
      <c r="O265" s="16">
        <f>IF(M265="","",_xlfn.MINIFS($M$10:$M$1009,$K$10:$K$1009,K265,$A$10:$A$1009,"&lt;="&amp;A265,$A$10:$A$1009,"&gt;="&amp;(A265-$C$6)))</f>
        <v/>
      </c>
      <c r="P265" s="18">
        <f>IF(OR(N265="",N265=0),"",M265/N265-1)</f>
        <v/>
      </c>
      <c r="Q265">
        <f>IF(D265="","",IF(COUNTIFS($B$10:$B$1009,B265,$C$10:$C$1009,C265,$D$10:$D$1009,D265,$E$10:$E$1009,E265)&gt;1,"MÜKERRER?",IF(P265="","",IF(P265&gt;=$C$5,"İNCELE",IF(P265&lt;=-$C$5,"Düşük",""))))</f>
        <v/>
      </c>
      <c r="R265" s="16">
        <f>IF(AND(P265&lt;&gt;"",N(P265)&gt;=$C$5,COUNTIFS($B$10:B265,B265,$C$10:C265,C265,$D$10:D265,D265,$E$10:E265,E265)=1),(M265-N265)*E265*L265,0)</f>
        <v/>
      </c>
      <c r="S265" s="19">
        <f>IF(D265="",0,N(E265)*L265)</f>
        <v/>
      </c>
    </row>
    <row r="266">
      <c r="A266" s="11" t="n"/>
      <c r="B266" s="12" t="n"/>
      <c r="C266" s="12" t="n"/>
      <c r="D266" s="12" t="n"/>
      <c r="E266" s="13" t="n"/>
      <c r="F266" s="12" t="n"/>
      <c r="G266" s="14" t="n"/>
      <c r="H266" s="15" t="n"/>
      <c r="I266" s="16">
        <f>IF(G266="","",G266*(1-N(H266)))</f>
        <v/>
      </c>
      <c r="J266" s="16">
        <f>IF(I266="","",E266*I266)</f>
        <v/>
      </c>
      <c r="K266">
        <f>IF(D266="","",IFERROR(VLOOKUP(D266,'Ürün Eşleştirme'!$A$6:$D$505,2,FALSE),D266))</f>
        <v/>
      </c>
      <c r="L266" s="17">
        <f>IF(D266="","",IFERROR(VLOOKUP(D266,'Ürün Eşleştirme'!$A$6:$D$505,4,FALSE),1))</f>
        <v/>
      </c>
      <c r="M266" s="16">
        <f>IF(I266="","",I266/L266)</f>
        <v/>
      </c>
      <c r="N266" s="16">
        <f>IF(M266="","",IFERROR(AVERAGEIFS($M$10:$M$1009,$K$10:$K$1009,K266,$A$10:$A$1009,"&lt;"&amp;A266,$A$10:$A$1009,"&gt;="&amp;(A266-$C$6)),""))</f>
        <v/>
      </c>
      <c r="O266" s="16">
        <f>IF(M266="","",_xlfn.MINIFS($M$10:$M$1009,$K$10:$K$1009,K266,$A$10:$A$1009,"&lt;="&amp;A266,$A$10:$A$1009,"&gt;="&amp;(A266-$C$6)))</f>
        <v/>
      </c>
      <c r="P266" s="18">
        <f>IF(OR(N266="",N266=0),"",M266/N266-1)</f>
        <v/>
      </c>
      <c r="Q266">
        <f>IF(D266="","",IF(COUNTIFS($B$10:$B$1009,B266,$C$10:$C$1009,C266,$D$10:$D$1009,D266,$E$10:$E$1009,E266)&gt;1,"MÜKERRER?",IF(P266="","",IF(P266&gt;=$C$5,"İNCELE",IF(P266&lt;=-$C$5,"Düşük",""))))</f>
        <v/>
      </c>
      <c r="R266" s="16">
        <f>IF(AND(P266&lt;&gt;"",N(P266)&gt;=$C$5,COUNTIFS($B$10:B266,B266,$C$10:C266,C266,$D$10:D266,D266,$E$10:E266,E266)=1),(M266-N266)*E266*L266,0)</f>
        <v/>
      </c>
      <c r="S266" s="19">
        <f>IF(D266="",0,N(E266)*L266)</f>
        <v/>
      </c>
    </row>
    <row r="267">
      <c r="A267" s="11" t="n"/>
      <c r="B267" s="12" t="n"/>
      <c r="C267" s="12" t="n"/>
      <c r="D267" s="12" t="n"/>
      <c r="E267" s="13" t="n"/>
      <c r="F267" s="12" t="n"/>
      <c r="G267" s="14" t="n"/>
      <c r="H267" s="15" t="n"/>
      <c r="I267" s="16">
        <f>IF(G267="","",G267*(1-N(H267)))</f>
        <v/>
      </c>
      <c r="J267" s="16">
        <f>IF(I267="","",E267*I267)</f>
        <v/>
      </c>
      <c r="K267">
        <f>IF(D267="","",IFERROR(VLOOKUP(D267,'Ürün Eşleştirme'!$A$6:$D$505,2,FALSE),D267))</f>
        <v/>
      </c>
      <c r="L267" s="17">
        <f>IF(D267="","",IFERROR(VLOOKUP(D267,'Ürün Eşleştirme'!$A$6:$D$505,4,FALSE),1))</f>
        <v/>
      </c>
      <c r="M267" s="16">
        <f>IF(I267="","",I267/L267)</f>
        <v/>
      </c>
      <c r="N267" s="16">
        <f>IF(M267="","",IFERROR(AVERAGEIFS($M$10:$M$1009,$K$10:$K$1009,K267,$A$10:$A$1009,"&lt;"&amp;A267,$A$10:$A$1009,"&gt;="&amp;(A267-$C$6)),""))</f>
        <v/>
      </c>
      <c r="O267" s="16">
        <f>IF(M267="","",_xlfn.MINIFS($M$10:$M$1009,$K$10:$K$1009,K267,$A$10:$A$1009,"&lt;="&amp;A267,$A$10:$A$1009,"&gt;="&amp;(A267-$C$6)))</f>
        <v/>
      </c>
      <c r="P267" s="18">
        <f>IF(OR(N267="",N267=0),"",M267/N267-1)</f>
        <v/>
      </c>
      <c r="Q267">
        <f>IF(D267="","",IF(COUNTIFS($B$10:$B$1009,B267,$C$10:$C$1009,C267,$D$10:$D$1009,D267,$E$10:$E$1009,E267)&gt;1,"MÜKERRER?",IF(P267="","",IF(P267&gt;=$C$5,"İNCELE",IF(P267&lt;=-$C$5,"Düşük",""))))</f>
        <v/>
      </c>
      <c r="R267" s="16">
        <f>IF(AND(P267&lt;&gt;"",N(P267)&gt;=$C$5,COUNTIFS($B$10:B267,B267,$C$10:C267,C267,$D$10:D267,D267,$E$10:E267,E267)=1),(M267-N267)*E267*L267,0)</f>
        <v/>
      </c>
      <c r="S267" s="19">
        <f>IF(D267="",0,N(E267)*L267)</f>
        <v/>
      </c>
    </row>
    <row r="268">
      <c r="A268" s="11" t="n"/>
      <c r="B268" s="12" t="n"/>
      <c r="C268" s="12" t="n"/>
      <c r="D268" s="12" t="n"/>
      <c r="E268" s="13" t="n"/>
      <c r="F268" s="12" t="n"/>
      <c r="G268" s="14" t="n"/>
      <c r="H268" s="15" t="n"/>
      <c r="I268" s="16">
        <f>IF(G268="","",G268*(1-N(H268)))</f>
        <v/>
      </c>
      <c r="J268" s="16">
        <f>IF(I268="","",E268*I268)</f>
        <v/>
      </c>
      <c r="K268">
        <f>IF(D268="","",IFERROR(VLOOKUP(D268,'Ürün Eşleştirme'!$A$6:$D$505,2,FALSE),D268))</f>
        <v/>
      </c>
      <c r="L268" s="17">
        <f>IF(D268="","",IFERROR(VLOOKUP(D268,'Ürün Eşleştirme'!$A$6:$D$505,4,FALSE),1))</f>
        <v/>
      </c>
      <c r="M268" s="16">
        <f>IF(I268="","",I268/L268)</f>
        <v/>
      </c>
      <c r="N268" s="16">
        <f>IF(M268="","",IFERROR(AVERAGEIFS($M$10:$M$1009,$K$10:$K$1009,K268,$A$10:$A$1009,"&lt;"&amp;A268,$A$10:$A$1009,"&gt;="&amp;(A268-$C$6)),""))</f>
        <v/>
      </c>
      <c r="O268" s="16">
        <f>IF(M268="","",_xlfn.MINIFS($M$10:$M$1009,$K$10:$K$1009,K268,$A$10:$A$1009,"&lt;="&amp;A268,$A$10:$A$1009,"&gt;="&amp;(A268-$C$6)))</f>
        <v/>
      </c>
      <c r="P268" s="18">
        <f>IF(OR(N268="",N268=0),"",M268/N268-1)</f>
        <v/>
      </c>
      <c r="Q268">
        <f>IF(D268="","",IF(COUNTIFS($B$10:$B$1009,B268,$C$10:$C$1009,C268,$D$10:$D$1009,D268,$E$10:$E$1009,E268)&gt;1,"MÜKERRER?",IF(P268="","",IF(P268&gt;=$C$5,"İNCELE",IF(P268&lt;=-$C$5,"Düşük",""))))</f>
        <v/>
      </c>
      <c r="R268" s="16">
        <f>IF(AND(P268&lt;&gt;"",N(P268)&gt;=$C$5,COUNTIFS($B$10:B268,B268,$C$10:C268,C268,$D$10:D268,D268,$E$10:E268,E268)=1),(M268-N268)*E268*L268,0)</f>
        <v/>
      </c>
      <c r="S268" s="19">
        <f>IF(D268="",0,N(E268)*L268)</f>
        <v/>
      </c>
    </row>
    <row r="269">
      <c r="A269" s="11" t="n"/>
      <c r="B269" s="12" t="n"/>
      <c r="C269" s="12" t="n"/>
      <c r="D269" s="12" t="n"/>
      <c r="E269" s="13" t="n"/>
      <c r="F269" s="12" t="n"/>
      <c r="G269" s="14" t="n"/>
      <c r="H269" s="15" t="n"/>
      <c r="I269" s="16">
        <f>IF(G269="","",G269*(1-N(H269)))</f>
        <v/>
      </c>
      <c r="J269" s="16">
        <f>IF(I269="","",E269*I269)</f>
        <v/>
      </c>
      <c r="K269">
        <f>IF(D269="","",IFERROR(VLOOKUP(D269,'Ürün Eşleştirme'!$A$6:$D$505,2,FALSE),D269))</f>
        <v/>
      </c>
      <c r="L269" s="17">
        <f>IF(D269="","",IFERROR(VLOOKUP(D269,'Ürün Eşleştirme'!$A$6:$D$505,4,FALSE),1))</f>
        <v/>
      </c>
      <c r="M269" s="16">
        <f>IF(I269="","",I269/L269)</f>
        <v/>
      </c>
      <c r="N269" s="16">
        <f>IF(M269="","",IFERROR(AVERAGEIFS($M$10:$M$1009,$K$10:$K$1009,K269,$A$10:$A$1009,"&lt;"&amp;A269,$A$10:$A$1009,"&gt;="&amp;(A269-$C$6)),""))</f>
        <v/>
      </c>
      <c r="O269" s="16">
        <f>IF(M269="","",_xlfn.MINIFS($M$10:$M$1009,$K$10:$K$1009,K269,$A$10:$A$1009,"&lt;="&amp;A269,$A$10:$A$1009,"&gt;="&amp;(A269-$C$6)))</f>
        <v/>
      </c>
      <c r="P269" s="18">
        <f>IF(OR(N269="",N269=0),"",M269/N269-1)</f>
        <v/>
      </c>
      <c r="Q269">
        <f>IF(D269="","",IF(COUNTIFS($B$10:$B$1009,B269,$C$10:$C$1009,C269,$D$10:$D$1009,D269,$E$10:$E$1009,E269)&gt;1,"MÜKERRER?",IF(P269="","",IF(P269&gt;=$C$5,"İNCELE",IF(P269&lt;=-$C$5,"Düşük",""))))</f>
        <v/>
      </c>
      <c r="R269" s="16">
        <f>IF(AND(P269&lt;&gt;"",N(P269)&gt;=$C$5,COUNTIFS($B$10:B269,B269,$C$10:C269,C269,$D$10:D269,D269,$E$10:E269,E269)=1),(M269-N269)*E269*L269,0)</f>
        <v/>
      </c>
      <c r="S269" s="19">
        <f>IF(D269="",0,N(E269)*L269)</f>
        <v/>
      </c>
    </row>
    <row r="270">
      <c r="A270" s="11" t="n"/>
      <c r="B270" s="12" t="n"/>
      <c r="C270" s="12" t="n"/>
      <c r="D270" s="12" t="n"/>
      <c r="E270" s="13" t="n"/>
      <c r="F270" s="12" t="n"/>
      <c r="G270" s="14" t="n"/>
      <c r="H270" s="15" t="n"/>
      <c r="I270" s="16">
        <f>IF(G270="","",G270*(1-N(H270)))</f>
        <v/>
      </c>
      <c r="J270" s="16">
        <f>IF(I270="","",E270*I270)</f>
        <v/>
      </c>
      <c r="K270">
        <f>IF(D270="","",IFERROR(VLOOKUP(D270,'Ürün Eşleştirme'!$A$6:$D$505,2,FALSE),D270))</f>
        <v/>
      </c>
      <c r="L270" s="17">
        <f>IF(D270="","",IFERROR(VLOOKUP(D270,'Ürün Eşleştirme'!$A$6:$D$505,4,FALSE),1))</f>
        <v/>
      </c>
      <c r="M270" s="16">
        <f>IF(I270="","",I270/L270)</f>
        <v/>
      </c>
      <c r="N270" s="16">
        <f>IF(M270="","",IFERROR(AVERAGEIFS($M$10:$M$1009,$K$10:$K$1009,K270,$A$10:$A$1009,"&lt;"&amp;A270,$A$10:$A$1009,"&gt;="&amp;(A270-$C$6)),""))</f>
        <v/>
      </c>
      <c r="O270" s="16">
        <f>IF(M270="","",_xlfn.MINIFS($M$10:$M$1009,$K$10:$K$1009,K270,$A$10:$A$1009,"&lt;="&amp;A270,$A$10:$A$1009,"&gt;="&amp;(A270-$C$6)))</f>
        <v/>
      </c>
      <c r="P270" s="18">
        <f>IF(OR(N270="",N270=0),"",M270/N270-1)</f>
        <v/>
      </c>
      <c r="Q270">
        <f>IF(D270="","",IF(COUNTIFS($B$10:$B$1009,B270,$C$10:$C$1009,C270,$D$10:$D$1009,D270,$E$10:$E$1009,E270)&gt;1,"MÜKERRER?",IF(P270="","",IF(P270&gt;=$C$5,"İNCELE",IF(P270&lt;=-$C$5,"Düşük",""))))</f>
        <v/>
      </c>
      <c r="R270" s="16">
        <f>IF(AND(P270&lt;&gt;"",N(P270)&gt;=$C$5,COUNTIFS($B$10:B270,B270,$C$10:C270,C270,$D$10:D270,D270,$E$10:E270,E270)=1),(M270-N270)*E270*L270,0)</f>
        <v/>
      </c>
      <c r="S270" s="19">
        <f>IF(D270="",0,N(E270)*L270)</f>
        <v/>
      </c>
    </row>
    <row r="271">
      <c r="A271" s="11" t="n"/>
      <c r="B271" s="12" t="n"/>
      <c r="C271" s="12" t="n"/>
      <c r="D271" s="12" t="n"/>
      <c r="E271" s="13" t="n"/>
      <c r="F271" s="12" t="n"/>
      <c r="G271" s="14" t="n"/>
      <c r="H271" s="15" t="n"/>
      <c r="I271" s="16">
        <f>IF(G271="","",G271*(1-N(H271)))</f>
        <v/>
      </c>
      <c r="J271" s="16">
        <f>IF(I271="","",E271*I271)</f>
        <v/>
      </c>
      <c r="K271">
        <f>IF(D271="","",IFERROR(VLOOKUP(D271,'Ürün Eşleştirme'!$A$6:$D$505,2,FALSE),D271))</f>
        <v/>
      </c>
      <c r="L271" s="17">
        <f>IF(D271="","",IFERROR(VLOOKUP(D271,'Ürün Eşleştirme'!$A$6:$D$505,4,FALSE),1))</f>
        <v/>
      </c>
      <c r="M271" s="16">
        <f>IF(I271="","",I271/L271)</f>
        <v/>
      </c>
      <c r="N271" s="16">
        <f>IF(M271="","",IFERROR(AVERAGEIFS($M$10:$M$1009,$K$10:$K$1009,K271,$A$10:$A$1009,"&lt;"&amp;A271,$A$10:$A$1009,"&gt;="&amp;(A271-$C$6)),""))</f>
        <v/>
      </c>
      <c r="O271" s="16">
        <f>IF(M271="","",_xlfn.MINIFS($M$10:$M$1009,$K$10:$K$1009,K271,$A$10:$A$1009,"&lt;="&amp;A271,$A$10:$A$1009,"&gt;="&amp;(A271-$C$6)))</f>
        <v/>
      </c>
      <c r="P271" s="18">
        <f>IF(OR(N271="",N271=0),"",M271/N271-1)</f>
        <v/>
      </c>
      <c r="Q271">
        <f>IF(D271="","",IF(COUNTIFS($B$10:$B$1009,B271,$C$10:$C$1009,C271,$D$10:$D$1009,D271,$E$10:$E$1009,E271)&gt;1,"MÜKERRER?",IF(P271="","",IF(P271&gt;=$C$5,"İNCELE",IF(P271&lt;=-$C$5,"Düşük",""))))</f>
        <v/>
      </c>
      <c r="R271" s="16">
        <f>IF(AND(P271&lt;&gt;"",N(P271)&gt;=$C$5,COUNTIFS($B$10:B271,B271,$C$10:C271,C271,$D$10:D271,D271,$E$10:E271,E271)=1),(M271-N271)*E271*L271,0)</f>
        <v/>
      </c>
      <c r="S271" s="19">
        <f>IF(D271="",0,N(E271)*L271)</f>
        <v/>
      </c>
    </row>
    <row r="272">
      <c r="A272" s="11" t="n"/>
      <c r="B272" s="12" t="n"/>
      <c r="C272" s="12" t="n"/>
      <c r="D272" s="12" t="n"/>
      <c r="E272" s="13" t="n"/>
      <c r="F272" s="12" t="n"/>
      <c r="G272" s="14" t="n"/>
      <c r="H272" s="15" t="n"/>
      <c r="I272" s="16">
        <f>IF(G272="","",G272*(1-N(H272)))</f>
        <v/>
      </c>
      <c r="J272" s="16">
        <f>IF(I272="","",E272*I272)</f>
        <v/>
      </c>
      <c r="K272">
        <f>IF(D272="","",IFERROR(VLOOKUP(D272,'Ürün Eşleştirme'!$A$6:$D$505,2,FALSE),D272))</f>
        <v/>
      </c>
      <c r="L272" s="17">
        <f>IF(D272="","",IFERROR(VLOOKUP(D272,'Ürün Eşleştirme'!$A$6:$D$505,4,FALSE),1))</f>
        <v/>
      </c>
      <c r="M272" s="16">
        <f>IF(I272="","",I272/L272)</f>
        <v/>
      </c>
      <c r="N272" s="16">
        <f>IF(M272="","",IFERROR(AVERAGEIFS($M$10:$M$1009,$K$10:$K$1009,K272,$A$10:$A$1009,"&lt;"&amp;A272,$A$10:$A$1009,"&gt;="&amp;(A272-$C$6)),""))</f>
        <v/>
      </c>
      <c r="O272" s="16">
        <f>IF(M272="","",_xlfn.MINIFS($M$10:$M$1009,$K$10:$K$1009,K272,$A$10:$A$1009,"&lt;="&amp;A272,$A$10:$A$1009,"&gt;="&amp;(A272-$C$6)))</f>
        <v/>
      </c>
      <c r="P272" s="18">
        <f>IF(OR(N272="",N272=0),"",M272/N272-1)</f>
        <v/>
      </c>
      <c r="Q272">
        <f>IF(D272="","",IF(COUNTIFS($B$10:$B$1009,B272,$C$10:$C$1009,C272,$D$10:$D$1009,D272,$E$10:$E$1009,E272)&gt;1,"MÜKERRER?",IF(P272="","",IF(P272&gt;=$C$5,"İNCELE",IF(P272&lt;=-$C$5,"Düşük",""))))</f>
        <v/>
      </c>
      <c r="R272" s="16">
        <f>IF(AND(P272&lt;&gt;"",N(P272)&gt;=$C$5,COUNTIFS($B$10:B272,B272,$C$10:C272,C272,$D$10:D272,D272,$E$10:E272,E272)=1),(M272-N272)*E272*L272,0)</f>
        <v/>
      </c>
      <c r="S272" s="19">
        <f>IF(D272="",0,N(E272)*L272)</f>
        <v/>
      </c>
    </row>
    <row r="273">
      <c r="A273" s="11" t="n"/>
      <c r="B273" s="12" t="n"/>
      <c r="C273" s="12" t="n"/>
      <c r="D273" s="12" t="n"/>
      <c r="E273" s="13" t="n"/>
      <c r="F273" s="12" t="n"/>
      <c r="G273" s="14" t="n"/>
      <c r="H273" s="15" t="n"/>
      <c r="I273" s="16">
        <f>IF(G273="","",G273*(1-N(H273)))</f>
        <v/>
      </c>
      <c r="J273" s="16">
        <f>IF(I273="","",E273*I273)</f>
        <v/>
      </c>
      <c r="K273">
        <f>IF(D273="","",IFERROR(VLOOKUP(D273,'Ürün Eşleştirme'!$A$6:$D$505,2,FALSE),D273))</f>
        <v/>
      </c>
      <c r="L273" s="17">
        <f>IF(D273="","",IFERROR(VLOOKUP(D273,'Ürün Eşleştirme'!$A$6:$D$505,4,FALSE),1))</f>
        <v/>
      </c>
      <c r="M273" s="16">
        <f>IF(I273="","",I273/L273)</f>
        <v/>
      </c>
      <c r="N273" s="16">
        <f>IF(M273="","",IFERROR(AVERAGEIFS($M$10:$M$1009,$K$10:$K$1009,K273,$A$10:$A$1009,"&lt;"&amp;A273,$A$10:$A$1009,"&gt;="&amp;(A273-$C$6)),""))</f>
        <v/>
      </c>
      <c r="O273" s="16">
        <f>IF(M273="","",_xlfn.MINIFS($M$10:$M$1009,$K$10:$K$1009,K273,$A$10:$A$1009,"&lt;="&amp;A273,$A$10:$A$1009,"&gt;="&amp;(A273-$C$6)))</f>
        <v/>
      </c>
      <c r="P273" s="18">
        <f>IF(OR(N273="",N273=0),"",M273/N273-1)</f>
        <v/>
      </c>
      <c r="Q273">
        <f>IF(D273="","",IF(COUNTIFS($B$10:$B$1009,B273,$C$10:$C$1009,C273,$D$10:$D$1009,D273,$E$10:$E$1009,E273)&gt;1,"MÜKERRER?",IF(P273="","",IF(P273&gt;=$C$5,"İNCELE",IF(P273&lt;=-$C$5,"Düşük",""))))</f>
        <v/>
      </c>
      <c r="R273" s="16">
        <f>IF(AND(P273&lt;&gt;"",N(P273)&gt;=$C$5,COUNTIFS($B$10:B273,B273,$C$10:C273,C273,$D$10:D273,D273,$E$10:E273,E273)=1),(M273-N273)*E273*L273,0)</f>
        <v/>
      </c>
      <c r="S273" s="19">
        <f>IF(D273="",0,N(E273)*L273)</f>
        <v/>
      </c>
    </row>
    <row r="274">
      <c r="A274" s="11" t="n"/>
      <c r="B274" s="12" t="n"/>
      <c r="C274" s="12" t="n"/>
      <c r="D274" s="12" t="n"/>
      <c r="E274" s="13" t="n"/>
      <c r="F274" s="12" t="n"/>
      <c r="G274" s="14" t="n"/>
      <c r="H274" s="15" t="n"/>
      <c r="I274" s="16">
        <f>IF(G274="","",G274*(1-N(H274)))</f>
        <v/>
      </c>
      <c r="J274" s="16">
        <f>IF(I274="","",E274*I274)</f>
        <v/>
      </c>
      <c r="K274">
        <f>IF(D274="","",IFERROR(VLOOKUP(D274,'Ürün Eşleştirme'!$A$6:$D$505,2,FALSE),D274))</f>
        <v/>
      </c>
      <c r="L274" s="17">
        <f>IF(D274="","",IFERROR(VLOOKUP(D274,'Ürün Eşleştirme'!$A$6:$D$505,4,FALSE),1))</f>
        <v/>
      </c>
      <c r="M274" s="16">
        <f>IF(I274="","",I274/L274)</f>
        <v/>
      </c>
      <c r="N274" s="16">
        <f>IF(M274="","",IFERROR(AVERAGEIFS($M$10:$M$1009,$K$10:$K$1009,K274,$A$10:$A$1009,"&lt;"&amp;A274,$A$10:$A$1009,"&gt;="&amp;(A274-$C$6)),""))</f>
        <v/>
      </c>
      <c r="O274" s="16">
        <f>IF(M274="","",_xlfn.MINIFS($M$10:$M$1009,$K$10:$K$1009,K274,$A$10:$A$1009,"&lt;="&amp;A274,$A$10:$A$1009,"&gt;="&amp;(A274-$C$6)))</f>
        <v/>
      </c>
      <c r="P274" s="18">
        <f>IF(OR(N274="",N274=0),"",M274/N274-1)</f>
        <v/>
      </c>
      <c r="Q274">
        <f>IF(D274="","",IF(COUNTIFS($B$10:$B$1009,B274,$C$10:$C$1009,C274,$D$10:$D$1009,D274,$E$10:$E$1009,E274)&gt;1,"MÜKERRER?",IF(P274="","",IF(P274&gt;=$C$5,"İNCELE",IF(P274&lt;=-$C$5,"Düşük",""))))</f>
        <v/>
      </c>
      <c r="R274" s="16">
        <f>IF(AND(P274&lt;&gt;"",N(P274)&gt;=$C$5,COUNTIFS($B$10:B274,B274,$C$10:C274,C274,$D$10:D274,D274,$E$10:E274,E274)=1),(M274-N274)*E274*L274,0)</f>
        <v/>
      </c>
      <c r="S274" s="19">
        <f>IF(D274="",0,N(E274)*L274)</f>
        <v/>
      </c>
    </row>
    <row r="275">
      <c r="A275" s="11" t="n"/>
      <c r="B275" s="12" t="n"/>
      <c r="C275" s="12" t="n"/>
      <c r="D275" s="12" t="n"/>
      <c r="E275" s="13" t="n"/>
      <c r="F275" s="12" t="n"/>
      <c r="G275" s="14" t="n"/>
      <c r="H275" s="15" t="n"/>
      <c r="I275" s="16">
        <f>IF(G275="","",G275*(1-N(H275)))</f>
        <v/>
      </c>
      <c r="J275" s="16">
        <f>IF(I275="","",E275*I275)</f>
        <v/>
      </c>
      <c r="K275">
        <f>IF(D275="","",IFERROR(VLOOKUP(D275,'Ürün Eşleştirme'!$A$6:$D$505,2,FALSE),D275))</f>
        <v/>
      </c>
      <c r="L275" s="17">
        <f>IF(D275="","",IFERROR(VLOOKUP(D275,'Ürün Eşleştirme'!$A$6:$D$505,4,FALSE),1))</f>
        <v/>
      </c>
      <c r="M275" s="16">
        <f>IF(I275="","",I275/L275)</f>
        <v/>
      </c>
      <c r="N275" s="16">
        <f>IF(M275="","",IFERROR(AVERAGEIFS($M$10:$M$1009,$K$10:$K$1009,K275,$A$10:$A$1009,"&lt;"&amp;A275,$A$10:$A$1009,"&gt;="&amp;(A275-$C$6)),""))</f>
        <v/>
      </c>
      <c r="O275" s="16">
        <f>IF(M275="","",_xlfn.MINIFS($M$10:$M$1009,$K$10:$K$1009,K275,$A$10:$A$1009,"&lt;="&amp;A275,$A$10:$A$1009,"&gt;="&amp;(A275-$C$6)))</f>
        <v/>
      </c>
      <c r="P275" s="18">
        <f>IF(OR(N275="",N275=0),"",M275/N275-1)</f>
        <v/>
      </c>
      <c r="Q275">
        <f>IF(D275="","",IF(COUNTIFS($B$10:$B$1009,B275,$C$10:$C$1009,C275,$D$10:$D$1009,D275,$E$10:$E$1009,E275)&gt;1,"MÜKERRER?",IF(P275="","",IF(P275&gt;=$C$5,"İNCELE",IF(P275&lt;=-$C$5,"Düşük",""))))</f>
        <v/>
      </c>
      <c r="R275" s="16">
        <f>IF(AND(P275&lt;&gt;"",N(P275)&gt;=$C$5,COUNTIFS($B$10:B275,B275,$C$10:C275,C275,$D$10:D275,D275,$E$10:E275,E275)=1),(M275-N275)*E275*L275,0)</f>
        <v/>
      </c>
      <c r="S275" s="19">
        <f>IF(D275="",0,N(E275)*L275)</f>
        <v/>
      </c>
    </row>
    <row r="276">
      <c r="A276" s="11" t="n"/>
      <c r="B276" s="12" t="n"/>
      <c r="C276" s="12" t="n"/>
      <c r="D276" s="12" t="n"/>
      <c r="E276" s="13" t="n"/>
      <c r="F276" s="12" t="n"/>
      <c r="G276" s="14" t="n"/>
      <c r="H276" s="15" t="n"/>
      <c r="I276" s="16">
        <f>IF(G276="","",G276*(1-N(H276)))</f>
        <v/>
      </c>
      <c r="J276" s="16">
        <f>IF(I276="","",E276*I276)</f>
        <v/>
      </c>
      <c r="K276">
        <f>IF(D276="","",IFERROR(VLOOKUP(D276,'Ürün Eşleştirme'!$A$6:$D$505,2,FALSE),D276))</f>
        <v/>
      </c>
      <c r="L276" s="17">
        <f>IF(D276="","",IFERROR(VLOOKUP(D276,'Ürün Eşleştirme'!$A$6:$D$505,4,FALSE),1))</f>
        <v/>
      </c>
      <c r="M276" s="16">
        <f>IF(I276="","",I276/L276)</f>
        <v/>
      </c>
      <c r="N276" s="16">
        <f>IF(M276="","",IFERROR(AVERAGEIFS($M$10:$M$1009,$K$10:$K$1009,K276,$A$10:$A$1009,"&lt;"&amp;A276,$A$10:$A$1009,"&gt;="&amp;(A276-$C$6)),""))</f>
        <v/>
      </c>
      <c r="O276" s="16">
        <f>IF(M276="","",_xlfn.MINIFS($M$10:$M$1009,$K$10:$K$1009,K276,$A$10:$A$1009,"&lt;="&amp;A276,$A$10:$A$1009,"&gt;="&amp;(A276-$C$6)))</f>
        <v/>
      </c>
      <c r="P276" s="18">
        <f>IF(OR(N276="",N276=0),"",M276/N276-1)</f>
        <v/>
      </c>
      <c r="Q276">
        <f>IF(D276="","",IF(COUNTIFS($B$10:$B$1009,B276,$C$10:$C$1009,C276,$D$10:$D$1009,D276,$E$10:$E$1009,E276)&gt;1,"MÜKERRER?",IF(P276="","",IF(P276&gt;=$C$5,"İNCELE",IF(P276&lt;=-$C$5,"Düşük",""))))</f>
        <v/>
      </c>
      <c r="R276" s="16">
        <f>IF(AND(P276&lt;&gt;"",N(P276)&gt;=$C$5,COUNTIFS($B$10:B276,B276,$C$10:C276,C276,$D$10:D276,D276,$E$10:E276,E276)=1),(M276-N276)*E276*L276,0)</f>
        <v/>
      </c>
      <c r="S276" s="19">
        <f>IF(D276="",0,N(E276)*L276)</f>
        <v/>
      </c>
    </row>
    <row r="277">
      <c r="A277" s="11" t="n"/>
      <c r="B277" s="12" t="n"/>
      <c r="C277" s="12" t="n"/>
      <c r="D277" s="12" t="n"/>
      <c r="E277" s="13" t="n"/>
      <c r="F277" s="12" t="n"/>
      <c r="G277" s="14" t="n"/>
      <c r="H277" s="15" t="n"/>
      <c r="I277" s="16">
        <f>IF(G277="","",G277*(1-N(H277)))</f>
        <v/>
      </c>
      <c r="J277" s="16">
        <f>IF(I277="","",E277*I277)</f>
        <v/>
      </c>
      <c r="K277">
        <f>IF(D277="","",IFERROR(VLOOKUP(D277,'Ürün Eşleştirme'!$A$6:$D$505,2,FALSE),D277))</f>
        <v/>
      </c>
      <c r="L277" s="17">
        <f>IF(D277="","",IFERROR(VLOOKUP(D277,'Ürün Eşleştirme'!$A$6:$D$505,4,FALSE),1))</f>
        <v/>
      </c>
      <c r="M277" s="16">
        <f>IF(I277="","",I277/L277)</f>
        <v/>
      </c>
      <c r="N277" s="16">
        <f>IF(M277="","",IFERROR(AVERAGEIFS($M$10:$M$1009,$K$10:$K$1009,K277,$A$10:$A$1009,"&lt;"&amp;A277,$A$10:$A$1009,"&gt;="&amp;(A277-$C$6)),""))</f>
        <v/>
      </c>
      <c r="O277" s="16">
        <f>IF(M277="","",_xlfn.MINIFS($M$10:$M$1009,$K$10:$K$1009,K277,$A$10:$A$1009,"&lt;="&amp;A277,$A$10:$A$1009,"&gt;="&amp;(A277-$C$6)))</f>
        <v/>
      </c>
      <c r="P277" s="18">
        <f>IF(OR(N277="",N277=0),"",M277/N277-1)</f>
        <v/>
      </c>
      <c r="Q277">
        <f>IF(D277="","",IF(COUNTIFS($B$10:$B$1009,B277,$C$10:$C$1009,C277,$D$10:$D$1009,D277,$E$10:$E$1009,E277)&gt;1,"MÜKERRER?",IF(P277="","",IF(P277&gt;=$C$5,"İNCELE",IF(P277&lt;=-$C$5,"Düşük",""))))</f>
        <v/>
      </c>
      <c r="R277" s="16">
        <f>IF(AND(P277&lt;&gt;"",N(P277)&gt;=$C$5,COUNTIFS($B$10:B277,B277,$C$10:C277,C277,$D$10:D277,D277,$E$10:E277,E277)=1),(M277-N277)*E277*L277,0)</f>
        <v/>
      </c>
      <c r="S277" s="19">
        <f>IF(D277="",0,N(E277)*L277)</f>
        <v/>
      </c>
    </row>
    <row r="278">
      <c r="A278" s="11" t="n"/>
      <c r="B278" s="12" t="n"/>
      <c r="C278" s="12" t="n"/>
      <c r="D278" s="12" t="n"/>
      <c r="E278" s="13" t="n"/>
      <c r="F278" s="12" t="n"/>
      <c r="G278" s="14" t="n"/>
      <c r="H278" s="15" t="n"/>
      <c r="I278" s="16">
        <f>IF(G278="","",G278*(1-N(H278)))</f>
        <v/>
      </c>
      <c r="J278" s="16">
        <f>IF(I278="","",E278*I278)</f>
        <v/>
      </c>
      <c r="K278">
        <f>IF(D278="","",IFERROR(VLOOKUP(D278,'Ürün Eşleştirme'!$A$6:$D$505,2,FALSE),D278))</f>
        <v/>
      </c>
      <c r="L278" s="17">
        <f>IF(D278="","",IFERROR(VLOOKUP(D278,'Ürün Eşleştirme'!$A$6:$D$505,4,FALSE),1))</f>
        <v/>
      </c>
      <c r="M278" s="16">
        <f>IF(I278="","",I278/L278)</f>
        <v/>
      </c>
      <c r="N278" s="16">
        <f>IF(M278="","",IFERROR(AVERAGEIFS($M$10:$M$1009,$K$10:$K$1009,K278,$A$10:$A$1009,"&lt;"&amp;A278,$A$10:$A$1009,"&gt;="&amp;(A278-$C$6)),""))</f>
        <v/>
      </c>
      <c r="O278" s="16">
        <f>IF(M278="","",_xlfn.MINIFS($M$10:$M$1009,$K$10:$K$1009,K278,$A$10:$A$1009,"&lt;="&amp;A278,$A$10:$A$1009,"&gt;="&amp;(A278-$C$6)))</f>
        <v/>
      </c>
      <c r="P278" s="18">
        <f>IF(OR(N278="",N278=0),"",M278/N278-1)</f>
        <v/>
      </c>
      <c r="Q278">
        <f>IF(D278="","",IF(COUNTIFS($B$10:$B$1009,B278,$C$10:$C$1009,C278,$D$10:$D$1009,D278,$E$10:$E$1009,E278)&gt;1,"MÜKERRER?",IF(P278="","",IF(P278&gt;=$C$5,"İNCELE",IF(P278&lt;=-$C$5,"Düşük",""))))</f>
        <v/>
      </c>
      <c r="R278" s="16">
        <f>IF(AND(P278&lt;&gt;"",N(P278)&gt;=$C$5,COUNTIFS($B$10:B278,B278,$C$10:C278,C278,$D$10:D278,D278,$E$10:E278,E278)=1),(M278-N278)*E278*L278,0)</f>
        <v/>
      </c>
      <c r="S278" s="19">
        <f>IF(D278="",0,N(E278)*L278)</f>
        <v/>
      </c>
    </row>
    <row r="279">
      <c r="A279" s="11" t="n"/>
      <c r="B279" s="12" t="n"/>
      <c r="C279" s="12" t="n"/>
      <c r="D279" s="12" t="n"/>
      <c r="E279" s="13" t="n"/>
      <c r="F279" s="12" t="n"/>
      <c r="G279" s="14" t="n"/>
      <c r="H279" s="15" t="n"/>
      <c r="I279" s="16">
        <f>IF(G279="","",G279*(1-N(H279)))</f>
        <v/>
      </c>
      <c r="J279" s="16">
        <f>IF(I279="","",E279*I279)</f>
        <v/>
      </c>
      <c r="K279">
        <f>IF(D279="","",IFERROR(VLOOKUP(D279,'Ürün Eşleştirme'!$A$6:$D$505,2,FALSE),D279))</f>
        <v/>
      </c>
      <c r="L279" s="17">
        <f>IF(D279="","",IFERROR(VLOOKUP(D279,'Ürün Eşleştirme'!$A$6:$D$505,4,FALSE),1))</f>
        <v/>
      </c>
      <c r="M279" s="16">
        <f>IF(I279="","",I279/L279)</f>
        <v/>
      </c>
      <c r="N279" s="16">
        <f>IF(M279="","",IFERROR(AVERAGEIFS($M$10:$M$1009,$K$10:$K$1009,K279,$A$10:$A$1009,"&lt;"&amp;A279,$A$10:$A$1009,"&gt;="&amp;(A279-$C$6)),""))</f>
        <v/>
      </c>
      <c r="O279" s="16">
        <f>IF(M279="","",_xlfn.MINIFS($M$10:$M$1009,$K$10:$K$1009,K279,$A$10:$A$1009,"&lt;="&amp;A279,$A$10:$A$1009,"&gt;="&amp;(A279-$C$6)))</f>
        <v/>
      </c>
      <c r="P279" s="18">
        <f>IF(OR(N279="",N279=0),"",M279/N279-1)</f>
        <v/>
      </c>
      <c r="Q279">
        <f>IF(D279="","",IF(COUNTIFS($B$10:$B$1009,B279,$C$10:$C$1009,C279,$D$10:$D$1009,D279,$E$10:$E$1009,E279)&gt;1,"MÜKERRER?",IF(P279="","",IF(P279&gt;=$C$5,"İNCELE",IF(P279&lt;=-$C$5,"Düşük",""))))</f>
        <v/>
      </c>
      <c r="R279" s="16">
        <f>IF(AND(P279&lt;&gt;"",N(P279)&gt;=$C$5,COUNTIFS($B$10:B279,B279,$C$10:C279,C279,$D$10:D279,D279,$E$10:E279,E279)=1),(M279-N279)*E279*L279,0)</f>
        <v/>
      </c>
      <c r="S279" s="19">
        <f>IF(D279="",0,N(E279)*L279)</f>
        <v/>
      </c>
    </row>
    <row r="280">
      <c r="A280" s="11" t="n"/>
      <c r="B280" s="12" t="n"/>
      <c r="C280" s="12" t="n"/>
      <c r="D280" s="12" t="n"/>
      <c r="E280" s="13" t="n"/>
      <c r="F280" s="12" t="n"/>
      <c r="G280" s="14" t="n"/>
      <c r="H280" s="15" t="n"/>
      <c r="I280" s="16">
        <f>IF(G280="","",G280*(1-N(H280)))</f>
        <v/>
      </c>
      <c r="J280" s="16">
        <f>IF(I280="","",E280*I280)</f>
        <v/>
      </c>
      <c r="K280">
        <f>IF(D280="","",IFERROR(VLOOKUP(D280,'Ürün Eşleştirme'!$A$6:$D$505,2,FALSE),D280))</f>
        <v/>
      </c>
      <c r="L280" s="17">
        <f>IF(D280="","",IFERROR(VLOOKUP(D280,'Ürün Eşleştirme'!$A$6:$D$505,4,FALSE),1))</f>
        <v/>
      </c>
      <c r="M280" s="16">
        <f>IF(I280="","",I280/L280)</f>
        <v/>
      </c>
      <c r="N280" s="16">
        <f>IF(M280="","",IFERROR(AVERAGEIFS($M$10:$M$1009,$K$10:$K$1009,K280,$A$10:$A$1009,"&lt;"&amp;A280,$A$10:$A$1009,"&gt;="&amp;(A280-$C$6)),""))</f>
        <v/>
      </c>
      <c r="O280" s="16">
        <f>IF(M280="","",_xlfn.MINIFS($M$10:$M$1009,$K$10:$K$1009,K280,$A$10:$A$1009,"&lt;="&amp;A280,$A$10:$A$1009,"&gt;="&amp;(A280-$C$6)))</f>
        <v/>
      </c>
      <c r="P280" s="18">
        <f>IF(OR(N280="",N280=0),"",M280/N280-1)</f>
        <v/>
      </c>
      <c r="Q280">
        <f>IF(D280="","",IF(COUNTIFS($B$10:$B$1009,B280,$C$10:$C$1009,C280,$D$10:$D$1009,D280,$E$10:$E$1009,E280)&gt;1,"MÜKERRER?",IF(P280="","",IF(P280&gt;=$C$5,"İNCELE",IF(P280&lt;=-$C$5,"Düşük",""))))</f>
        <v/>
      </c>
      <c r="R280" s="16">
        <f>IF(AND(P280&lt;&gt;"",N(P280)&gt;=$C$5,COUNTIFS($B$10:B280,B280,$C$10:C280,C280,$D$10:D280,D280,$E$10:E280,E280)=1),(M280-N280)*E280*L280,0)</f>
        <v/>
      </c>
      <c r="S280" s="19">
        <f>IF(D280="",0,N(E280)*L280)</f>
        <v/>
      </c>
    </row>
    <row r="281">
      <c r="A281" s="11" t="n"/>
      <c r="B281" s="12" t="n"/>
      <c r="C281" s="12" t="n"/>
      <c r="D281" s="12" t="n"/>
      <c r="E281" s="13" t="n"/>
      <c r="F281" s="12" t="n"/>
      <c r="G281" s="14" t="n"/>
      <c r="H281" s="15" t="n"/>
      <c r="I281" s="16">
        <f>IF(G281="","",G281*(1-N(H281)))</f>
        <v/>
      </c>
      <c r="J281" s="16">
        <f>IF(I281="","",E281*I281)</f>
        <v/>
      </c>
      <c r="K281">
        <f>IF(D281="","",IFERROR(VLOOKUP(D281,'Ürün Eşleştirme'!$A$6:$D$505,2,FALSE),D281))</f>
        <v/>
      </c>
      <c r="L281" s="17">
        <f>IF(D281="","",IFERROR(VLOOKUP(D281,'Ürün Eşleştirme'!$A$6:$D$505,4,FALSE),1))</f>
        <v/>
      </c>
      <c r="M281" s="16">
        <f>IF(I281="","",I281/L281)</f>
        <v/>
      </c>
      <c r="N281" s="16">
        <f>IF(M281="","",IFERROR(AVERAGEIFS($M$10:$M$1009,$K$10:$K$1009,K281,$A$10:$A$1009,"&lt;"&amp;A281,$A$10:$A$1009,"&gt;="&amp;(A281-$C$6)),""))</f>
        <v/>
      </c>
      <c r="O281" s="16">
        <f>IF(M281="","",_xlfn.MINIFS($M$10:$M$1009,$K$10:$K$1009,K281,$A$10:$A$1009,"&lt;="&amp;A281,$A$10:$A$1009,"&gt;="&amp;(A281-$C$6)))</f>
        <v/>
      </c>
      <c r="P281" s="18">
        <f>IF(OR(N281="",N281=0),"",M281/N281-1)</f>
        <v/>
      </c>
      <c r="Q281">
        <f>IF(D281="","",IF(COUNTIFS($B$10:$B$1009,B281,$C$10:$C$1009,C281,$D$10:$D$1009,D281,$E$10:$E$1009,E281)&gt;1,"MÜKERRER?",IF(P281="","",IF(P281&gt;=$C$5,"İNCELE",IF(P281&lt;=-$C$5,"Düşük",""))))</f>
        <v/>
      </c>
      <c r="R281" s="16">
        <f>IF(AND(P281&lt;&gt;"",N(P281)&gt;=$C$5,COUNTIFS($B$10:B281,B281,$C$10:C281,C281,$D$10:D281,D281,$E$10:E281,E281)=1),(M281-N281)*E281*L281,0)</f>
        <v/>
      </c>
      <c r="S281" s="19">
        <f>IF(D281="",0,N(E281)*L281)</f>
        <v/>
      </c>
    </row>
    <row r="282">
      <c r="A282" s="11" t="n"/>
      <c r="B282" s="12" t="n"/>
      <c r="C282" s="12" t="n"/>
      <c r="D282" s="12" t="n"/>
      <c r="E282" s="13" t="n"/>
      <c r="F282" s="12" t="n"/>
      <c r="G282" s="14" t="n"/>
      <c r="H282" s="15" t="n"/>
      <c r="I282" s="16">
        <f>IF(G282="","",G282*(1-N(H282)))</f>
        <v/>
      </c>
      <c r="J282" s="16">
        <f>IF(I282="","",E282*I282)</f>
        <v/>
      </c>
      <c r="K282">
        <f>IF(D282="","",IFERROR(VLOOKUP(D282,'Ürün Eşleştirme'!$A$6:$D$505,2,FALSE),D282))</f>
        <v/>
      </c>
      <c r="L282" s="17">
        <f>IF(D282="","",IFERROR(VLOOKUP(D282,'Ürün Eşleştirme'!$A$6:$D$505,4,FALSE),1))</f>
        <v/>
      </c>
      <c r="M282" s="16">
        <f>IF(I282="","",I282/L282)</f>
        <v/>
      </c>
      <c r="N282" s="16">
        <f>IF(M282="","",IFERROR(AVERAGEIFS($M$10:$M$1009,$K$10:$K$1009,K282,$A$10:$A$1009,"&lt;"&amp;A282,$A$10:$A$1009,"&gt;="&amp;(A282-$C$6)),""))</f>
        <v/>
      </c>
      <c r="O282" s="16">
        <f>IF(M282="","",_xlfn.MINIFS($M$10:$M$1009,$K$10:$K$1009,K282,$A$10:$A$1009,"&lt;="&amp;A282,$A$10:$A$1009,"&gt;="&amp;(A282-$C$6)))</f>
        <v/>
      </c>
      <c r="P282" s="18">
        <f>IF(OR(N282="",N282=0),"",M282/N282-1)</f>
        <v/>
      </c>
      <c r="Q282">
        <f>IF(D282="","",IF(COUNTIFS($B$10:$B$1009,B282,$C$10:$C$1009,C282,$D$10:$D$1009,D282,$E$10:$E$1009,E282)&gt;1,"MÜKERRER?",IF(P282="","",IF(P282&gt;=$C$5,"İNCELE",IF(P282&lt;=-$C$5,"Düşük",""))))</f>
        <v/>
      </c>
      <c r="R282" s="16">
        <f>IF(AND(P282&lt;&gt;"",N(P282)&gt;=$C$5,COUNTIFS($B$10:B282,B282,$C$10:C282,C282,$D$10:D282,D282,$E$10:E282,E282)=1),(M282-N282)*E282*L282,0)</f>
        <v/>
      </c>
      <c r="S282" s="19">
        <f>IF(D282="",0,N(E282)*L282)</f>
        <v/>
      </c>
    </row>
    <row r="283">
      <c r="A283" s="11" t="n"/>
      <c r="B283" s="12" t="n"/>
      <c r="C283" s="12" t="n"/>
      <c r="D283" s="12" t="n"/>
      <c r="E283" s="13" t="n"/>
      <c r="F283" s="12" t="n"/>
      <c r="G283" s="14" t="n"/>
      <c r="H283" s="15" t="n"/>
      <c r="I283" s="16">
        <f>IF(G283="","",G283*(1-N(H283)))</f>
        <v/>
      </c>
      <c r="J283" s="16">
        <f>IF(I283="","",E283*I283)</f>
        <v/>
      </c>
      <c r="K283">
        <f>IF(D283="","",IFERROR(VLOOKUP(D283,'Ürün Eşleştirme'!$A$6:$D$505,2,FALSE),D283))</f>
        <v/>
      </c>
      <c r="L283" s="17">
        <f>IF(D283="","",IFERROR(VLOOKUP(D283,'Ürün Eşleştirme'!$A$6:$D$505,4,FALSE),1))</f>
        <v/>
      </c>
      <c r="M283" s="16">
        <f>IF(I283="","",I283/L283)</f>
        <v/>
      </c>
      <c r="N283" s="16">
        <f>IF(M283="","",IFERROR(AVERAGEIFS($M$10:$M$1009,$K$10:$K$1009,K283,$A$10:$A$1009,"&lt;"&amp;A283,$A$10:$A$1009,"&gt;="&amp;(A283-$C$6)),""))</f>
        <v/>
      </c>
      <c r="O283" s="16">
        <f>IF(M283="","",_xlfn.MINIFS($M$10:$M$1009,$K$10:$K$1009,K283,$A$10:$A$1009,"&lt;="&amp;A283,$A$10:$A$1009,"&gt;="&amp;(A283-$C$6)))</f>
        <v/>
      </c>
      <c r="P283" s="18">
        <f>IF(OR(N283="",N283=0),"",M283/N283-1)</f>
        <v/>
      </c>
      <c r="Q283">
        <f>IF(D283="","",IF(COUNTIFS($B$10:$B$1009,B283,$C$10:$C$1009,C283,$D$10:$D$1009,D283,$E$10:$E$1009,E283)&gt;1,"MÜKERRER?",IF(P283="","",IF(P283&gt;=$C$5,"İNCELE",IF(P283&lt;=-$C$5,"Düşük",""))))</f>
        <v/>
      </c>
      <c r="R283" s="16">
        <f>IF(AND(P283&lt;&gt;"",N(P283)&gt;=$C$5,COUNTIFS($B$10:B283,B283,$C$10:C283,C283,$D$10:D283,D283,$E$10:E283,E283)=1),(M283-N283)*E283*L283,0)</f>
        <v/>
      </c>
      <c r="S283" s="19">
        <f>IF(D283="",0,N(E283)*L283)</f>
        <v/>
      </c>
    </row>
    <row r="284">
      <c r="A284" s="11" t="n"/>
      <c r="B284" s="12" t="n"/>
      <c r="C284" s="12" t="n"/>
      <c r="D284" s="12" t="n"/>
      <c r="E284" s="13" t="n"/>
      <c r="F284" s="12" t="n"/>
      <c r="G284" s="14" t="n"/>
      <c r="H284" s="15" t="n"/>
      <c r="I284" s="16">
        <f>IF(G284="","",G284*(1-N(H284)))</f>
        <v/>
      </c>
      <c r="J284" s="16">
        <f>IF(I284="","",E284*I284)</f>
        <v/>
      </c>
      <c r="K284">
        <f>IF(D284="","",IFERROR(VLOOKUP(D284,'Ürün Eşleştirme'!$A$6:$D$505,2,FALSE),D284))</f>
        <v/>
      </c>
      <c r="L284" s="17">
        <f>IF(D284="","",IFERROR(VLOOKUP(D284,'Ürün Eşleştirme'!$A$6:$D$505,4,FALSE),1))</f>
        <v/>
      </c>
      <c r="M284" s="16">
        <f>IF(I284="","",I284/L284)</f>
        <v/>
      </c>
      <c r="N284" s="16">
        <f>IF(M284="","",IFERROR(AVERAGEIFS($M$10:$M$1009,$K$10:$K$1009,K284,$A$10:$A$1009,"&lt;"&amp;A284,$A$10:$A$1009,"&gt;="&amp;(A284-$C$6)),""))</f>
        <v/>
      </c>
      <c r="O284" s="16">
        <f>IF(M284="","",_xlfn.MINIFS($M$10:$M$1009,$K$10:$K$1009,K284,$A$10:$A$1009,"&lt;="&amp;A284,$A$10:$A$1009,"&gt;="&amp;(A284-$C$6)))</f>
        <v/>
      </c>
      <c r="P284" s="18">
        <f>IF(OR(N284="",N284=0),"",M284/N284-1)</f>
        <v/>
      </c>
      <c r="Q284">
        <f>IF(D284="","",IF(COUNTIFS($B$10:$B$1009,B284,$C$10:$C$1009,C284,$D$10:$D$1009,D284,$E$10:$E$1009,E284)&gt;1,"MÜKERRER?",IF(P284="","",IF(P284&gt;=$C$5,"İNCELE",IF(P284&lt;=-$C$5,"Düşük",""))))</f>
        <v/>
      </c>
      <c r="R284" s="16">
        <f>IF(AND(P284&lt;&gt;"",N(P284)&gt;=$C$5,COUNTIFS($B$10:B284,B284,$C$10:C284,C284,$D$10:D284,D284,$E$10:E284,E284)=1),(M284-N284)*E284*L284,0)</f>
        <v/>
      </c>
      <c r="S284" s="19">
        <f>IF(D284="",0,N(E284)*L284)</f>
        <v/>
      </c>
    </row>
    <row r="285">
      <c r="A285" s="11" t="n"/>
      <c r="B285" s="12" t="n"/>
      <c r="C285" s="12" t="n"/>
      <c r="D285" s="12" t="n"/>
      <c r="E285" s="13" t="n"/>
      <c r="F285" s="12" t="n"/>
      <c r="G285" s="14" t="n"/>
      <c r="H285" s="15" t="n"/>
      <c r="I285" s="16">
        <f>IF(G285="","",G285*(1-N(H285)))</f>
        <v/>
      </c>
      <c r="J285" s="16">
        <f>IF(I285="","",E285*I285)</f>
        <v/>
      </c>
      <c r="K285">
        <f>IF(D285="","",IFERROR(VLOOKUP(D285,'Ürün Eşleştirme'!$A$6:$D$505,2,FALSE),D285))</f>
        <v/>
      </c>
      <c r="L285" s="17">
        <f>IF(D285="","",IFERROR(VLOOKUP(D285,'Ürün Eşleştirme'!$A$6:$D$505,4,FALSE),1))</f>
        <v/>
      </c>
      <c r="M285" s="16">
        <f>IF(I285="","",I285/L285)</f>
        <v/>
      </c>
      <c r="N285" s="16">
        <f>IF(M285="","",IFERROR(AVERAGEIFS($M$10:$M$1009,$K$10:$K$1009,K285,$A$10:$A$1009,"&lt;"&amp;A285,$A$10:$A$1009,"&gt;="&amp;(A285-$C$6)),""))</f>
        <v/>
      </c>
      <c r="O285" s="16">
        <f>IF(M285="","",_xlfn.MINIFS($M$10:$M$1009,$K$10:$K$1009,K285,$A$10:$A$1009,"&lt;="&amp;A285,$A$10:$A$1009,"&gt;="&amp;(A285-$C$6)))</f>
        <v/>
      </c>
      <c r="P285" s="18">
        <f>IF(OR(N285="",N285=0),"",M285/N285-1)</f>
        <v/>
      </c>
      <c r="Q285">
        <f>IF(D285="","",IF(COUNTIFS($B$10:$B$1009,B285,$C$10:$C$1009,C285,$D$10:$D$1009,D285,$E$10:$E$1009,E285)&gt;1,"MÜKERRER?",IF(P285="","",IF(P285&gt;=$C$5,"İNCELE",IF(P285&lt;=-$C$5,"Düşük",""))))</f>
        <v/>
      </c>
      <c r="R285" s="16">
        <f>IF(AND(P285&lt;&gt;"",N(P285)&gt;=$C$5,COUNTIFS($B$10:B285,B285,$C$10:C285,C285,$D$10:D285,D285,$E$10:E285,E285)=1),(M285-N285)*E285*L285,0)</f>
        <v/>
      </c>
      <c r="S285" s="19">
        <f>IF(D285="",0,N(E285)*L285)</f>
        <v/>
      </c>
    </row>
    <row r="286">
      <c r="A286" s="11" t="n"/>
      <c r="B286" s="12" t="n"/>
      <c r="C286" s="12" t="n"/>
      <c r="D286" s="12" t="n"/>
      <c r="E286" s="13" t="n"/>
      <c r="F286" s="12" t="n"/>
      <c r="G286" s="14" t="n"/>
      <c r="H286" s="15" t="n"/>
      <c r="I286" s="16">
        <f>IF(G286="","",G286*(1-N(H286)))</f>
        <v/>
      </c>
      <c r="J286" s="16">
        <f>IF(I286="","",E286*I286)</f>
        <v/>
      </c>
      <c r="K286">
        <f>IF(D286="","",IFERROR(VLOOKUP(D286,'Ürün Eşleştirme'!$A$6:$D$505,2,FALSE),D286))</f>
        <v/>
      </c>
      <c r="L286" s="17">
        <f>IF(D286="","",IFERROR(VLOOKUP(D286,'Ürün Eşleştirme'!$A$6:$D$505,4,FALSE),1))</f>
        <v/>
      </c>
      <c r="M286" s="16">
        <f>IF(I286="","",I286/L286)</f>
        <v/>
      </c>
      <c r="N286" s="16">
        <f>IF(M286="","",IFERROR(AVERAGEIFS($M$10:$M$1009,$K$10:$K$1009,K286,$A$10:$A$1009,"&lt;"&amp;A286,$A$10:$A$1009,"&gt;="&amp;(A286-$C$6)),""))</f>
        <v/>
      </c>
      <c r="O286" s="16">
        <f>IF(M286="","",_xlfn.MINIFS($M$10:$M$1009,$K$10:$K$1009,K286,$A$10:$A$1009,"&lt;="&amp;A286,$A$10:$A$1009,"&gt;="&amp;(A286-$C$6)))</f>
        <v/>
      </c>
      <c r="P286" s="18">
        <f>IF(OR(N286="",N286=0),"",M286/N286-1)</f>
        <v/>
      </c>
      <c r="Q286">
        <f>IF(D286="","",IF(COUNTIFS($B$10:$B$1009,B286,$C$10:$C$1009,C286,$D$10:$D$1009,D286,$E$10:$E$1009,E286)&gt;1,"MÜKERRER?",IF(P286="","",IF(P286&gt;=$C$5,"İNCELE",IF(P286&lt;=-$C$5,"Düşük",""))))</f>
        <v/>
      </c>
      <c r="R286" s="16">
        <f>IF(AND(P286&lt;&gt;"",N(P286)&gt;=$C$5,COUNTIFS($B$10:B286,B286,$C$10:C286,C286,$D$10:D286,D286,$E$10:E286,E286)=1),(M286-N286)*E286*L286,0)</f>
        <v/>
      </c>
      <c r="S286" s="19">
        <f>IF(D286="",0,N(E286)*L286)</f>
        <v/>
      </c>
    </row>
    <row r="287">
      <c r="A287" s="11" t="n"/>
      <c r="B287" s="12" t="n"/>
      <c r="C287" s="12" t="n"/>
      <c r="D287" s="12" t="n"/>
      <c r="E287" s="13" t="n"/>
      <c r="F287" s="12" t="n"/>
      <c r="G287" s="14" t="n"/>
      <c r="H287" s="15" t="n"/>
      <c r="I287" s="16">
        <f>IF(G287="","",G287*(1-N(H287)))</f>
        <v/>
      </c>
      <c r="J287" s="16">
        <f>IF(I287="","",E287*I287)</f>
        <v/>
      </c>
      <c r="K287">
        <f>IF(D287="","",IFERROR(VLOOKUP(D287,'Ürün Eşleştirme'!$A$6:$D$505,2,FALSE),D287))</f>
        <v/>
      </c>
      <c r="L287" s="17">
        <f>IF(D287="","",IFERROR(VLOOKUP(D287,'Ürün Eşleştirme'!$A$6:$D$505,4,FALSE),1))</f>
        <v/>
      </c>
      <c r="M287" s="16">
        <f>IF(I287="","",I287/L287)</f>
        <v/>
      </c>
      <c r="N287" s="16">
        <f>IF(M287="","",IFERROR(AVERAGEIFS($M$10:$M$1009,$K$10:$K$1009,K287,$A$10:$A$1009,"&lt;"&amp;A287,$A$10:$A$1009,"&gt;="&amp;(A287-$C$6)),""))</f>
        <v/>
      </c>
      <c r="O287" s="16">
        <f>IF(M287="","",_xlfn.MINIFS($M$10:$M$1009,$K$10:$K$1009,K287,$A$10:$A$1009,"&lt;="&amp;A287,$A$10:$A$1009,"&gt;="&amp;(A287-$C$6)))</f>
        <v/>
      </c>
      <c r="P287" s="18">
        <f>IF(OR(N287="",N287=0),"",M287/N287-1)</f>
        <v/>
      </c>
      <c r="Q287">
        <f>IF(D287="","",IF(COUNTIFS($B$10:$B$1009,B287,$C$10:$C$1009,C287,$D$10:$D$1009,D287,$E$10:$E$1009,E287)&gt;1,"MÜKERRER?",IF(P287="","",IF(P287&gt;=$C$5,"İNCELE",IF(P287&lt;=-$C$5,"Düşük",""))))</f>
        <v/>
      </c>
      <c r="R287" s="16">
        <f>IF(AND(P287&lt;&gt;"",N(P287)&gt;=$C$5,COUNTIFS($B$10:B287,B287,$C$10:C287,C287,$D$10:D287,D287,$E$10:E287,E287)=1),(M287-N287)*E287*L287,0)</f>
        <v/>
      </c>
      <c r="S287" s="19">
        <f>IF(D287="",0,N(E287)*L287)</f>
        <v/>
      </c>
    </row>
    <row r="288">
      <c r="A288" s="11" t="n"/>
      <c r="B288" s="12" t="n"/>
      <c r="C288" s="12" t="n"/>
      <c r="D288" s="12" t="n"/>
      <c r="E288" s="13" t="n"/>
      <c r="F288" s="12" t="n"/>
      <c r="G288" s="14" t="n"/>
      <c r="H288" s="15" t="n"/>
      <c r="I288" s="16">
        <f>IF(G288="","",G288*(1-N(H288)))</f>
        <v/>
      </c>
      <c r="J288" s="16">
        <f>IF(I288="","",E288*I288)</f>
        <v/>
      </c>
      <c r="K288">
        <f>IF(D288="","",IFERROR(VLOOKUP(D288,'Ürün Eşleştirme'!$A$6:$D$505,2,FALSE),D288))</f>
        <v/>
      </c>
      <c r="L288" s="17">
        <f>IF(D288="","",IFERROR(VLOOKUP(D288,'Ürün Eşleştirme'!$A$6:$D$505,4,FALSE),1))</f>
        <v/>
      </c>
      <c r="M288" s="16">
        <f>IF(I288="","",I288/L288)</f>
        <v/>
      </c>
      <c r="N288" s="16">
        <f>IF(M288="","",IFERROR(AVERAGEIFS($M$10:$M$1009,$K$10:$K$1009,K288,$A$10:$A$1009,"&lt;"&amp;A288,$A$10:$A$1009,"&gt;="&amp;(A288-$C$6)),""))</f>
        <v/>
      </c>
      <c r="O288" s="16">
        <f>IF(M288="","",_xlfn.MINIFS($M$10:$M$1009,$K$10:$K$1009,K288,$A$10:$A$1009,"&lt;="&amp;A288,$A$10:$A$1009,"&gt;="&amp;(A288-$C$6)))</f>
        <v/>
      </c>
      <c r="P288" s="18">
        <f>IF(OR(N288="",N288=0),"",M288/N288-1)</f>
        <v/>
      </c>
      <c r="Q288">
        <f>IF(D288="","",IF(COUNTIFS($B$10:$B$1009,B288,$C$10:$C$1009,C288,$D$10:$D$1009,D288,$E$10:$E$1009,E288)&gt;1,"MÜKERRER?",IF(P288="","",IF(P288&gt;=$C$5,"İNCELE",IF(P288&lt;=-$C$5,"Düşük",""))))</f>
        <v/>
      </c>
      <c r="R288" s="16">
        <f>IF(AND(P288&lt;&gt;"",N(P288)&gt;=$C$5,COUNTIFS($B$10:B288,B288,$C$10:C288,C288,$D$10:D288,D288,$E$10:E288,E288)=1),(M288-N288)*E288*L288,0)</f>
        <v/>
      </c>
      <c r="S288" s="19">
        <f>IF(D288="",0,N(E288)*L288)</f>
        <v/>
      </c>
    </row>
    <row r="289">
      <c r="A289" s="11" t="n"/>
      <c r="B289" s="12" t="n"/>
      <c r="C289" s="12" t="n"/>
      <c r="D289" s="12" t="n"/>
      <c r="E289" s="13" t="n"/>
      <c r="F289" s="12" t="n"/>
      <c r="G289" s="14" t="n"/>
      <c r="H289" s="15" t="n"/>
      <c r="I289" s="16">
        <f>IF(G289="","",G289*(1-N(H289)))</f>
        <v/>
      </c>
      <c r="J289" s="16">
        <f>IF(I289="","",E289*I289)</f>
        <v/>
      </c>
      <c r="K289">
        <f>IF(D289="","",IFERROR(VLOOKUP(D289,'Ürün Eşleştirme'!$A$6:$D$505,2,FALSE),D289))</f>
        <v/>
      </c>
      <c r="L289" s="17">
        <f>IF(D289="","",IFERROR(VLOOKUP(D289,'Ürün Eşleştirme'!$A$6:$D$505,4,FALSE),1))</f>
        <v/>
      </c>
      <c r="M289" s="16">
        <f>IF(I289="","",I289/L289)</f>
        <v/>
      </c>
      <c r="N289" s="16">
        <f>IF(M289="","",IFERROR(AVERAGEIFS($M$10:$M$1009,$K$10:$K$1009,K289,$A$10:$A$1009,"&lt;"&amp;A289,$A$10:$A$1009,"&gt;="&amp;(A289-$C$6)),""))</f>
        <v/>
      </c>
      <c r="O289" s="16">
        <f>IF(M289="","",_xlfn.MINIFS($M$10:$M$1009,$K$10:$K$1009,K289,$A$10:$A$1009,"&lt;="&amp;A289,$A$10:$A$1009,"&gt;="&amp;(A289-$C$6)))</f>
        <v/>
      </c>
      <c r="P289" s="18">
        <f>IF(OR(N289="",N289=0),"",M289/N289-1)</f>
        <v/>
      </c>
      <c r="Q289">
        <f>IF(D289="","",IF(COUNTIFS($B$10:$B$1009,B289,$C$10:$C$1009,C289,$D$10:$D$1009,D289,$E$10:$E$1009,E289)&gt;1,"MÜKERRER?",IF(P289="","",IF(P289&gt;=$C$5,"İNCELE",IF(P289&lt;=-$C$5,"Düşük",""))))</f>
        <v/>
      </c>
      <c r="R289" s="16">
        <f>IF(AND(P289&lt;&gt;"",N(P289)&gt;=$C$5,COUNTIFS($B$10:B289,B289,$C$10:C289,C289,$D$10:D289,D289,$E$10:E289,E289)=1),(M289-N289)*E289*L289,0)</f>
        <v/>
      </c>
      <c r="S289" s="19">
        <f>IF(D289="",0,N(E289)*L289)</f>
        <v/>
      </c>
    </row>
    <row r="290">
      <c r="A290" s="11" t="n"/>
      <c r="B290" s="12" t="n"/>
      <c r="C290" s="12" t="n"/>
      <c r="D290" s="12" t="n"/>
      <c r="E290" s="13" t="n"/>
      <c r="F290" s="12" t="n"/>
      <c r="G290" s="14" t="n"/>
      <c r="H290" s="15" t="n"/>
      <c r="I290" s="16">
        <f>IF(G290="","",G290*(1-N(H290)))</f>
        <v/>
      </c>
      <c r="J290" s="16">
        <f>IF(I290="","",E290*I290)</f>
        <v/>
      </c>
      <c r="K290">
        <f>IF(D290="","",IFERROR(VLOOKUP(D290,'Ürün Eşleştirme'!$A$6:$D$505,2,FALSE),D290))</f>
        <v/>
      </c>
      <c r="L290" s="17">
        <f>IF(D290="","",IFERROR(VLOOKUP(D290,'Ürün Eşleştirme'!$A$6:$D$505,4,FALSE),1))</f>
        <v/>
      </c>
      <c r="M290" s="16">
        <f>IF(I290="","",I290/L290)</f>
        <v/>
      </c>
      <c r="N290" s="16">
        <f>IF(M290="","",IFERROR(AVERAGEIFS($M$10:$M$1009,$K$10:$K$1009,K290,$A$10:$A$1009,"&lt;"&amp;A290,$A$10:$A$1009,"&gt;="&amp;(A290-$C$6)),""))</f>
        <v/>
      </c>
      <c r="O290" s="16">
        <f>IF(M290="","",_xlfn.MINIFS($M$10:$M$1009,$K$10:$K$1009,K290,$A$10:$A$1009,"&lt;="&amp;A290,$A$10:$A$1009,"&gt;="&amp;(A290-$C$6)))</f>
        <v/>
      </c>
      <c r="P290" s="18">
        <f>IF(OR(N290="",N290=0),"",M290/N290-1)</f>
        <v/>
      </c>
      <c r="Q290">
        <f>IF(D290="","",IF(COUNTIFS($B$10:$B$1009,B290,$C$10:$C$1009,C290,$D$10:$D$1009,D290,$E$10:$E$1009,E290)&gt;1,"MÜKERRER?",IF(P290="","",IF(P290&gt;=$C$5,"İNCELE",IF(P290&lt;=-$C$5,"Düşük",""))))</f>
        <v/>
      </c>
      <c r="R290" s="16">
        <f>IF(AND(P290&lt;&gt;"",N(P290)&gt;=$C$5,COUNTIFS($B$10:B290,B290,$C$10:C290,C290,$D$10:D290,D290,$E$10:E290,E290)=1),(M290-N290)*E290*L290,0)</f>
        <v/>
      </c>
      <c r="S290" s="19">
        <f>IF(D290="",0,N(E290)*L290)</f>
        <v/>
      </c>
    </row>
    <row r="291">
      <c r="A291" s="11" t="n"/>
      <c r="B291" s="12" t="n"/>
      <c r="C291" s="12" t="n"/>
      <c r="D291" s="12" t="n"/>
      <c r="E291" s="13" t="n"/>
      <c r="F291" s="12" t="n"/>
      <c r="G291" s="14" t="n"/>
      <c r="H291" s="15" t="n"/>
      <c r="I291" s="16">
        <f>IF(G291="","",G291*(1-N(H291)))</f>
        <v/>
      </c>
      <c r="J291" s="16">
        <f>IF(I291="","",E291*I291)</f>
        <v/>
      </c>
      <c r="K291">
        <f>IF(D291="","",IFERROR(VLOOKUP(D291,'Ürün Eşleştirme'!$A$6:$D$505,2,FALSE),D291))</f>
        <v/>
      </c>
      <c r="L291" s="17">
        <f>IF(D291="","",IFERROR(VLOOKUP(D291,'Ürün Eşleştirme'!$A$6:$D$505,4,FALSE),1))</f>
        <v/>
      </c>
      <c r="M291" s="16">
        <f>IF(I291="","",I291/L291)</f>
        <v/>
      </c>
      <c r="N291" s="16">
        <f>IF(M291="","",IFERROR(AVERAGEIFS($M$10:$M$1009,$K$10:$K$1009,K291,$A$10:$A$1009,"&lt;"&amp;A291,$A$10:$A$1009,"&gt;="&amp;(A291-$C$6)),""))</f>
        <v/>
      </c>
      <c r="O291" s="16">
        <f>IF(M291="","",_xlfn.MINIFS($M$10:$M$1009,$K$10:$K$1009,K291,$A$10:$A$1009,"&lt;="&amp;A291,$A$10:$A$1009,"&gt;="&amp;(A291-$C$6)))</f>
        <v/>
      </c>
      <c r="P291" s="18">
        <f>IF(OR(N291="",N291=0),"",M291/N291-1)</f>
        <v/>
      </c>
      <c r="Q291">
        <f>IF(D291="","",IF(COUNTIFS($B$10:$B$1009,B291,$C$10:$C$1009,C291,$D$10:$D$1009,D291,$E$10:$E$1009,E291)&gt;1,"MÜKERRER?",IF(P291="","",IF(P291&gt;=$C$5,"İNCELE",IF(P291&lt;=-$C$5,"Düşük",""))))</f>
        <v/>
      </c>
      <c r="R291" s="16">
        <f>IF(AND(P291&lt;&gt;"",N(P291)&gt;=$C$5,COUNTIFS($B$10:B291,B291,$C$10:C291,C291,$D$10:D291,D291,$E$10:E291,E291)=1),(M291-N291)*E291*L291,0)</f>
        <v/>
      </c>
      <c r="S291" s="19">
        <f>IF(D291="",0,N(E291)*L291)</f>
        <v/>
      </c>
    </row>
    <row r="292">
      <c r="A292" s="11" t="n"/>
      <c r="B292" s="12" t="n"/>
      <c r="C292" s="12" t="n"/>
      <c r="D292" s="12" t="n"/>
      <c r="E292" s="13" t="n"/>
      <c r="F292" s="12" t="n"/>
      <c r="G292" s="14" t="n"/>
      <c r="H292" s="15" t="n"/>
      <c r="I292" s="16">
        <f>IF(G292="","",G292*(1-N(H292)))</f>
        <v/>
      </c>
      <c r="J292" s="16">
        <f>IF(I292="","",E292*I292)</f>
        <v/>
      </c>
      <c r="K292">
        <f>IF(D292="","",IFERROR(VLOOKUP(D292,'Ürün Eşleştirme'!$A$6:$D$505,2,FALSE),D292))</f>
        <v/>
      </c>
      <c r="L292" s="17">
        <f>IF(D292="","",IFERROR(VLOOKUP(D292,'Ürün Eşleştirme'!$A$6:$D$505,4,FALSE),1))</f>
        <v/>
      </c>
      <c r="M292" s="16">
        <f>IF(I292="","",I292/L292)</f>
        <v/>
      </c>
      <c r="N292" s="16">
        <f>IF(M292="","",IFERROR(AVERAGEIFS($M$10:$M$1009,$K$10:$K$1009,K292,$A$10:$A$1009,"&lt;"&amp;A292,$A$10:$A$1009,"&gt;="&amp;(A292-$C$6)),""))</f>
        <v/>
      </c>
      <c r="O292" s="16">
        <f>IF(M292="","",_xlfn.MINIFS($M$10:$M$1009,$K$10:$K$1009,K292,$A$10:$A$1009,"&lt;="&amp;A292,$A$10:$A$1009,"&gt;="&amp;(A292-$C$6)))</f>
        <v/>
      </c>
      <c r="P292" s="18">
        <f>IF(OR(N292="",N292=0),"",M292/N292-1)</f>
        <v/>
      </c>
      <c r="Q292">
        <f>IF(D292="","",IF(COUNTIFS($B$10:$B$1009,B292,$C$10:$C$1009,C292,$D$10:$D$1009,D292,$E$10:$E$1009,E292)&gt;1,"MÜKERRER?",IF(P292="","",IF(P292&gt;=$C$5,"İNCELE",IF(P292&lt;=-$C$5,"Düşük",""))))</f>
        <v/>
      </c>
      <c r="R292" s="16">
        <f>IF(AND(P292&lt;&gt;"",N(P292)&gt;=$C$5,COUNTIFS($B$10:B292,B292,$C$10:C292,C292,$D$10:D292,D292,$E$10:E292,E292)=1),(M292-N292)*E292*L292,0)</f>
        <v/>
      </c>
      <c r="S292" s="19">
        <f>IF(D292="",0,N(E292)*L292)</f>
        <v/>
      </c>
    </row>
    <row r="293">
      <c r="A293" s="11" t="n"/>
      <c r="B293" s="12" t="n"/>
      <c r="C293" s="12" t="n"/>
      <c r="D293" s="12" t="n"/>
      <c r="E293" s="13" t="n"/>
      <c r="F293" s="12" t="n"/>
      <c r="G293" s="14" t="n"/>
      <c r="H293" s="15" t="n"/>
      <c r="I293" s="16">
        <f>IF(G293="","",G293*(1-N(H293)))</f>
        <v/>
      </c>
      <c r="J293" s="16">
        <f>IF(I293="","",E293*I293)</f>
        <v/>
      </c>
      <c r="K293">
        <f>IF(D293="","",IFERROR(VLOOKUP(D293,'Ürün Eşleştirme'!$A$6:$D$505,2,FALSE),D293))</f>
        <v/>
      </c>
      <c r="L293" s="17">
        <f>IF(D293="","",IFERROR(VLOOKUP(D293,'Ürün Eşleştirme'!$A$6:$D$505,4,FALSE),1))</f>
        <v/>
      </c>
      <c r="M293" s="16">
        <f>IF(I293="","",I293/L293)</f>
        <v/>
      </c>
      <c r="N293" s="16">
        <f>IF(M293="","",IFERROR(AVERAGEIFS($M$10:$M$1009,$K$10:$K$1009,K293,$A$10:$A$1009,"&lt;"&amp;A293,$A$10:$A$1009,"&gt;="&amp;(A293-$C$6)),""))</f>
        <v/>
      </c>
      <c r="O293" s="16">
        <f>IF(M293="","",_xlfn.MINIFS($M$10:$M$1009,$K$10:$K$1009,K293,$A$10:$A$1009,"&lt;="&amp;A293,$A$10:$A$1009,"&gt;="&amp;(A293-$C$6)))</f>
        <v/>
      </c>
      <c r="P293" s="18">
        <f>IF(OR(N293="",N293=0),"",M293/N293-1)</f>
        <v/>
      </c>
      <c r="Q293">
        <f>IF(D293="","",IF(COUNTIFS($B$10:$B$1009,B293,$C$10:$C$1009,C293,$D$10:$D$1009,D293,$E$10:$E$1009,E293)&gt;1,"MÜKERRER?",IF(P293="","",IF(P293&gt;=$C$5,"İNCELE",IF(P293&lt;=-$C$5,"Düşük",""))))</f>
        <v/>
      </c>
      <c r="R293" s="16">
        <f>IF(AND(P293&lt;&gt;"",N(P293)&gt;=$C$5,COUNTIFS($B$10:B293,B293,$C$10:C293,C293,$D$10:D293,D293,$E$10:E293,E293)=1),(M293-N293)*E293*L293,0)</f>
        <v/>
      </c>
      <c r="S293" s="19">
        <f>IF(D293="",0,N(E293)*L293)</f>
        <v/>
      </c>
    </row>
    <row r="294">
      <c r="A294" s="11" t="n"/>
      <c r="B294" s="12" t="n"/>
      <c r="C294" s="12" t="n"/>
      <c r="D294" s="12" t="n"/>
      <c r="E294" s="13" t="n"/>
      <c r="F294" s="12" t="n"/>
      <c r="G294" s="14" t="n"/>
      <c r="H294" s="15" t="n"/>
      <c r="I294" s="16">
        <f>IF(G294="","",G294*(1-N(H294)))</f>
        <v/>
      </c>
      <c r="J294" s="16">
        <f>IF(I294="","",E294*I294)</f>
        <v/>
      </c>
      <c r="K294">
        <f>IF(D294="","",IFERROR(VLOOKUP(D294,'Ürün Eşleştirme'!$A$6:$D$505,2,FALSE),D294))</f>
        <v/>
      </c>
      <c r="L294" s="17">
        <f>IF(D294="","",IFERROR(VLOOKUP(D294,'Ürün Eşleştirme'!$A$6:$D$505,4,FALSE),1))</f>
        <v/>
      </c>
      <c r="M294" s="16">
        <f>IF(I294="","",I294/L294)</f>
        <v/>
      </c>
      <c r="N294" s="16">
        <f>IF(M294="","",IFERROR(AVERAGEIFS($M$10:$M$1009,$K$10:$K$1009,K294,$A$10:$A$1009,"&lt;"&amp;A294,$A$10:$A$1009,"&gt;="&amp;(A294-$C$6)),""))</f>
        <v/>
      </c>
      <c r="O294" s="16">
        <f>IF(M294="","",_xlfn.MINIFS($M$10:$M$1009,$K$10:$K$1009,K294,$A$10:$A$1009,"&lt;="&amp;A294,$A$10:$A$1009,"&gt;="&amp;(A294-$C$6)))</f>
        <v/>
      </c>
      <c r="P294" s="18">
        <f>IF(OR(N294="",N294=0),"",M294/N294-1)</f>
        <v/>
      </c>
      <c r="Q294">
        <f>IF(D294="","",IF(COUNTIFS($B$10:$B$1009,B294,$C$10:$C$1009,C294,$D$10:$D$1009,D294,$E$10:$E$1009,E294)&gt;1,"MÜKERRER?",IF(P294="","",IF(P294&gt;=$C$5,"İNCELE",IF(P294&lt;=-$C$5,"Düşük",""))))</f>
        <v/>
      </c>
      <c r="R294" s="16">
        <f>IF(AND(P294&lt;&gt;"",N(P294)&gt;=$C$5,COUNTIFS($B$10:B294,B294,$C$10:C294,C294,$D$10:D294,D294,$E$10:E294,E294)=1),(M294-N294)*E294*L294,0)</f>
        <v/>
      </c>
      <c r="S294" s="19">
        <f>IF(D294="",0,N(E294)*L294)</f>
        <v/>
      </c>
    </row>
    <row r="295">
      <c r="A295" s="11" t="n"/>
      <c r="B295" s="12" t="n"/>
      <c r="C295" s="12" t="n"/>
      <c r="D295" s="12" t="n"/>
      <c r="E295" s="13" t="n"/>
      <c r="F295" s="12" t="n"/>
      <c r="G295" s="14" t="n"/>
      <c r="H295" s="15" t="n"/>
      <c r="I295" s="16">
        <f>IF(G295="","",G295*(1-N(H295)))</f>
        <v/>
      </c>
      <c r="J295" s="16">
        <f>IF(I295="","",E295*I295)</f>
        <v/>
      </c>
      <c r="K295">
        <f>IF(D295="","",IFERROR(VLOOKUP(D295,'Ürün Eşleştirme'!$A$6:$D$505,2,FALSE),D295))</f>
        <v/>
      </c>
      <c r="L295" s="17">
        <f>IF(D295="","",IFERROR(VLOOKUP(D295,'Ürün Eşleştirme'!$A$6:$D$505,4,FALSE),1))</f>
        <v/>
      </c>
      <c r="M295" s="16">
        <f>IF(I295="","",I295/L295)</f>
        <v/>
      </c>
      <c r="N295" s="16">
        <f>IF(M295="","",IFERROR(AVERAGEIFS($M$10:$M$1009,$K$10:$K$1009,K295,$A$10:$A$1009,"&lt;"&amp;A295,$A$10:$A$1009,"&gt;="&amp;(A295-$C$6)),""))</f>
        <v/>
      </c>
      <c r="O295" s="16">
        <f>IF(M295="","",_xlfn.MINIFS($M$10:$M$1009,$K$10:$K$1009,K295,$A$10:$A$1009,"&lt;="&amp;A295,$A$10:$A$1009,"&gt;="&amp;(A295-$C$6)))</f>
        <v/>
      </c>
      <c r="P295" s="18">
        <f>IF(OR(N295="",N295=0),"",M295/N295-1)</f>
        <v/>
      </c>
      <c r="Q295">
        <f>IF(D295="","",IF(COUNTIFS($B$10:$B$1009,B295,$C$10:$C$1009,C295,$D$10:$D$1009,D295,$E$10:$E$1009,E295)&gt;1,"MÜKERRER?",IF(P295="","",IF(P295&gt;=$C$5,"İNCELE",IF(P295&lt;=-$C$5,"Düşük",""))))</f>
        <v/>
      </c>
      <c r="R295" s="16">
        <f>IF(AND(P295&lt;&gt;"",N(P295)&gt;=$C$5,COUNTIFS($B$10:B295,B295,$C$10:C295,C295,$D$10:D295,D295,$E$10:E295,E295)=1),(M295-N295)*E295*L295,0)</f>
        <v/>
      </c>
      <c r="S295" s="19">
        <f>IF(D295="",0,N(E295)*L295)</f>
        <v/>
      </c>
    </row>
    <row r="296">
      <c r="A296" s="11" t="n"/>
      <c r="B296" s="12" t="n"/>
      <c r="C296" s="12" t="n"/>
      <c r="D296" s="12" t="n"/>
      <c r="E296" s="13" t="n"/>
      <c r="F296" s="12" t="n"/>
      <c r="G296" s="14" t="n"/>
      <c r="H296" s="15" t="n"/>
      <c r="I296" s="16">
        <f>IF(G296="","",G296*(1-N(H296)))</f>
        <v/>
      </c>
      <c r="J296" s="16">
        <f>IF(I296="","",E296*I296)</f>
        <v/>
      </c>
      <c r="K296">
        <f>IF(D296="","",IFERROR(VLOOKUP(D296,'Ürün Eşleştirme'!$A$6:$D$505,2,FALSE),D296))</f>
        <v/>
      </c>
      <c r="L296" s="17">
        <f>IF(D296="","",IFERROR(VLOOKUP(D296,'Ürün Eşleştirme'!$A$6:$D$505,4,FALSE),1))</f>
        <v/>
      </c>
      <c r="M296" s="16">
        <f>IF(I296="","",I296/L296)</f>
        <v/>
      </c>
      <c r="N296" s="16">
        <f>IF(M296="","",IFERROR(AVERAGEIFS($M$10:$M$1009,$K$10:$K$1009,K296,$A$10:$A$1009,"&lt;"&amp;A296,$A$10:$A$1009,"&gt;="&amp;(A296-$C$6)),""))</f>
        <v/>
      </c>
      <c r="O296" s="16">
        <f>IF(M296="","",_xlfn.MINIFS($M$10:$M$1009,$K$10:$K$1009,K296,$A$10:$A$1009,"&lt;="&amp;A296,$A$10:$A$1009,"&gt;="&amp;(A296-$C$6)))</f>
        <v/>
      </c>
      <c r="P296" s="18">
        <f>IF(OR(N296="",N296=0),"",M296/N296-1)</f>
        <v/>
      </c>
      <c r="Q296">
        <f>IF(D296="","",IF(COUNTIFS($B$10:$B$1009,B296,$C$10:$C$1009,C296,$D$10:$D$1009,D296,$E$10:$E$1009,E296)&gt;1,"MÜKERRER?",IF(P296="","",IF(P296&gt;=$C$5,"İNCELE",IF(P296&lt;=-$C$5,"Düşük",""))))</f>
        <v/>
      </c>
      <c r="R296" s="16">
        <f>IF(AND(P296&lt;&gt;"",N(P296)&gt;=$C$5,COUNTIFS($B$10:B296,B296,$C$10:C296,C296,$D$10:D296,D296,$E$10:E296,E296)=1),(M296-N296)*E296*L296,0)</f>
        <v/>
      </c>
      <c r="S296" s="19">
        <f>IF(D296="",0,N(E296)*L296)</f>
        <v/>
      </c>
    </row>
    <row r="297">
      <c r="A297" s="11" t="n"/>
      <c r="B297" s="12" t="n"/>
      <c r="C297" s="12" t="n"/>
      <c r="D297" s="12" t="n"/>
      <c r="E297" s="13" t="n"/>
      <c r="F297" s="12" t="n"/>
      <c r="G297" s="14" t="n"/>
      <c r="H297" s="15" t="n"/>
      <c r="I297" s="16">
        <f>IF(G297="","",G297*(1-N(H297)))</f>
        <v/>
      </c>
      <c r="J297" s="16">
        <f>IF(I297="","",E297*I297)</f>
        <v/>
      </c>
      <c r="K297">
        <f>IF(D297="","",IFERROR(VLOOKUP(D297,'Ürün Eşleştirme'!$A$6:$D$505,2,FALSE),D297))</f>
        <v/>
      </c>
      <c r="L297" s="17">
        <f>IF(D297="","",IFERROR(VLOOKUP(D297,'Ürün Eşleştirme'!$A$6:$D$505,4,FALSE),1))</f>
        <v/>
      </c>
      <c r="M297" s="16">
        <f>IF(I297="","",I297/L297)</f>
        <v/>
      </c>
      <c r="N297" s="16">
        <f>IF(M297="","",IFERROR(AVERAGEIFS($M$10:$M$1009,$K$10:$K$1009,K297,$A$10:$A$1009,"&lt;"&amp;A297,$A$10:$A$1009,"&gt;="&amp;(A297-$C$6)),""))</f>
        <v/>
      </c>
      <c r="O297" s="16">
        <f>IF(M297="","",_xlfn.MINIFS($M$10:$M$1009,$K$10:$K$1009,K297,$A$10:$A$1009,"&lt;="&amp;A297,$A$10:$A$1009,"&gt;="&amp;(A297-$C$6)))</f>
        <v/>
      </c>
      <c r="P297" s="18">
        <f>IF(OR(N297="",N297=0),"",M297/N297-1)</f>
        <v/>
      </c>
      <c r="Q297">
        <f>IF(D297="","",IF(COUNTIFS($B$10:$B$1009,B297,$C$10:$C$1009,C297,$D$10:$D$1009,D297,$E$10:$E$1009,E297)&gt;1,"MÜKERRER?",IF(P297="","",IF(P297&gt;=$C$5,"İNCELE",IF(P297&lt;=-$C$5,"Düşük",""))))</f>
        <v/>
      </c>
      <c r="R297" s="16">
        <f>IF(AND(P297&lt;&gt;"",N(P297)&gt;=$C$5,COUNTIFS($B$10:B297,B297,$C$10:C297,C297,$D$10:D297,D297,$E$10:E297,E297)=1),(M297-N297)*E297*L297,0)</f>
        <v/>
      </c>
      <c r="S297" s="19">
        <f>IF(D297="",0,N(E297)*L297)</f>
        <v/>
      </c>
    </row>
    <row r="298">
      <c r="A298" s="11" t="n"/>
      <c r="B298" s="12" t="n"/>
      <c r="C298" s="12" t="n"/>
      <c r="D298" s="12" t="n"/>
      <c r="E298" s="13" t="n"/>
      <c r="F298" s="12" t="n"/>
      <c r="G298" s="14" t="n"/>
      <c r="H298" s="15" t="n"/>
      <c r="I298" s="16">
        <f>IF(G298="","",G298*(1-N(H298)))</f>
        <v/>
      </c>
      <c r="J298" s="16">
        <f>IF(I298="","",E298*I298)</f>
        <v/>
      </c>
      <c r="K298">
        <f>IF(D298="","",IFERROR(VLOOKUP(D298,'Ürün Eşleştirme'!$A$6:$D$505,2,FALSE),D298))</f>
        <v/>
      </c>
      <c r="L298" s="17">
        <f>IF(D298="","",IFERROR(VLOOKUP(D298,'Ürün Eşleştirme'!$A$6:$D$505,4,FALSE),1))</f>
        <v/>
      </c>
      <c r="M298" s="16">
        <f>IF(I298="","",I298/L298)</f>
        <v/>
      </c>
      <c r="N298" s="16">
        <f>IF(M298="","",IFERROR(AVERAGEIFS($M$10:$M$1009,$K$10:$K$1009,K298,$A$10:$A$1009,"&lt;"&amp;A298,$A$10:$A$1009,"&gt;="&amp;(A298-$C$6)),""))</f>
        <v/>
      </c>
      <c r="O298" s="16">
        <f>IF(M298="","",_xlfn.MINIFS($M$10:$M$1009,$K$10:$K$1009,K298,$A$10:$A$1009,"&lt;="&amp;A298,$A$10:$A$1009,"&gt;="&amp;(A298-$C$6)))</f>
        <v/>
      </c>
      <c r="P298" s="18">
        <f>IF(OR(N298="",N298=0),"",M298/N298-1)</f>
        <v/>
      </c>
      <c r="Q298">
        <f>IF(D298="","",IF(COUNTIFS($B$10:$B$1009,B298,$C$10:$C$1009,C298,$D$10:$D$1009,D298,$E$10:$E$1009,E298)&gt;1,"MÜKERRER?",IF(P298="","",IF(P298&gt;=$C$5,"İNCELE",IF(P298&lt;=-$C$5,"Düşük",""))))</f>
        <v/>
      </c>
      <c r="R298" s="16">
        <f>IF(AND(P298&lt;&gt;"",N(P298)&gt;=$C$5,COUNTIFS($B$10:B298,B298,$C$10:C298,C298,$D$10:D298,D298,$E$10:E298,E298)=1),(M298-N298)*E298*L298,0)</f>
        <v/>
      </c>
      <c r="S298" s="19">
        <f>IF(D298="",0,N(E298)*L298)</f>
        <v/>
      </c>
    </row>
    <row r="299">
      <c r="A299" s="11" t="n"/>
      <c r="B299" s="12" t="n"/>
      <c r="C299" s="12" t="n"/>
      <c r="D299" s="12" t="n"/>
      <c r="E299" s="13" t="n"/>
      <c r="F299" s="12" t="n"/>
      <c r="G299" s="14" t="n"/>
      <c r="H299" s="15" t="n"/>
      <c r="I299" s="16">
        <f>IF(G299="","",G299*(1-N(H299)))</f>
        <v/>
      </c>
      <c r="J299" s="16">
        <f>IF(I299="","",E299*I299)</f>
        <v/>
      </c>
      <c r="K299">
        <f>IF(D299="","",IFERROR(VLOOKUP(D299,'Ürün Eşleştirme'!$A$6:$D$505,2,FALSE),D299))</f>
        <v/>
      </c>
      <c r="L299" s="17">
        <f>IF(D299="","",IFERROR(VLOOKUP(D299,'Ürün Eşleştirme'!$A$6:$D$505,4,FALSE),1))</f>
        <v/>
      </c>
      <c r="M299" s="16">
        <f>IF(I299="","",I299/L299)</f>
        <v/>
      </c>
      <c r="N299" s="16">
        <f>IF(M299="","",IFERROR(AVERAGEIFS($M$10:$M$1009,$K$10:$K$1009,K299,$A$10:$A$1009,"&lt;"&amp;A299,$A$10:$A$1009,"&gt;="&amp;(A299-$C$6)),""))</f>
        <v/>
      </c>
      <c r="O299" s="16">
        <f>IF(M299="","",_xlfn.MINIFS($M$10:$M$1009,$K$10:$K$1009,K299,$A$10:$A$1009,"&lt;="&amp;A299,$A$10:$A$1009,"&gt;="&amp;(A299-$C$6)))</f>
        <v/>
      </c>
      <c r="P299" s="18">
        <f>IF(OR(N299="",N299=0),"",M299/N299-1)</f>
        <v/>
      </c>
      <c r="Q299">
        <f>IF(D299="","",IF(COUNTIFS($B$10:$B$1009,B299,$C$10:$C$1009,C299,$D$10:$D$1009,D299,$E$10:$E$1009,E299)&gt;1,"MÜKERRER?",IF(P299="","",IF(P299&gt;=$C$5,"İNCELE",IF(P299&lt;=-$C$5,"Düşük",""))))</f>
        <v/>
      </c>
      <c r="R299" s="16">
        <f>IF(AND(P299&lt;&gt;"",N(P299)&gt;=$C$5,COUNTIFS($B$10:B299,B299,$C$10:C299,C299,$D$10:D299,D299,$E$10:E299,E299)=1),(M299-N299)*E299*L299,0)</f>
        <v/>
      </c>
      <c r="S299" s="19">
        <f>IF(D299="",0,N(E299)*L299)</f>
        <v/>
      </c>
    </row>
    <row r="300">
      <c r="A300" s="11" t="n"/>
      <c r="B300" s="12" t="n"/>
      <c r="C300" s="12" t="n"/>
      <c r="D300" s="12" t="n"/>
      <c r="E300" s="13" t="n"/>
      <c r="F300" s="12" t="n"/>
      <c r="G300" s="14" t="n"/>
      <c r="H300" s="15" t="n"/>
      <c r="I300" s="16">
        <f>IF(G300="","",G300*(1-N(H300)))</f>
        <v/>
      </c>
      <c r="J300" s="16">
        <f>IF(I300="","",E300*I300)</f>
        <v/>
      </c>
      <c r="K300">
        <f>IF(D300="","",IFERROR(VLOOKUP(D300,'Ürün Eşleştirme'!$A$6:$D$505,2,FALSE),D300))</f>
        <v/>
      </c>
      <c r="L300" s="17">
        <f>IF(D300="","",IFERROR(VLOOKUP(D300,'Ürün Eşleştirme'!$A$6:$D$505,4,FALSE),1))</f>
        <v/>
      </c>
      <c r="M300" s="16">
        <f>IF(I300="","",I300/L300)</f>
        <v/>
      </c>
      <c r="N300" s="16">
        <f>IF(M300="","",IFERROR(AVERAGEIFS($M$10:$M$1009,$K$10:$K$1009,K300,$A$10:$A$1009,"&lt;"&amp;A300,$A$10:$A$1009,"&gt;="&amp;(A300-$C$6)),""))</f>
        <v/>
      </c>
      <c r="O300" s="16">
        <f>IF(M300="","",_xlfn.MINIFS($M$10:$M$1009,$K$10:$K$1009,K300,$A$10:$A$1009,"&lt;="&amp;A300,$A$10:$A$1009,"&gt;="&amp;(A300-$C$6)))</f>
        <v/>
      </c>
      <c r="P300" s="18">
        <f>IF(OR(N300="",N300=0),"",M300/N300-1)</f>
        <v/>
      </c>
      <c r="Q300">
        <f>IF(D300="","",IF(COUNTIFS($B$10:$B$1009,B300,$C$10:$C$1009,C300,$D$10:$D$1009,D300,$E$10:$E$1009,E300)&gt;1,"MÜKERRER?",IF(P300="","",IF(P300&gt;=$C$5,"İNCELE",IF(P300&lt;=-$C$5,"Düşük",""))))</f>
        <v/>
      </c>
      <c r="R300" s="16">
        <f>IF(AND(P300&lt;&gt;"",N(P300)&gt;=$C$5,COUNTIFS($B$10:B300,B300,$C$10:C300,C300,$D$10:D300,D300,$E$10:E300,E300)=1),(M300-N300)*E300*L300,0)</f>
        <v/>
      </c>
      <c r="S300" s="19">
        <f>IF(D300="",0,N(E300)*L300)</f>
        <v/>
      </c>
    </row>
    <row r="301">
      <c r="A301" s="11" t="n"/>
      <c r="B301" s="12" t="n"/>
      <c r="C301" s="12" t="n"/>
      <c r="D301" s="12" t="n"/>
      <c r="E301" s="13" t="n"/>
      <c r="F301" s="12" t="n"/>
      <c r="G301" s="14" t="n"/>
      <c r="H301" s="15" t="n"/>
      <c r="I301" s="16">
        <f>IF(G301="","",G301*(1-N(H301)))</f>
        <v/>
      </c>
      <c r="J301" s="16">
        <f>IF(I301="","",E301*I301)</f>
        <v/>
      </c>
      <c r="K301">
        <f>IF(D301="","",IFERROR(VLOOKUP(D301,'Ürün Eşleştirme'!$A$6:$D$505,2,FALSE),D301))</f>
        <v/>
      </c>
      <c r="L301" s="17">
        <f>IF(D301="","",IFERROR(VLOOKUP(D301,'Ürün Eşleştirme'!$A$6:$D$505,4,FALSE),1))</f>
        <v/>
      </c>
      <c r="M301" s="16">
        <f>IF(I301="","",I301/L301)</f>
        <v/>
      </c>
      <c r="N301" s="16">
        <f>IF(M301="","",IFERROR(AVERAGEIFS($M$10:$M$1009,$K$10:$K$1009,K301,$A$10:$A$1009,"&lt;"&amp;A301,$A$10:$A$1009,"&gt;="&amp;(A301-$C$6)),""))</f>
        <v/>
      </c>
      <c r="O301" s="16">
        <f>IF(M301="","",_xlfn.MINIFS($M$10:$M$1009,$K$10:$K$1009,K301,$A$10:$A$1009,"&lt;="&amp;A301,$A$10:$A$1009,"&gt;="&amp;(A301-$C$6)))</f>
        <v/>
      </c>
      <c r="P301" s="18">
        <f>IF(OR(N301="",N301=0),"",M301/N301-1)</f>
        <v/>
      </c>
      <c r="Q301">
        <f>IF(D301="","",IF(COUNTIFS($B$10:$B$1009,B301,$C$10:$C$1009,C301,$D$10:$D$1009,D301,$E$10:$E$1009,E301)&gt;1,"MÜKERRER?",IF(P301="","",IF(P301&gt;=$C$5,"İNCELE",IF(P301&lt;=-$C$5,"Düşük",""))))</f>
        <v/>
      </c>
      <c r="R301" s="16">
        <f>IF(AND(P301&lt;&gt;"",N(P301)&gt;=$C$5,COUNTIFS($B$10:B301,B301,$C$10:C301,C301,$D$10:D301,D301,$E$10:E301,E301)=1),(M301-N301)*E301*L301,0)</f>
        <v/>
      </c>
      <c r="S301" s="19">
        <f>IF(D301="",0,N(E301)*L301)</f>
        <v/>
      </c>
    </row>
    <row r="302">
      <c r="A302" s="11" t="n"/>
      <c r="B302" s="12" t="n"/>
      <c r="C302" s="12" t="n"/>
      <c r="D302" s="12" t="n"/>
      <c r="E302" s="13" t="n"/>
      <c r="F302" s="12" t="n"/>
      <c r="G302" s="14" t="n"/>
      <c r="H302" s="15" t="n"/>
      <c r="I302" s="16">
        <f>IF(G302="","",G302*(1-N(H302)))</f>
        <v/>
      </c>
      <c r="J302" s="16">
        <f>IF(I302="","",E302*I302)</f>
        <v/>
      </c>
      <c r="K302">
        <f>IF(D302="","",IFERROR(VLOOKUP(D302,'Ürün Eşleştirme'!$A$6:$D$505,2,FALSE),D302))</f>
        <v/>
      </c>
      <c r="L302" s="17">
        <f>IF(D302="","",IFERROR(VLOOKUP(D302,'Ürün Eşleştirme'!$A$6:$D$505,4,FALSE),1))</f>
        <v/>
      </c>
      <c r="M302" s="16">
        <f>IF(I302="","",I302/L302)</f>
        <v/>
      </c>
      <c r="N302" s="16">
        <f>IF(M302="","",IFERROR(AVERAGEIFS($M$10:$M$1009,$K$10:$K$1009,K302,$A$10:$A$1009,"&lt;"&amp;A302,$A$10:$A$1009,"&gt;="&amp;(A302-$C$6)),""))</f>
        <v/>
      </c>
      <c r="O302" s="16">
        <f>IF(M302="","",_xlfn.MINIFS($M$10:$M$1009,$K$10:$K$1009,K302,$A$10:$A$1009,"&lt;="&amp;A302,$A$10:$A$1009,"&gt;="&amp;(A302-$C$6)))</f>
        <v/>
      </c>
      <c r="P302" s="18">
        <f>IF(OR(N302="",N302=0),"",M302/N302-1)</f>
        <v/>
      </c>
      <c r="Q302">
        <f>IF(D302="","",IF(COUNTIFS($B$10:$B$1009,B302,$C$10:$C$1009,C302,$D$10:$D$1009,D302,$E$10:$E$1009,E302)&gt;1,"MÜKERRER?",IF(P302="","",IF(P302&gt;=$C$5,"İNCELE",IF(P302&lt;=-$C$5,"Düşük",""))))</f>
        <v/>
      </c>
      <c r="R302" s="16">
        <f>IF(AND(P302&lt;&gt;"",N(P302)&gt;=$C$5,COUNTIFS($B$10:B302,B302,$C$10:C302,C302,$D$10:D302,D302,$E$10:E302,E302)=1),(M302-N302)*E302*L302,0)</f>
        <v/>
      </c>
      <c r="S302" s="19">
        <f>IF(D302="",0,N(E302)*L302)</f>
        <v/>
      </c>
    </row>
    <row r="303">
      <c r="A303" s="11" t="n"/>
      <c r="B303" s="12" t="n"/>
      <c r="C303" s="12" t="n"/>
      <c r="D303" s="12" t="n"/>
      <c r="E303" s="13" t="n"/>
      <c r="F303" s="12" t="n"/>
      <c r="G303" s="14" t="n"/>
      <c r="H303" s="15" t="n"/>
      <c r="I303" s="16">
        <f>IF(G303="","",G303*(1-N(H303)))</f>
        <v/>
      </c>
      <c r="J303" s="16">
        <f>IF(I303="","",E303*I303)</f>
        <v/>
      </c>
      <c r="K303">
        <f>IF(D303="","",IFERROR(VLOOKUP(D303,'Ürün Eşleştirme'!$A$6:$D$505,2,FALSE),D303))</f>
        <v/>
      </c>
      <c r="L303" s="17">
        <f>IF(D303="","",IFERROR(VLOOKUP(D303,'Ürün Eşleştirme'!$A$6:$D$505,4,FALSE),1))</f>
        <v/>
      </c>
      <c r="M303" s="16">
        <f>IF(I303="","",I303/L303)</f>
        <v/>
      </c>
      <c r="N303" s="16">
        <f>IF(M303="","",IFERROR(AVERAGEIFS($M$10:$M$1009,$K$10:$K$1009,K303,$A$10:$A$1009,"&lt;"&amp;A303,$A$10:$A$1009,"&gt;="&amp;(A303-$C$6)),""))</f>
        <v/>
      </c>
      <c r="O303" s="16">
        <f>IF(M303="","",_xlfn.MINIFS($M$10:$M$1009,$K$10:$K$1009,K303,$A$10:$A$1009,"&lt;="&amp;A303,$A$10:$A$1009,"&gt;="&amp;(A303-$C$6)))</f>
        <v/>
      </c>
      <c r="P303" s="18">
        <f>IF(OR(N303="",N303=0),"",M303/N303-1)</f>
        <v/>
      </c>
      <c r="Q303">
        <f>IF(D303="","",IF(COUNTIFS($B$10:$B$1009,B303,$C$10:$C$1009,C303,$D$10:$D$1009,D303,$E$10:$E$1009,E303)&gt;1,"MÜKERRER?",IF(P303="","",IF(P303&gt;=$C$5,"İNCELE",IF(P303&lt;=-$C$5,"Düşük",""))))</f>
        <v/>
      </c>
      <c r="R303" s="16">
        <f>IF(AND(P303&lt;&gt;"",N(P303)&gt;=$C$5,COUNTIFS($B$10:B303,B303,$C$10:C303,C303,$D$10:D303,D303,$E$10:E303,E303)=1),(M303-N303)*E303*L303,0)</f>
        <v/>
      </c>
      <c r="S303" s="19">
        <f>IF(D303="",0,N(E303)*L303)</f>
        <v/>
      </c>
    </row>
    <row r="304">
      <c r="A304" s="11" t="n"/>
      <c r="B304" s="12" t="n"/>
      <c r="C304" s="12" t="n"/>
      <c r="D304" s="12" t="n"/>
      <c r="E304" s="13" t="n"/>
      <c r="F304" s="12" t="n"/>
      <c r="G304" s="14" t="n"/>
      <c r="H304" s="15" t="n"/>
      <c r="I304" s="16">
        <f>IF(G304="","",G304*(1-N(H304)))</f>
        <v/>
      </c>
      <c r="J304" s="16">
        <f>IF(I304="","",E304*I304)</f>
        <v/>
      </c>
      <c r="K304">
        <f>IF(D304="","",IFERROR(VLOOKUP(D304,'Ürün Eşleştirme'!$A$6:$D$505,2,FALSE),D304))</f>
        <v/>
      </c>
      <c r="L304" s="17">
        <f>IF(D304="","",IFERROR(VLOOKUP(D304,'Ürün Eşleştirme'!$A$6:$D$505,4,FALSE),1))</f>
        <v/>
      </c>
      <c r="M304" s="16">
        <f>IF(I304="","",I304/L304)</f>
        <v/>
      </c>
      <c r="N304" s="16">
        <f>IF(M304="","",IFERROR(AVERAGEIFS($M$10:$M$1009,$K$10:$K$1009,K304,$A$10:$A$1009,"&lt;"&amp;A304,$A$10:$A$1009,"&gt;="&amp;(A304-$C$6)),""))</f>
        <v/>
      </c>
      <c r="O304" s="16">
        <f>IF(M304="","",_xlfn.MINIFS($M$10:$M$1009,$K$10:$K$1009,K304,$A$10:$A$1009,"&lt;="&amp;A304,$A$10:$A$1009,"&gt;="&amp;(A304-$C$6)))</f>
        <v/>
      </c>
      <c r="P304" s="18">
        <f>IF(OR(N304="",N304=0),"",M304/N304-1)</f>
        <v/>
      </c>
      <c r="Q304">
        <f>IF(D304="","",IF(COUNTIFS($B$10:$B$1009,B304,$C$10:$C$1009,C304,$D$10:$D$1009,D304,$E$10:$E$1009,E304)&gt;1,"MÜKERRER?",IF(P304="","",IF(P304&gt;=$C$5,"İNCELE",IF(P304&lt;=-$C$5,"Düşük",""))))</f>
        <v/>
      </c>
      <c r="R304" s="16">
        <f>IF(AND(P304&lt;&gt;"",N(P304)&gt;=$C$5,COUNTIFS($B$10:B304,B304,$C$10:C304,C304,$D$10:D304,D304,$E$10:E304,E304)=1),(M304-N304)*E304*L304,0)</f>
        <v/>
      </c>
      <c r="S304" s="19">
        <f>IF(D304="",0,N(E304)*L304)</f>
        <v/>
      </c>
    </row>
    <row r="305">
      <c r="A305" s="11" t="n"/>
      <c r="B305" s="12" t="n"/>
      <c r="C305" s="12" t="n"/>
      <c r="D305" s="12" t="n"/>
      <c r="E305" s="13" t="n"/>
      <c r="F305" s="12" t="n"/>
      <c r="G305" s="14" t="n"/>
      <c r="H305" s="15" t="n"/>
      <c r="I305" s="16">
        <f>IF(G305="","",G305*(1-N(H305)))</f>
        <v/>
      </c>
      <c r="J305" s="16">
        <f>IF(I305="","",E305*I305)</f>
        <v/>
      </c>
      <c r="K305">
        <f>IF(D305="","",IFERROR(VLOOKUP(D305,'Ürün Eşleştirme'!$A$6:$D$505,2,FALSE),D305))</f>
        <v/>
      </c>
      <c r="L305" s="17">
        <f>IF(D305="","",IFERROR(VLOOKUP(D305,'Ürün Eşleştirme'!$A$6:$D$505,4,FALSE),1))</f>
        <v/>
      </c>
      <c r="M305" s="16">
        <f>IF(I305="","",I305/L305)</f>
        <v/>
      </c>
      <c r="N305" s="16">
        <f>IF(M305="","",IFERROR(AVERAGEIFS($M$10:$M$1009,$K$10:$K$1009,K305,$A$10:$A$1009,"&lt;"&amp;A305,$A$10:$A$1009,"&gt;="&amp;(A305-$C$6)),""))</f>
        <v/>
      </c>
      <c r="O305" s="16">
        <f>IF(M305="","",_xlfn.MINIFS($M$10:$M$1009,$K$10:$K$1009,K305,$A$10:$A$1009,"&lt;="&amp;A305,$A$10:$A$1009,"&gt;="&amp;(A305-$C$6)))</f>
        <v/>
      </c>
      <c r="P305" s="18">
        <f>IF(OR(N305="",N305=0),"",M305/N305-1)</f>
        <v/>
      </c>
      <c r="Q305">
        <f>IF(D305="","",IF(COUNTIFS($B$10:$B$1009,B305,$C$10:$C$1009,C305,$D$10:$D$1009,D305,$E$10:$E$1009,E305)&gt;1,"MÜKERRER?",IF(P305="","",IF(P305&gt;=$C$5,"İNCELE",IF(P305&lt;=-$C$5,"Düşük",""))))</f>
        <v/>
      </c>
      <c r="R305" s="16">
        <f>IF(AND(P305&lt;&gt;"",N(P305)&gt;=$C$5,COUNTIFS($B$10:B305,B305,$C$10:C305,C305,$D$10:D305,D305,$E$10:E305,E305)=1),(M305-N305)*E305*L305,0)</f>
        <v/>
      </c>
      <c r="S305" s="19">
        <f>IF(D305="",0,N(E305)*L305)</f>
        <v/>
      </c>
    </row>
    <row r="306">
      <c r="A306" s="11" t="n"/>
      <c r="B306" s="12" t="n"/>
      <c r="C306" s="12" t="n"/>
      <c r="D306" s="12" t="n"/>
      <c r="E306" s="13" t="n"/>
      <c r="F306" s="12" t="n"/>
      <c r="G306" s="14" t="n"/>
      <c r="H306" s="15" t="n"/>
      <c r="I306" s="16">
        <f>IF(G306="","",G306*(1-N(H306)))</f>
        <v/>
      </c>
      <c r="J306" s="16">
        <f>IF(I306="","",E306*I306)</f>
        <v/>
      </c>
      <c r="K306">
        <f>IF(D306="","",IFERROR(VLOOKUP(D306,'Ürün Eşleştirme'!$A$6:$D$505,2,FALSE),D306))</f>
        <v/>
      </c>
      <c r="L306" s="17">
        <f>IF(D306="","",IFERROR(VLOOKUP(D306,'Ürün Eşleştirme'!$A$6:$D$505,4,FALSE),1))</f>
        <v/>
      </c>
      <c r="M306" s="16">
        <f>IF(I306="","",I306/L306)</f>
        <v/>
      </c>
      <c r="N306" s="16">
        <f>IF(M306="","",IFERROR(AVERAGEIFS($M$10:$M$1009,$K$10:$K$1009,K306,$A$10:$A$1009,"&lt;"&amp;A306,$A$10:$A$1009,"&gt;="&amp;(A306-$C$6)),""))</f>
        <v/>
      </c>
      <c r="O306" s="16">
        <f>IF(M306="","",_xlfn.MINIFS($M$10:$M$1009,$K$10:$K$1009,K306,$A$10:$A$1009,"&lt;="&amp;A306,$A$10:$A$1009,"&gt;="&amp;(A306-$C$6)))</f>
        <v/>
      </c>
      <c r="P306" s="18">
        <f>IF(OR(N306="",N306=0),"",M306/N306-1)</f>
        <v/>
      </c>
      <c r="Q306">
        <f>IF(D306="","",IF(COUNTIFS($B$10:$B$1009,B306,$C$10:$C$1009,C306,$D$10:$D$1009,D306,$E$10:$E$1009,E306)&gt;1,"MÜKERRER?",IF(P306="","",IF(P306&gt;=$C$5,"İNCELE",IF(P306&lt;=-$C$5,"Düşük",""))))</f>
        <v/>
      </c>
      <c r="R306" s="16">
        <f>IF(AND(P306&lt;&gt;"",N(P306)&gt;=$C$5,COUNTIFS($B$10:B306,B306,$C$10:C306,C306,$D$10:D306,D306,$E$10:E306,E306)=1),(M306-N306)*E306*L306,0)</f>
        <v/>
      </c>
      <c r="S306" s="19">
        <f>IF(D306="",0,N(E306)*L306)</f>
        <v/>
      </c>
    </row>
    <row r="307">
      <c r="A307" s="11" t="n"/>
      <c r="B307" s="12" t="n"/>
      <c r="C307" s="12" t="n"/>
      <c r="D307" s="12" t="n"/>
      <c r="E307" s="13" t="n"/>
      <c r="F307" s="12" t="n"/>
      <c r="G307" s="14" t="n"/>
      <c r="H307" s="15" t="n"/>
      <c r="I307" s="16">
        <f>IF(G307="","",G307*(1-N(H307)))</f>
        <v/>
      </c>
      <c r="J307" s="16">
        <f>IF(I307="","",E307*I307)</f>
        <v/>
      </c>
      <c r="K307">
        <f>IF(D307="","",IFERROR(VLOOKUP(D307,'Ürün Eşleştirme'!$A$6:$D$505,2,FALSE),D307))</f>
        <v/>
      </c>
      <c r="L307" s="17">
        <f>IF(D307="","",IFERROR(VLOOKUP(D307,'Ürün Eşleştirme'!$A$6:$D$505,4,FALSE),1))</f>
        <v/>
      </c>
      <c r="M307" s="16">
        <f>IF(I307="","",I307/L307)</f>
        <v/>
      </c>
      <c r="N307" s="16">
        <f>IF(M307="","",IFERROR(AVERAGEIFS($M$10:$M$1009,$K$10:$K$1009,K307,$A$10:$A$1009,"&lt;"&amp;A307,$A$10:$A$1009,"&gt;="&amp;(A307-$C$6)),""))</f>
        <v/>
      </c>
      <c r="O307" s="16">
        <f>IF(M307="","",_xlfn.MINIFS($M$10:$M$1009,$K$10:$K$1009,K307,$A$10:$A$1009,"&lt;="&amp;A307,$A$10:$A$1009,"&gt;="&amp;(A307-$C$6)))</f>
        <v/>
      </c>
      <c r="P307" s="18">
        <f>IF(OR(N307="",N307=0),"",M307/N307-1)</f>
        <v/>
      </c>
      <c r="Q307">
        <f>IF(D307="","",IF(COUNTIFS($B$10:$B$1009,B307,$C$10:$C$1009,C307,$D$10:$D$1009,D307,$E$10:$E$1009,E307)&gt;1,"MÜKERRER?",IF(P307="","",IF(P307&gt;=$C$5,"İNCELE",IF(P307&lt;=-$C$5,"Düşük",""))))</f>
        <v/>
      </c>
      <c r="R307" s="16">
        <f>IF(AND(P307&lt;&gt;"",N(P307)&gt;=$C$5,COUNTIFS($B$10:B307,B307,$C$10:C307,C307,$D$10:D307,D307,$E$10:E307,E307)=1),(M307-N307)*E307*L307,0)</f>
        <v/>
      </c>
      <c r="S307" s="19">
        <f>IF(D307="",0,N(E307)*L307)</f>
        <v/>
      </c>
    </row>
    <row r="308">
      <c r="A308" s="11" t="n"/>
      <c r="B308" s="12" t="n"/>
      <c r="C308" s="12" t="n"/>
      <c r="D308" s="12" t="n"/>
      <c r="E308" s="13" t="n"/>
      <c r="F308" s="12" t="n"/>
      <c r="G308" s="14" t="n"/>
      <c r="H308" s="15" t="n"/>
      <c r="I308" s="16">
        <f>IF(G308="","",G308*(1-N(H308)))</f>
        <v/>
      </c>
      <c r="J308" s="16">
        <f>IF(I308="","",E308*I308)</f>
        <v/>
      </c>
      <c r="K308">
        <f>IF(D308="","",IFERROR(VLOOKUP(D308,'Ürün Eşleştirme'!$A$6:$D$505,2,FALSE),D308))</f>
        <v/>
      </c>
      <c r="L308" s="17">
        <f>IF(D308="","",IFERROR(VLOOKUP(D308,'Ürün Eşleştirme'!$A$6:$D$505,4,FALSE),1))</f>
        <v/>
      </c>
      <c r="M308" s="16">
        <f>IF(I308="","",I308/L308)</f>
        <v/>
      </c>
      <c r="N308" s="16">
        <f>IF(M308="","",IFERROR(AVERAGEIFS($M$10:$M$1009,$K$10:$K$1009,K308,$A$10:$A$1009,"&lt;"&amp;A308,$A$10:$A$1009,"&gt;="&amp;(A308-$C$6)),""))</f>
        <v/>
      </c>
      <c r="O308" s="16">
        <f>IF(M308="","",_xlfn.MINIFS($M$10:$M$1009,$K$10:$K$1009,K308,$A$10:$A$1009,"&lt;="&amp;A308,$A$10:$A$1009,"&gt;="&amp;(A308-$C$6)))</f>
        <v/>
      </c>
      <c r="P308" s="18">
        <f>IF(OR(N308="",N308=0),"",M308/N308-1)</f>
        <v/>
      </c>
      <c r="Q308">
        <f>IF(D308="","",IF(COUNTIFS($B$10:$B$1009,B308,$C$10:$C$1009,C308,$D$10:$D$1009,D308,$E$10:$E$1009,E308)&gt;1,"MÜKERRER?",IF(P308="","",IF(P308&gt;=$C$5,"İNCELE",IF(P308&lt;=-$C$5,"Düşük",""))))</f>
        <v/>
      </c>
      <c r="R308" s="16">
        <f>IF(AND(P308&lt;&gt;"",N(P308)&gt;=$C$5,COUNTIFS($B$10:B308,B308,$C$10:C308,C308,$D$10:D308,D308,$E$10:E308,E308)=1),(M308-N308)*E308*L308,0)</f>
        <v/>
      </c>
      <c r="S308" s="19">
        <f>IF(D308="",0,N(E308)*L308)</f>
        <v/>
      </c>
    </row>
    <row r="309">
      <c r="A309" s="11" t="n"/>
      <c r="B309" s="12" t="n"/>
      <c r="C309" s="12" t="n"/>
      <c r="D309" s="12" t="n"/>
      <c r="E309" s="13" t="n"/>
      <c r="F309" s="12" t="n"/>
      <c r="G309" s="14" t="n"/>
      <c r="H309" s="15" t="n"/>
      <c r="I309" s="16">
        <f>IF(G309="","",G309*(1-N(H309)))</f>
        <v/>
      </c>
      <c r="J309" s="16">
        <f>IF(I309="","",E309*I309)</f>
        <v/>
      </c>
      <c r="K309">
        <f>IF(D309="","",IFERROR(VLOOKUP(D309,'Ürün Eşleştirme'!$A$6:$D$505,2,FALSE),D309))</f>
        <v/>
      </c>
      <c r="L309" s="17">
        <f>IF(D309="","",IFERROR(VLOOKUP(D309,'Ürün Eşleştirme'!$A$6:$D$505,4,FALSE),1))</f>
        <v/>
      </c>
      <c r="M309" s="16">
        <f>IF(I309="","",I309/L309)</f>
        <v/>
      </c>
      <c r="N309" s="16">
        <f>IF(M309="","",IFERROR(AVERAGEIFS($M$10:$M$1009,$K$10:$K$1009,K309,$A$10:$A$1009,"&lt;"&amp;A309,$A$10:$A$1009,"&gt;="&amp;(A309-$C$6)),""))</f>
        <v/>
      </c>
      <c r="O309" s="16">
        <f>IF(M309="","",_xlfn.MINIFS($M$10:$M$1009,$K$10:$K$1009,K309,$A$10:$A$1009,"&lt;="&amp;A309,$A$10:$A$1009,"&gt;="&amp;(A309-$C$6)))</f>
        <v/>
      </c>
      <c r="P309" s="18">
        <f>IF(OR(N309="",N309=0),"",M309/N309-1)</f>
        <v/>
      </c>
      <c r="Q309">
        <f>IF(D309="","",IF(COUNTIFS($B$10:$B$1009,B309,$C$10:$C$1009,C309,$D$10:$D$1009,D309,$E$10:$E$1009,E309)&gt;1,"MÜKERRER?",IF(P309="","",IF(P309&gt;=$C$5,"İNCELE",IF(P309&lt;=-$C$5,"Düşük",""))))</f>
        <v/>
      </c>
      <c r="R309" s="16">
        <f>IF(AND(P309&lt;&gt;"",N(P309)&gt;=$C$5,COUNTIFS($B$10:B309,B309,$C$10:C309,C309,$D$10:D309,D309,$E$10:E309,E309)=1),(M309-N309)*E309*L309,0)</f>
        <v/>
      </c>
      <c r="S309" s="19">
        <f>IF(D309="",0,N(E309)*L309)</f>
        <v/>
      </c>
    </row>
    <row r="310">
      <c r="A310" s="11" t="n"/>
      <c r="B310" s="12" t="n"/>
      <c r="C310" s="12" t="n"/>
      <c r="D310" s="12" t="n"/>
      <c r="E310" s="13" t="n"/>
      <c r="F310" s="12" t="n"/>
      <c r="G310" s="14" t="n"/>
      <c r="H310" s="15" t="n"/>
      <c r="I310" s="16">
        <f>IF(G310="","",G310*(1-N(H310)))</f>
        <v/>
      </c>
      <c r="J310" s="16">
        <f>IF(I310="","",E310*I310)</f>
        <v/>
      </c>
      <c r="K310">
        <f>IF(D310="","",IFERROR(VLOOKUP(D310,'Ürün Eşleştirme'!$A$6:$D$505,2,FALSE),D310))</f>
        <v/>
      </c>
      <c r="L310" s="17">
        <f>IF(D310="","",IFERROR(VLOOKUP(D310,'Ürün Eşleştirme'!$A$6:$D$505,4,FALSE),1))</f>
        <v/>
      </c>
      <c r="M310" s="16">
        <f>IF(I310="","",I310/L310)</f>
        <v/>
      </c>
      <c r="N310" s="16">
        <f>IF(M310="","",IFERROR(AVERAGEIFS($M$10:$M$1009,$K$10:$K$1009,K310,$A$10:$A$1009,"&lt;"&amp;A310,$A$10:$A$1009,"&gt;="&amp;(A310-$C$6)),""))</f>
        <v/>
      </c>
      <c r="O310" s="16">
        <f>IF(M310="","",_xlfn.MINIFS($M$10:$M$1009,$K$10:$K$1009,K310,$A$10:$A$1009,"&lt;="&amp;A310,$A$10:$A$1009,"&gt;="&amp;(A310-$C$6)))</f>
        <v/>
      </c>
      <c r="P310" s="18">
        <f>IF(OR(N310="",N310=0),"",M310/N310-1)</f>
        <v/>
      </c>
      <c r="Q310">
        <f>IF(D310="","",IF(COUNTIFS($B$10:$B$1009,B310,$C$10:$C$1009,C310,$D$10:$D$1009,D310,$E$10:$E$1009,E310)&gt;1,"MÜKERRER?",IF(P310="","",IF(P310&gt;=$C$5,"İNCELE",IF(P310&lt;=-$C$5,"Düşük",""))))</f>
        <v/>
      </c>
      <c r="R310" s="16">
        <f>IF(AND(P310&lt;&gt;"",N(P310)&gt;=$C$5,COUNTIFS($B$10:B310,B310,$C$10:C310,C310,$D$10:D310,D310,$E$10:E310,E310)=1),(M310-N310)*E310*L310,0)</f>
        <v/>
      </c>
      <c r="S310" s="19">
        <f>IF(D310="",0,N(E310)*L310)</f>
        <v/>
      </c>
    </row>
    <row r="311">
      <c r="A311" s="11" t="n"/>
      <c r="B311" s="12" t="n"/>
      <c r="C311" s="12" t="n"/>
      <c r="D311" s="12" t="n"/>
      <c r="E311" s="13" t="n"/>
      <c r="F311" s="12" t="n"/>
      <c r="G311" s="14" t="n"/>
      <c r="H311" s="15" t="n"/>
      <c r="I311" s="16">
        <f>IF(G311="","",G311*(1-N(H311)))</f>
        <v/>
      </c>
      <c r="J311" s="16">
        <f>IF(I311="","",E311*I311)</f>
        <v/>
      </c>
      <c r="K311">
        <f>IF(D311="","",IFERROR(VLOOKUP(D311,'Ürün Eşleştirme'!$A$6:$D$505,2,FALSE),D311))</f>
        <v/>
      </c>
      <c r="L311" s="17">
        <f>IF(D311="","",IFERROR(VLOOKUP(D311,'Ürün Eşleştirme'!$A$6:$D$505,4,FALSE),1))</f>
        <v/>
      </c>
      <c r="M311" s="16">
        <f>IF(I311="","",I311/L311)</f>
        <v/>
      </c>
      <c r="N311" s="16">
        <f>IF(M311="","",IFERROR(AVERAGEIFS($M$10:$M$1009,$K$10:$K$1009,K311,$A$10:$A$1009,"&lt;"&amp;A311,$A$10:$A$1009,"&gt;="&amp;(A311-$C$6)),""))</f>
        <v/>
      </c>
      <c r="O311" s="16">
        <f>IF(M311="","",_xlfn.MINIFS($M$10:$M$1009,$K$10:$K$1009,K311,$A$10:$A$1009,"&lt;="&amp;A311,$A$10:$A$1009,"&gt;="&amp;(A311-$C$6)))</f>
        <v/>
      </c>
      <c r="P311" s="18">
        <f>IF(OR(N311="",N311=0),"",M311/N311-1)</f>
        <v/>
      </c>
      <c r="Q311">
        <f>IF(D311="","",IF(COUNTIFS($B$10:$B$1009,B311,$C$10:$C$1009,C311,$D$10:$D$1009,D311,$E$10:$E$1009,E311)&gt;1,"MÜKERRER?",IF(P311="","",IF(P311&gt;=$C$5,"İNCELE",IF(P311&lt;=-$C$5,"Düşük",""))))</f>
        <v/>
      </c>
      <c r="R311" s="16">
        <f>IF(AND(P311&lt;&gt;"",N(P311)&gt;=$C$5,COUNTIFS($B$10:B311,B311,$C$10:C311,C311,$D$10:D311,D311,$E$10:E311,E311)=1),(M311-N311)*E311*L311,0)</f>
        <v/>
      </c>
      <c r="S311" s="19">
        <f>IF(D311="",0,N(E311)*L311)</f>
        <v/>
      </c>
    </row>
    <row r="312">
      <c r="A312" s="11" t="n"/>
      <c r="B312" s="12" t="n"/>
      <c r="C312" s="12" t="n"/>
      <c r="D312" s="12" t="n"/>
      <c r="E312" s="13" t="n"/>
      <c r="F312" s="12" t="n"/>
      <c r="G312" s="14" t="n"/>
      <c r="H312" s="15" t="n"/>
      <c r="I312" s="16">
        <f>IF(G312="","",G312*(1-N(H312)))</f>
        <v/>
      </c>
      <c r="J312" s="16">
        <f>IF(I312="","",E312*I312)</f>
        <v/>
      </c>
      <c r="K312">
        <f>IF(D312="","",IFERROR(VLOOKUP(D312,'Ürün Eşleştirme'!$A$6:$D$505,2,FALSE),D312))</f>
        <v/>
      </c>
      <c r="L312" s="17">
        <f>IF(D312="","",IFERROR(VLOOKUP(D312,'Ürün Eşleştirme'!$A$6:$D$505,4,FALSE),1))</f>
        <v/>
      </c>
      <c r="M312" s="16">
        <f>IF(I312="","",I312/L312)</f>
        <v/>
      </c>
      <c r="N312" s="16">
        <f>IF(M312="","",IFERROR(AVERAGEIFS($M$10:$M$1009,$K$10:$K$1009,K312,$A$10:$A$1009,"&lt;"&amp;A312,$A$10:$A$1009,"&gt;="&amp;(A312-$C$6)),""))</f>
        <v/>
      </c>
      <c r="O312" s="16">
        <f>IF(M312="","",_xlfn.MINIFS($M$10:$M$1009,$K$10:$K$1009,K312,$A$10:$A$1009,"&lt;="&amp;A312,$A$10:$A$1009,"&gt;="&amp;(A312-$C$6)))</f>
        <v/>
      </c>
      <c r="P312" s="18">
        <f>IF(OR(N312="",N312=0),"",M312/N312-1)</f>
        <v/>
      </c>
      <c r="Q312">
        <f>IF(D312="","",IF(COUNTIFS($B$10:$B$1009,B312,$C$10:$C$1009,C312,$D$10:$D$1009,D312,$E$10:$E$1009,E312)&gt;1,"MÜKERRER?",IF(P312="","",IF(P312&gt;=$C$5,"İNCELE",IF(P312&lt;=-$C$5,"Düşük",""))))</f>
        <v/>
      </c>
      <c r="R312" s="16">
        <f>IF(AND(P312&lt;&gt;"",N(P312)&gt;=$C$5,COUNTIFS($B$10:B312,B312,$C$10:C312,C312,$D$10:D312,D312,$E$10:E312,E312)=1),(M312-N312)*E312*L312,0)</f>
        <v/>
      </c>
      <c r="S312" s="19">
        <f>IF(D312="",0,N(E312)*L312)</f>
        <v/>
      </c>
    </row>
    <row r="313">
      <c r="A313" s="11" t="n"/>
      <c r="B313" s="12" t="n"/>
      <c r="C313" s="12" t="n"/>
      <c r="D313" s="12" t="n"/>
      <c r="E313" s="13" t="n"/>
      <c r="F313" s="12" t="n"/>
      <c r="G313" s="14" t="n"/>
      <c r="H313" s="15" t="n"/>
      <c r="I313" s="16">
        <f>IF(G313="","",G313*(1-N(H313)))</f>
        <v/>
      </c>
      <c r="J313" s="16">
        <f>IF(I313="","",E313*I313)</f>
        <v/>
      </c>
      <c r="K313">
        <f>IF(D313="","",IFERROR(VLOOKUP(D313,'Ürün Eşleştirme'!$A$6:$D$505,2,FALSE),D313))</f>
        <v/>
      </c>
      <c r="L313" s="17">
        <f>IF(D313="","",IFERROR(VLOOKUP(D313,'Ürün Eşleştirme'!$A$6:$D$505,4,FALSE),1))</f>
        <v/>
      </c>
      <c r="M313" s="16">
        <f>IF(I313="","",I313/L313)</f>
        <v/>
      </c>
      <c r="N313" s="16">
        <f>IF(M313="","",IFERROR(AVERAGEIFS($M$10:$M$1009,$K$10:$K$1009,K313,$A$10:$A$1009,"&lt;"&amp;A313,$A$10:$A$1009,"&gt;="&amp;(A313-$C$6)),""))</f>
        <v/>
      </c>
      <c r="O313" s="16">
        <f>IF(M313="","",_xlfn.MINIFS($M$10:$M$1009,$K$10:$K$1009,K313,$A$10:$A$1009,"&lt;="&amp;A313,$A$10:$A$1009,"&gt;="&amp;(A313-$C$6)))</f>
        <v/>
      </c>
      <c r="P313" s="18">
        <f>IF(OR(N313="",N313=0),"",M313/N313-1)</f>
        <v/>
      </c>
      <c r="Q313">
        <f>IF(D313="","",IF(COUNTIFS($B$10:$B$1009,B313,$C$10:$C$1009,C313,$D$10:$D$1009,D313,$E$10:$E$1009,E313)&gt;1,"MÜKERRER?",IF(P313="","",IF(P313&gt;=$C$5,"İNCELE",IF(P313&lt;=-$C$5,"Düşük",""))))</f>
        <v/>
      </c>
      <c r="R313" s="16">
        <f>IF(AND(P313&lt;&gt;"",N(P313)&gt;=$C$5,COUNTIFS($B$10:B313,B313,$C$10:C313,C313,$D$10:D313,D313,$E$10:E313,E313)=1),(M313-N313)*E313*L313,0)</f>
        <v/>
      </c>
      <c r="S313" s="19">
        <f>IF(D313="",0,N(E313)*L313)</f>
        <v/>
      </c>
    </row>
    <row r="314">
      <c r="A314" s="11" t="n"/>
      <c r="B314" s="12" t="n"/>
      <c r="C314" s="12" t="n"/>
      <c r="D314" s="12" t="n"/>
      <c r="E314" s="13" t="n"/>
      <c r="F314" s="12" t="n"/>
      <c r="G314" s="14" t="n"/>
      <c r="H314" s="15" t="n"/>
      <c r="I314" s="16">
        <f>IF(G314="","",G314*(1-N(H314)))</f>
        <v/>
      </c>
      <c r="J314" s="16">
        <f>IF(I314="","",E314*I314)</f>
        <v/>
      </c>
      <c r="K314">
        <f>IF(D314="","",IFERROR(VLOOKUP(D314,'Ürün Eşleştirme'!$A$6:$D$505,2,FALSE),D314))</f>
        <v/>
      </c>
      <c r="L314" s="17">
        <f>IF(D314="","",IFERROR(VLOOKUP(D314,'Ürün Eşleştirme'!$A$6:$D$505,4,FALSE),1))</f>
        <v/>
      </c>
      <c r="M314" s="16">
        <f>IF(I314="","",I314/L314)</f>
        <v/>
      </c>
      <c r="N314" s="16">
        <f>IF(M314="","",IFERROR(AVERAGEIFS($M$10:$M$1009,$K$10:$K$1009,K314,$A$10:$A$1009,"&lt;"&amp;A314,$A$10:$A$1009,"&gt;="&amp;(A314-$C$6)),""))</f>
        <v/>
      </c>
      <c r="O314" s="16">
        <f>IF(M314="","",_xlfn.MINIFS($M$10:$M$1009,$K$10:$K$1009,K314,$A$10:$A$1009,"&lt;="&amp;A314,$A$10:$A$1009,"&gt;="&amp;(A314-$C$6)))</f>
        <v/>
      </c>
      <c r="P314" s="18">
        <f>IF(OR(N314="",N314=0),"",M314/N314-1)</f>
        <v/>
      </c>
      <c r="Q314">
        <f>IF(D314="","",IF(COUNTIFS($B$10:$B$1009,B314,$C$10:$C$1009,C314,$D$10:$D$1009,D314,$E$10:$E$1009,E314)&gt;1,"MÜKERRER?",IF(P314="","",IF(P314&gt;=$C$5,"İNCELE",IF(P314&lt;=-$C$5,"Düşük",""))))</f>
        <v/>
      </c>
      <c r="R314" s="16">
        <f>IF(AND(P314&lt;&gt;"",N(P314)&gt;=$C$5,COUNTIFS($B$10:B314,B314,$C$10:C314,C314,$D$10:D314,D314,$E$10:E314,E314)=1),(M314-N314)*E314*L314,0)</f>
        <v/>
      </c>
      <c r="S314" s="19">
        <f>IF(D314="",0,N(E314)*L314)</f>
        <v/>
      </c>
    </row>
    <row r="315">
      <c r="A315" s="11" t="n"/>
      <c r="B315" s="12" t="n"/>
      <c r="C315" s="12" t="n"/>
      <c r="D315" s="12" t="n"/>
      <c r="E315" s="13" t="n"/>
      <c r="F315" s="12" t="n"/>
      <c r="G315" s="14" t="n"/>
      <c r="H315" s="15" t="n"/>
      <c r="I315" s="16">
        <f>IF(G315="","",G315*(1-N(H315)))</f>
        <v/>
      </c>
      <c r="J315" s="16">
        <f>IF(I315="","",E315*I315)</f>
        <v/>
      </c>
      <c r="K315">
        <f>IF(D315="","",IFERROR(VLOOKUP(D315,'Ürün Eşleştirme'!$A$6:$D$505,2,FALSE),D315))</f>
        <v/>
      </c>
      <c r="L315" s="17">
        <f>IF(D315="","",IFERROR(VLOOKUP(D315,'Ürün Eşleştirme'!$A$6:$D$505,4,FALSE),1))</f>
        <v/>
      </c>
      <c r="M315" s="16">
        <f>IF(I315="","",I315/L315)</f>
        <v/>
      </c>
      <c r="N315" s="16">
        <f>IF(M315="","",IFERROR(AVERAGEIFS($M$10:$M$1009,$K$10:$K$1009,K315,$A$10:$A$1009,"&lt;"&amp;A315,$A$10:$A$1009,"&gt;="&amp;(A315-$C$6)),""))</f>
        <v/>
      </c>
      <c r="O315" s="16">
        <f>IF(M315="","",_xlfn.MINIFS($M$10:$M$1009,$K$10:$K$1009,K315,$A$10:$A$1009,"&lt;="&amp;A315,$A$10:$A$1009,"&gt;="&amp;(A315-$C$6)))</f>
        <v/>
      </c>
      <c r="P315" s="18">
        <f>IF(OR(N315="",N315=0),"",M315/N315-1)</f>
        <v/>
      </c>
      <c r="Q315">
        <f>IF(D315="","",IF(COUNTIFS($B$10:$B$1009,B315,$C$10:$C$1009,C315,$D$10:$D$1009,D315,$E$10:$E$1009,E315)&gt;1,"MÜKERRER?",IF(P315="","",IF(P315&gt;=$C$5,"İNCELE",IF(P315&lt;=-$C$5,"Düşük",""))))</f>
        <v/>
      </c>
      <c r="R315" s="16">
        <f>IF(AND(P315&lt;&gt;"",N(P315)&gt;=$C$5,COUNTIFS($B$10:B315,B315,$C$10:C315,C315,$D$10:D315,D315,$E$10:E315,E315)=1),(M315-N315)*E315*L315,0)</f>
        <v/>
      </c>
      <c r="S315" s="19">
        <f>IF(D315="",0,N(E315)*L315)</f>
        <v/>
      </c>
    </row>
    <row r="316">
      <c r="A316" s="11" t="n"/>
      <c r="B316" s="12" t="n"/>
      <c r="C316" s="12" t="n"/>
      <c r="D316" s="12" t="n"/>
      <c r="E316" s="13" t="n"/>
      <c r="F316" s="12" t="n"/>
      <c r="G316" s="14" t="n"/>
      <c r="H316" s="15" t="n"/>
      <c r="I316" s="16">
        <f>IF(G316="","",G316*(1-N(H316)))</f>
        <v/>
      </c>
      <c r="J316" s="16">
        <f>IF(I316="","",E316*I316)</f>
        <v/>
      </c>
      <c r="K316">
        <f>IF(D316="","",IFERROR(VLOOKUP(D316,'Ürün Eşleştirme'!$A$6:$D$505,2,FALSE),D316))</f>
        <v/>
      </c>
      <c r="L316" s="17">
        <f>IF(D316="","",IFERROR(VLOOKUP(D316,'Ürün Eşleştirme'!$A$6:$D$505,4,FALSE),1))</f>
        <v/>
      </c>
      <c r="M316" s="16">
        <f>IF(I316="","",I316/L316)</f>
        <v/>
      </c>
      <c r="N316" s="16">
        <f>IF(M316="","",IFERROR(AVERAGEIFS($M$10:$M$1009,$K$10:$K$1009,K316,$A$10:$A$1009,"&lt;"&amp;A316,$A$10:$A$1009,"&gt;="&amp;(A316-$C$6)),""))</f>
        <v/>
      </c>
      <c r="O316" s="16">
        <f>IF(M316="","",_xlfn.MINIFS($M$10:$M$1009,$K$10:$K$1009,K316,$A$10:$A$1009,"&lt;="&amp;A316,$A$10:$A$1009,"&gt;="&amp;(A316-$C$6)))</f>
        <v/>
      </c>
      <c r="P316" s="18">
        <f>IF(OR(N316="",N316=0),"",M316/N316-1)</f>
        <v/>
      </c>
      <c r="Q316">
        <f>IF(D316="","",IF(COUNTIFS($B$10:$B$1009,B316,$C$10:$C$1009,C316,$D$10:$D$1009,D316,$E$10:$E$1009,E316)&gt;1,"MÜKERRER?",IF(P316="","",IF(P316&gt;=$C$5,"İNCELE",IF(P316&lt;=-$C$5,"Düşük",""))))</f>
        <v/>
      </c>
      <c r="R316" s="16">
        <f>IF(AND(P316&lt;&gt;"",N(P316)&gt;=$C$5,COUNTIFS($B$10:B316,B316,$C$10:C316,C316,$D$10:D316,D316,$E$10:E316,E316)=1),(M316-N316)*E316*L316,0)</f>
        <v/>
      </c>
      <c r="S316" s="19">
        <f>IF(D316="",0,N(E316)*L316)</f>
        <v/>
      </c>
    </row>
    <row r="317">
      <c r="A317" s="11" t="n"/>
      <c r="B317" s="12" t="n"/>
      <c r="C317" s="12" t="n"/>
      <c r="D317" s="12" t="n"/>
      <c r="E317" s="13" t="n"/>
      <c r="F317" s="12" t="n"/>
      <c r="G317" s="14" t="n"/>
      <c r="H317" s="15" t="n"/>
      <c r="I317" s="16">
        <f>IF(G317="","",G317*(1-N(H317)))</f>
        <v/>
      </c>
      <c r="J317" s="16">
        <f>IF(I317="","",E317*I317)</f>
        <v/>
      </c>
      <c r="K317">
        <f>IF(D317="","",IFERROR(VLOOKUP(D317,'Ürün Eşleştirme'!$A$6:$D$505,2,FALSE),D317))</f>
        <v/>
      </c>
      <c r="L317" s="17">
        <f>IF(D317="","",IFERROR(VLOOKUP(D317,'Ürün Eşleştirme'!$A$6:$D$505,4,FALSE),1))</f>
        <v/>
      </c>
      <c r="M317" s="16">
        <f>IF(I317="","",I317/L317)</f>
        <v/>
      </c>
      <c r="N317" s="16">
        <f>IF(M317="","",IFERROR(AVERAGEIFS($M$10:$M$1009,$K$10:$K$1009,K317,$A$10:$A$1009,"&lt;"&amp;A317,$A$10:$A$1009,"&gt;="&amp;(A317-$C$6)),""))</f>
        <v/>
      </c>
      <c r="O317" s="16">
        <f>IF(M317="","",_xlfn.MINIFS($M$10:$M$1009,$K$10:$K$1009,K317,$A$10:$A$1009,"&lt;="&amp;A317,$A$10:$A$1009,"&gt;="&amp;(A317-$C$6)))</f>
        <v/>
      </c>
      <c r="P317" s="18">
        <f>IF(OR(N317="",N317=0),"",M317/N317-1)</f>
        <v/>
      </c>
      <c r="Q317">
        <f>IF(D317="","",IF(COUNTIFS($B$10:$B$1009,B317,$C$10:$C$1009,C317,$D$10:$D$1009,D317,$E$10:$E$1009,E317)&gt;1,"MÜKERRER?",IF(P317="","",IF(P317&gt;=$C$5,"İNCELE",IF(P317&lt;=-$C$5,"Düşük",""))))</f>
        <v/>
      </c>
      <c r="R317" s="16">
        <f>IF(AND(P317&lt;&gt;"",N(P317)&gt;=$C$5,COUNTIFS($B$10:B317,B317,$C$10:C317,C317,$D$10:D317,D317,$E$10:E317,E317)=1),(M317-N317)*E317*L317,0)</f>
        <v/>
      </c>
      <c r="S317" s="19">
        <f>IF(D317="",0,N(E317)*L317)</f>
        <v/>
      </c>
    </row>
    <row r="318">
      <c r="A318" s="11" t="n"/>
      <c r="B318" s="12" t="n"/>
      <c r="C318" s="12" t="n"/>
      <c r="D318" s="12" t="n"/>
      <c r="E318" s="13" t="n"/>
      <c r="F318" s="12" t="n"/>
      <c r="G318" s="14" t="n"/>
      <c r="H318" s="15" t="n"/>
      <c r="I318" s="16">
        <f>IF(G318="","",G318*(1-N(H318)))</f>
        <v/>
      </c>
      <c r="J318" s="16">
        <f>IF(I318="","",E318*I318)</f>
        <v/>
      </c>
      <c r="K318">
        <f>IF(D318="","",IFERROR(VLOOKUP(D318,'Ürün Eşleştirme'!$A$6:$D$505,2,FALSE),D318))</f>
        <v/>
      </c>
      <c r="L318" s="17">
        <f>IF(D318="","",IFERROR(VLOOKUP(D318,'Ürün Eşleştirme'!$A$6:$D$505,4,FALSE),1))</f>
        <v/>
      </c>
      <c r="M318" s="16">
        <f>IF(I318="","",I318/L318)</f>
        <v/>
      </c>
      <c r="N318" s="16">
        <f>IF(M318="","",IFERROR(AVERAGEIFS($M$10:$M$1009,$K$10:$K$1009,K318,$A$10:$A$1009,"&lt;"&amp;A318,$A$10:$A$1009,"&gt;="&amp;(A318-$C$6)),""))</f>
        <v/>
      </c>
      <c r="O318" s="16">
        <f>IF(M318="","",_xlfn.MINIFS($M$10:$M$1009,$K$10:$K$1009,K318,$A$10:$A$1009,"&lt;="&amp;A318,$A$10:$A$1009,"&gt;="&amp;(A318-$C$6)))</f>
        <v/>
      </c>
      <c r="P318" s="18">
        <f>IF(OR(N318="",N318=0),"",M318/N318-1)</f>
        <v/>
      </c>
      <c r="Q318">
        <f>IF(D318="","",IF(COUNTIFS($B$10:$B$1009,B318,$C$10:$C$1009,C318,$D$10:$D$1009,D318,$E$10:$E$1009,E318)&gt;1,"MÜKERRER?",IF(P318="","",IF(P318&gt;=$C$5,"İNCELE",IF(P318&lt;=-$C$5,"Düşük",""))))</f>
        <v/>
      </c>
      <c r="R318" s="16">
        <f>IF(AND(P318&lt;&gt;"",N(P318)&gt;=$C$5,COUNTIFS($B$10:B318,B318,$C$10:C318,C318,$D$10:D318,D318,$E$10:E318,E318)=1),(M318-N318)*E318*L318,0)</f>
        <v/>
      </c>
      <c r="S318" s="19">
        <f>IF(D318="",0,N(E318)*L318)</f>
        <v/>
      </c>
    </row>
    <row r="319">
      <c r="A319" s="11" t="n"/>
      <c r="B319" s="12" t="n"/>
      <c r="C319" s="12" t="n"/>
      <c r="D319" s="12" t="n"/>
      <c r="E319" s="13" t="n"/>
      <c r="F319" s="12" t="n"/>
      <c r="G319" s="14" t="n"/>
      <c r="H319" s="15" t="n"/>
      <c r="I319" s="16">
        <f>IF(G319="","",G319*(1-N(H319)))</f>
        <v/>
      </c>
      <c r="J319" s="16">
        <f>IF(I319="","",E319*I319)</f>
        <v/>
      </c>
      <c r="K319">
        <f>IF(D319="","",IFERROR(VLOOKUP(D319,'Ürün Eşleştirme'!$A$6:$D$505,2,FALSE),D319))</f>
        <v/>
      </c>
      <c r="L319" s="17">
        <f>IF(D319="","",IFERROR(VLOOKUP(D319,'Ürün Eşleştirme'!$A$6:$D$505,4,FALSE),1))</f>
        <v/>
      </c>
      <c r="M319" s="16">
        <f>IF(I319="","",I319/L319)</f>
        <v/>
      </c>
      <c r="N319" s="16">
        <f>IF(M319="","",IFERROR(AVERAGEIFS($M$10:$M$1009,$K$10:$K$1009,K319,$A$10:$A$1009,"&lt;"&amp;A319,$A$10:$A$1009,"&gt;="&amp;(A319-$C$6)),""))</f>
        <v/>
      </c>
      <c r="O319" s="16">
        <f>IF(M319="","",_xlfn.MINIFS($M$10:$M$1009,$K$10:$K$1009,K319,$A$10:$A$1009,"&lt;="&amp;A319,$A$10:$A$1009,"&gt;="&amp;(A319-$C$6)))</f>
        <v/>
      </c>
      <c r="P319" s="18">
        <f>IF(OR(N319="",N319=0),"",M319/N319-1)</f>
        <v/>
      </c>
      <c r="Q319">
        <f>IF(D319="","",IF(COUNTIFS($B$10:$B$1009,B319,$C$10:$C$1009,C319,$D$10:$D$1009,D319,$E$10:$E$1009,E319)&gt;1,"MÜKERRER?",IF(P319="","",IF(P319&gt;=$C$5,"İNCELE",IF(P319&lt;=-$C$5,"Düşük",""))))</f>
        <v/>
      </c>
      <c r="R319" s="16">
        <f>IF(AND(P319&lt;&gt;"",N(P319)&gt;=$C$5,COUNTIFS($B$10:B319,B319,$C$10:C319,C319,$D$10:D319,D319,$E$10:E319,E319)=1),(M319-N319)*E319*L319,0)</f>
        <v/>
      </c>
      <c r="S319" s="19">
        <f>IF(D319="",0,N(E319)*L319)</f>
        <v/>
      </c>
    </row>
    <row r="320">
      <c r="A320" s="11" t="n"/>
      <c r="B320" s="12" t="n"/>
      <c r="C320" s="12" t="n"/>
      <c r="D320" s="12" t="n"/>
      <c r="E320" s="13" t="n"/>
      <c r="F320" s="12" t="n"/>
      <c r="G320" s="14" t="n"/>
      <c r="H320" s="15" t="n"/>
      <c r="I320" s="16">
        <f>IF(G320="","",G320*(1-N(H320)))</f>
        <v/>
      </c>
      <c r="J320" s="16">
        <f>IF(I320="","",E320*I320)</f>
        <v/>
      </c>
      <c r="K320">
        <f>IF(D320="","",IFERROR(VLOOKUP(D320,'Ürün Eşleştirme'!$A$6:$D$505,2,FALSE),D320))</f>
        <v/>
      </c>
      <c r="L320" s="17">
        <f>IF(D320="","",IFERROR(VLOOKUP(D320,'Ürün Eşleştirme'!$A$6:$D$505,4,FALSE),1))</f>
        <v/>
      </c>
      <c r="M320" s="16">
        <f>IF(I320="","",I320/L320)</f>
        <v/>
      </c>
      <c r="N320" s="16">
        <f>IF(M320="","",IFERROR(AVERAGEIFS($M$10:$M$1009,$K$10:$K$1009,K320,$A$10:$A$1009,"&lt;"&amp;A320,$A$10:$A$1009,"&gt;="&amp;(A320-$C$6)),""))</f>
        <v/>
      </c>
      <c r="O320" s="16">
        <f>IF(M320="","",_xlfn.MINIFS($M$10:$M$1009,$K$10:$K$1009,K320,$A$10:$A$1009,"&lt;="&amp;A320,$A$10:$A$1009,"&gt;="&amp;(A320-$C$6)))</f>
        <v/>
      </c>
      <c r="P320" s="18">
        <f>IF(OR(N320="",N320=0),"",M320/N320-1)</f>
        <v/>
      </c>
      <c r="Q320">
        <f>IF(D320="","",IF(COUNTIFS($B$10:$B$1009,B320,$C$10:$C$1009,C320,$D$10:$D$1009,D320,$E$10:$E$1009,E320)&gt;1,"MÜKERRER?",IF(P320="","",IF(P320&gt;=$C$5,"İNCELE",IF(P320&lt;=-$C$5,"Düşük",""))))</f>
        <v/>
      </c>
      <c r="R320" s="16">
        <f>IF(AND(P320&lt;&gt;"",N(P320)&gt;=$C$5,COUNTIFS($B$10:B320,B320,$C$10:C320,C320,$D$10:D320,D320,$E$10:E320,E320)=1),(M320-N320)*E320*L320,0)</f>
        <v/>
      </c>
      <c r="S320" s="19">
        <f>IF(D320="",0,N(E320)*L320)</f>
        <v/>
      </c>
    </row>
    <row r="321">
      <c r="A321" s="11" t="n"/>
      <c r="B321" s="12" t="n"/>
      <c r="C321" s="12" t="n"/>
      <c r="D321" s="12" t="n"/>
      <c r="E321" s="13" t="n"/>
      <c r="F321" s="12" t="n"/>
      <c r="G321" s="14" t="n"/>
      <c r="H321" s="15" t="n"/>
      <c r="I321" s="16">
        <f>IF(G321="","",G321*(1-N(H321)))</f>
        <v/>
      </c>
      <c r="J321" s="16">
        <f>IF(I321="","",E321*I321)</f>
        <v/>
      </c>
      <c r="K321">
        <f>IF(D321="","",IFERROR(VLOOKUP(D321,'Ürün Eşleştirme'!$A$6:$D$505,2,FALSE),D321))</f>
        <v/>
      </c>
      <c r="L321" s="17">
        <f>IF(D321="","",IFERROR(VLOOKUP(D321,'Ürün Eşleştirme'!$A$6:$D$505,4,FALSE),1))</f>
        <v/>
      </c>
      <c r="M321" s="16">
        <f>IF(I321="","",I321/L321)</f>
        <v/>
      </c>
      <c r="N321" s="16">
        <f>IF(M321="","",IFERROR(AVERAGEIFS($M$10:$M$1009,$K$10:$K$1009,K321,$A$10:$A$1009,"&lt;"&amp;A321,$A$10:$A$1009,"&gt;="&amp;(A321-$C$6)),""))</f>
        <v/>
      </c>
      <c r="O321" s="16">
        <f>IF(M321="","",_xlfn.MINIFS($M$10:$M$1009,$K$10:$K$1009,K321,$A$10:$A$1009,"&lt;="&amp;A321,$A$10:$A$1009,"&gt;="&amp;(A321-$C$6)))</f>
        <v/>
      </c>
      <c r="P321" s="18">
        <f>IF(OR(N321="",N321=0),"",M321/N321-1)</f>
        <v/>
      </c>
      <c r="Q321">
        <f>IF(D321="","",IF(COUNTIFS($B$10:$B$1009,B321,$C$10:$C$1009,C321,$D$10:$D$1009,D321,$E$10:$E$1009,E321)&gt;1,"MÜKERRER?",IF(P321="","",IF(P321&gt;=$C$5,"İNCELE",IF(P321&lt;=-$C$5,"Düşük",""))))</f>
        <v/>
      </c>
      <c r="R321" s="16">
        <f>IF(AND(P321&lt;&gt;"",N(P321)&gt;=$C$5,COUNTIFS($B$10:B321,B321,$C$10:C321,C321,$D$10:D321,D321,$E$10:E321,E321)=1),(M321-N321)*E321*L321,0)</f>
        <v/>
      </c>
      <c r="S321" s="19">
        <f>IF(D321="",0,N(E321)*L321)</f>
        <v/>
      </c>
    </row>
    <row r="322">
      <c r="A322" s="11" t="n"/>
      <c r="B322" s="12" t="n"/>
      <c r="C322" s="12" t="n"/>
      <c r="D322" s="12" t="n"/>
      <c r="E322" s="13" t="n"/>
      <c r="F322" s="12" t="n"/>
      <c r="G322" s="14" t="n"/>
      <c r="H322" s="15" t="n"/>
      <c r="I322" s="16">
        <f>IF(G322="","",G322*(1-N(H322)))</f>
        <v/>
      </c>
      <c r="J322" s="16">
        <f>IF(I322="","",E322*I322)</f>
        <v/>
      </c>
      <c r="K322">
        <f>IF(D322="","",IFERROR(VLOOKUP(D322,'Ürün Eşleştirme'!$A$6:$D$505,2,FALSE),D322))</f>
        <v/>
      </c>
      <c r="L322" s="17">
        <f>IF(D322="","",IFERROR(VLOOKUP(D322,'Ürün Eşleştirme'!$A$6:$D$505,4,FALSE),1))</f>
        <v/>
      </c>
      <c r="M322" s="16">
        <f>IF(I322="","",I322/L322)</f>
        <v/>
      </c>
      <c r="N322" s="16">
        <f>IF(M322="","",IFERROR(AVERAGEIFS($M$10:$M$1009,$K$10:$K$1009,K322,$A$10:$A$1009,"&lt;"&amp;A322,$A$10:$A$1009,"&gt;="&amp;(A322-$C$6)),""))</f>
        <v/>
      </c>
      <c r="O322" s="16">
        <f>IF(M322="","",_xlfn.MINIFS($M$10:$M$1009,$K$10:$K$1009,K322,$A$10:$A$1009,"&lt;="&amp;A322,$A$10:$A$1009,"&gt;="&amp;(A322-$C$6)))</f>
        <v/>
      </c>
      <c r="P322" s="18">
        <f>IF(OR(N322="",N322=0),"",M322/N322-1)</f>
        <v/>
      </c>
      <c r="Q322">
        <f>IF(D322="","",IF(COUNTIFS($B$10:$B$1009,B322,$C$10:$C$1009,C322,$D$10:$D$1009,D322,$E$10:$E$1009,E322)&gt;1,"MÜKERRER?",IF(P322="","",IF(P322&gt;=$C$5,"İNCELE",IF(P322&lt;=-$C$5,"Düşük",""))))</f>
        <v/>
      </c>
      <c r="R322" s="16">
        <f>IF(AND(P322&lt;&gt;"",N(P322)&gt;=$C$5,COUNTIFS($B$10:B322,B322,$C$10:C322,C322,$D$10:D322,D322,$E$10:E322,E322)=1),(M322-N322)*E322*L322,0)</f>
        <v/>
      </c>
      <c r="S322" s="19">
        <f>IF(D322="",0,N(E322)*L322)</f>
        <v/>
      </c>
    </row>
    <row r="323">
      <c r="A323" s="11" t="n"/>
      <c r="B323" s="12" t="n"/>
      <c r="C323" s="12" t="n"/>
      <c r="D323" s="12" t="n"/>
      <c r="E323" s="13" t="n"/>
      <c r="F323" s="12" t="n"/>
      <c r="G323" s="14" t="n"/>
      <c r="H323" s="15" t="n"/>
      <c r="I323" s="16">
        <f>IF(G323="","",G323*(1-N(H323)))</f>
        <v/>
      </c>
      <c r="J323" s="16">
        <f>IF(I323="","",E323*I323)</f>
        <v/>
      </c>
      <c r="K323">
        <f>IF(D323="","",IFERROR(VLOOKUP(D323,'Ürün Eşleştirme'!$A$6:$D$505,2,FALSE),D323))</f>
        <v/>
      </c>
      <c r="L323" s="17">
        <f>IF(D323="","",IFERROR(VLOOKUP(D323,'Ürün Eşleştirme'!$A$6:$D$505,4,FALSE),1))</f>
        <v/>
      </c>
      <c r="M323" s="16">
        <f>IF(I323="","",I323/L323)</f>
        <v/>
      </c>
      <c r="N323" s="16">
        <f>IF(M323="","",IFERROR(AVERAGEIFS($M$10:$M$1009,$K$10:$K$1009,K323,$A$10:$A$1009,"&lt;"&amp;A323,$A$10:$A$1009,"&gt;="&amp;(A323-$C$6)),""))</f>
        <v/>
      </c>
      <c r="O323" s="16">
        <f>IF(M323="","",_xlfn.MINIFS($M$10:$M$1009,$K$10:$K$1009,K323,$A$10:$A$1009,"&lt;="&amp;A323,$A$10:$A$1009,"&gt;="&amp;(A323-$C$6)))</f>
        <v/>
      </c>
      <c r="P323" s="18">
        <f>IF(OR(N323="",N323=0),"",M323/N323-1)</f>
        <v/>
      </c>
      <c r="Q323">
        <f>IF(D323="","",IF(COUNTIFS($B$10:$B$1009,B323,$C$10:$C$1009,C323,$D$10:$D$1009,D323,$E$10:$E$1009,E323)&gt;1,"MÜKERRER?",IF(P323="","",IF(P323&gt;=$C$5,"İNCELE",IF(P323&lt;=-$C$5,"Düşük",""))))</f>
        <v/>
      </c>
      <c r="R323" s="16">
        <f>IF(AND(P323&lt;&gt;"",N(P323)&gt;=$C$5,COUNTIFS($B$10:B323,B323,$C$10:C323,C323,$D$10:D323,D323,$E$10:E323,E323)=1),(M323-N323)*E323*L323,0)</f>
        <v/>
      </c>
      <c r="S323" s="19">
        <f>IF(D323="",0,N(E323)*L323)</f>
        <v/>
      </c>
    </row>
    <row r="324">
      <c r="A324" s="11" t="n"/>
      <c r="B324" s="12" t="n"/>
      <c r="C324" s="12" t="n"/>
      <c r="D324" s="12" t="n"/>
      <c r="E324" s="13" t="n"/>
      <c r="F324" s="12" t="n"/>
      <c r="G324" s="14" t="n"/>
      <c r="H324" s="15" t="n"/>
      <c r="I324" s="16">
        <f>IF(G324="","",G324*(1-N(H324)))</f>
        <v/>
      </c>
      <c r="J324" s="16">
        <f>IF(I324="","",E324*I324)</f>
        <v/>
      </c>
      <c r="K324">
        <f>IF(D324="","",IFERROR(VLOOKUP(D324,'Ürün Eşleştirme'!$A$6:$D$505,2,FALSE),D324))</f>
        <v/>
      </c>
      <c r="L324" s="17">
        <f>IF(D324="","",IFERROR(VLOOKUP(D324,'Ürün Eşleştirme'!$A$6:$D$505,4,FALSE),1))</f>
        <v/>
      </c>
      <c r="M324" s="16">
        <f>IF(I324="","",I324/L324)</f>
        <v/>
      </c>
      <c r="N324" s="16">
        <f>IF(M324="","",IFERROR(AVERAGEIFS($M$10:$M$1009,$K$10:$K$1009,K324,$A$10:$A$1009,"&lt;"&amp;A324,$A$10:$A$1009,"&gt;="&amp;(A324-$C$6)),""))</f>
        <v/>
      </c>
      <c r="O324" s="16">
        <f>IF(M324="","",_xlfn.MINIFS($M$10:$M$1009,$K$10:$K$1009,K324,$A$10:$A$1009,"&lt;="&amp;A324,$A$10:$A$1009,"&gt;="&amp;(A324-$C$6)))</f>
        <v/>
      </c>
      <c r="P324" s="18">
        <f>IF(OR(N324="",N324=0),"",M324/N324-1)</f>
        <v/>
      </c>
      <c r="Q324">
        <f>IF(D324="","",IF(COUNTIFS($B$10:$B$1009,B324,$C$10:$C$1009,C324,$D$10:$D$1009,D324,$E$10:$E$1009,E324)&gt;1,"MÜKERRER?",IF(P324="","",IF(P324&gt;=$C$5,"İNCELE",IF(P324&lt;=-$C$5,"Düşük",""))))</f>
        <v/>
      </c>
      <c r="R324" s="16">
        <f>IF(AND(P324&lt;&gt;"",N(P324)&gt;=$C$5,COUNTIFS($B$10:B324,B324,$C$10:C324,C324,$D$10:D324,D324,$E$10:E324,E324)=1),(M324-N324)*E324*L324,0)</f>
        <v/>
      </c>
      <c r="S324" s="19">
        <f>IF(D324="",0,N(E324)*L324)</f>
        <v/>
      </c>
    </row>
    <row r="325">
      <c r="A325" s="11" t="n"/>
      <c r="B325" s="12" t="n"/>
      <c r="C325" s="12" t="n"/>
      <c r="D325" s="12" t="n"/>
      <c r="E325" s="13" t="n"/>
      <c r="F325" s="12" t="n"/>
      <c r="G325" s="14" t="n"/>
      <c r="H325" s="15" t="n"/>
      <c r="I325" s="16">
        <f>IF(G325="","",G325*(1-N(H325)))</f>
        <v/>
      </c>
      <c r="J325" s="16">
        <f>IF(I325="","",E325*I325)</f>
        <v/>
      </c>
      <c r="K325">
        <f>IF(D325="","",IFERROR(VLOOKUP(D325,'Ürün Eşleştirme'!$A$6:$D$505,2,FALSE),D325))</f>
        <v/>
      </c>
      <c r="L325" s="17">
        <f>IF(D325="","",IFERROR(VLOOKUP(D325,'Ürün Eşleştirme'!$A$6:$D$505,4,FALSE),1))</f>
        <v/>
      </c>
      <c r="M325" s="16">
        <f>IF(I325="","",I325/L325)</f>
        <v/>
      </c>
      <c r="N325" s="16">
        <f>IF(M325="","",IFERROR(AVERAGEIFS($M$10:$M$1009,$K$10:$K$1009,K325,$A$10:$A$1009,"&lt;"&amp;A325,$A$10:$A$1009,"&gt;="&amp;(A325-$C$6)),""))</f>
        <v/>
      </c>
      <c r="O325" s="16">
        <f>IF(M325="","",_xlfn.MINIFS($M$10:$M$1009,$K$10:$K$1009,K325,$A$10:$A$1009,"&lt;="&amp;A325,$A$10:$A$1009,"&gt;="&amp;(A325-$C$6)))</f>
        <v/>
      </c>
      <c r="P325" s="18">
        <f>IF(OR(N325="",N325=0),"",M325/N325-1)</f>
        <v/>
      </c>
      <c r="Q325">
        <f>IF(D325="","",IF(COUNTIFS($B$10:$B$1009,B325,$C$10:$C$1009,C325,$D$10:$D$1009,D325,$E$10:$E$1009,E325)&gt;1,"MÜKERRER?",IF(P325="","",IF(P325&gt;=$C$5,"İNCELE",IF(P325&lt;=-$C$5,"Düşük",""))))</f>
        <v/>
      </c>
      <c r="R325" s="16">
        <f>IF(AND(P325&lt;&gt;"",N(P325)&gt;=$C$5,COUNTIFS($B$10:B325,B325,$C$10:C325,C325,$D$10:D325,D325,$E$10:E325,E325)=1),(M325-N325)*E325*L325,0)</f>
        <v/>
      </c>
      <c r="S325" s="19">
        <f>IF(D325="",0,N(E325)*L325)</f>
        <v/>
      </c>
    </row>
    <row r="326">
      <c r="A326" s="11" t="n"/>
      <c r="B326" s="12" t="n"/>
      <c r="C326" s="12" t="n"/>
      <c r="D326" s="12" t="n"/>
      <c r="E326" s="13" t="n"/>
      <c r="F326" s="12" t="n"/>
      <c r="G326" s="14" t="n"/>
      <c r="H326" s="15" t="n"/>
      <c r="I326" s="16">
        <f>IF(G326="","",G326*(1-N(H326)))</f>
        <v/>
      </c>
      <c r="J326" s="16">
        <f>IF(I326="","",E326*I326)</f>
        <v/>
      </c>
      <c r="K326">
        <f>IF(D326="","",IFERROR(VLOOKUP(D326,'Ürün Eşleştirme'!$A$6:$D$505,2,FALSE),D326))</f>
        <v/>
      </c>
      <c r="L326" s="17">
        <f>IF(D326="","",IFERROR(VLOOKUP(D326,'Ürün Eşleştirme'!$A$6:$D$505,4,FALSE),1))</f>
        <v/>
      </c>
      <c r="M326" s="16">
        <f>IF(I326="","",I326/L326)</f>
        <v/>
      </c>
      <c r="N326" s="16">
        <f>IF(M326="","",IFERROR(AVERAGEIFS($M$10:$M$1009,$K$10:$K$1009,K326,$A$10:$A$1009,"&lt;"&amp;A326,$A$10:$A$1009,"&gt;="&amp;(A326-$C$6)),""))</f>
        <v/>
      </c>
      <c r="O326" s="16">
        <f>IF(M326="","",_xlfn.MINIFS($M$10:$M$1009,$K$10:$K$1009,K326,$A$10:$A$1009,"&lt;="&amp;A326,$A$10:$A$1009,"&gt;="&amp;(A326-$C$6)))</f>
        <v/>
      </c>
      <c r="P326" s="18">
        <f>IF(OR(N326="",N326=0),"",M326/N326-1)</f>
        <v/>
      </c>
      <c r="Q326">
        <f>IF(D326="","",IF(COUNTIFS($B$10:$B$1009,B326,$C$10:$C$1009,C326,$D$10:$D$1009,D326,$E$10:$E$1009,E326)&gt;1,"MÜKERRER?",IF(P326="","",IF(P326&gt;=$C$5,"İNCELE",IF(P326&lt;=-$C$5,"Düşük",""))))</f>
        <v/>
      </c>
      <c r="R326" s="16">
        <f>IF(AND(P326&lt;&gt;"",N(P326)&gt;=$C$5,COUNTIFS($B$10:B326,B326,$C$10:C326,C326,$D$10:D326,D326,$E$10:E326,E326)=1),(M326-N326)*E326*L326,0)</f>
        <v/>
      </c>
      <c r="S326" s="19">
        <f>IF(D326="",0,N(E326)*L326)</f>
        <v/>
      </c>
    </row>
    <row r="327">
      <c r="A327" s="11" t="n"/>
      <c r="B327" s="12" t="n"/>
      <c r="C327" s="12" t="n"/>
      <c r="D327" s="12" t="n"/>
      <c r="E327" s="13" t="n"/>
      <c r="F327" s="12" t="n"/>
      <c r="G327" s="14" t="n"/>
      <c r="H327" s="15" t="n"/>
      <c r="I327" s="16">
        <f>IF(G327="","",G327*(1-N(H327)))</f>
        <v/>
      </c>
      <c r="J327" s="16">
        <f>IF(I327="","",E327*I327)</f>
        <v/>
      </c>
      <c r="K327">
        <f>IF(D327="","",IFERROR(VLOOKUP(D327,'Ürün Eşleştirme'!$A$6:$D$505,2,FALSE),D327))</f>
        <v/>
      </c>
      <c r="L327" s="17">
        <f>IF(D327="","",IFERROR(VLOOKUP(D327,'Ürün Eşleştirme'!$A$6:$D$505,4,FALSE),1))</f>
        <v/>
      </c>
      <c r="M327" s="16">
        <f>IF(I327="","",I327/L327)</f>
        <v/>
      </c>
      <c r="N327" s="16">
        <f>IF(M327="","",IFERROR(AVERAGEIFS($M$10:$M$1009,$K$10:$K$1009,K327,$A$10:$A$1009,"&lt;"&amp;A327,$A$10:$A$1009,"&gt;="&amp;(A327-$C$6)),""))</f>
        <v/>
      </c>
      <c r="O327" s="16">
        <f>IF(M327="","",_xlfn.MINIFS($M$10:$M$1009,$K$10:$K$1009,K327,$A$10:$A$1009,"&lt;="&amp;A327,$A$10:$A$1009,"&gt;="&amp;(A327-$C$6)))</f>
        <v/>
      </c>
      <c r="P327" s="18">
        <f>IF(OR(N327="",N327=0),"",M327/N327-1)</f>
        <v/>
      </c>
      <c r="Q327">
        <f>IF(D327="","",IF(COUNTIFS($B$10:$B$1009,B327,$C$10:$C$1009,C327,$D$10:$D$1009,D327,$E$10:$E$1009,E327)&gt;1,"MÜKERRER?",IF(P327="","",IF(P327&gt;=$C$5,"İNCELE",IF(P327&lt;=-$C$5,"Düşük",""))))</f>
        <v/>
      </c>
      <c r="R327" s="16">
        <f>IF(AND(P327&lt;&gt;"",N(P327)&gt;=$C$5,COUNTIFS($B$10:B327,B327,$C$10:C327,C327,$D$10:D327,D327,$E$10:E327,E327)=1),(M327-N327)*E327*L327,0)</f>
        <v/>
      </c>
      <c r="S327" s="19">
        <f>IF(D327="",0,N(E327)*L327)</f>
        <v/>
      </c>
    </row>
    <row r="328">
      <c r="A328" s="11" t="n"/>
      <c r="B328" s="12" t="n"/>
      <c r="C328" s="12" t="n"/>
      <c r="D328" s="12" t="n"/>
      <c r="E328" s="13" t="n"/>
      <c r="F328" s="12" t="n"/>
      <c r="G328" s="14" t="n"/>
      <c r="H328" s="15" t="n"/>
      <c r="I328" s="16">
        <f>IF(G328="","",G328*(1-N(H328)))</f>
        <v/>
      </c>
      <c r="J328" s="16">
        <f>IF(I328="","",E328*I328)</f>
        <v/>
      </c>
      <c r="K328">
        <f>IF(D328="","",IFERROR(VLOOKUP(D328,'Ürün Eşleştirme'!$A$6:$D$505,2,FALSE),D328))</f>
        <v/>
      </c>
      <c r="L328" s="17">
        <f>IF(D328="","",IFERROR(VLOOKUP(D328,'Ürün Eşleştirme'!$A$6:$D$505,4,FALSE),1))</f>
        <v/>
      </c>
      <c r="M328" s="16">
        <f>IF(I328="","",I328/L328)</f>
        <v/>
      </c>
      <c r="N328" s="16">
        <f>IF(M328="","",IFERROR(AVERAGEIFS($M$10:$M$1009,$K$10:$K$1009,K328,$A$10:$A$1009,"&lt;"&amp;A328,$A$10:$A$1009,"&gt;="&amp;(A328-$C$6)),""))</f>
        <v/>
      </c>
      <c r="O328" s="16">
        <f>IF(M328="","",_xlfn.MINIFS($M$10:$M$1009,$K$10:$K$1009,K328,$A$10:$A$1009,"&lt;="&amp;A328,$A$10:$A$1009,"&gt;="&amp;(A328-$C$6)))</f>
        <v/>
      </c>
      <c r="P328" s="18">
        <f>IF(OR(N328="",N328=0),"",M328/N328-1)</f>
        <v/>
      </c>
      <c r="Q328">
        <f>IF(D328="","",IF(COUNTIFS($B$10:$B$1009,B328,$C$10:$C$1009,C328,$D$10:$D$1009,D328,$E$10:$E$1009,E328)&gt;1,"MÜKERRER?",IF(P328="","",IF(P328&gt;=$C$5,"İNCELE",IF(P328&lt;=-$C$5,"Düşük",""))))</f>
        <v/>
      </c>
      <c r="R328" s="16">
        <f>IF(AND(P328&lt;&gt;"",N(P328)&gt;=$C$5,COUNTIFS($B$10:B328,B328,$C$10:C328,C328,$D$10:D328,D328,$E$10:E328,E328)=1),(M328-N328)*E328*L328,0)</f>
        <v/>
      </c>
      <c r="S328" s="19">
        <f>IF(D328="",0,N(E328)*L328)</f>
        <v/>
      </c>
    </row>
    <row r="329">
      <c r="A329" s="11" t="n"/>
      <c r="B329" s="12" t="n"/>
      <c r="C329" s="12" t="n"/>
      <c r="D329" s="12" t="n"/>
      <c r="E329" s="13" t="n"/>
      <c r="F329" s="12" t="n"/>
      <c r="G329" s="14" t="n"/>
      <c r="H329" s="15" t="n"/>
      <c r="I329" s="16">
        <f>IF(G329="","",G329*(1-N(H329)))</f>
        <v/>
      </c>
      <c r="J329" s="16">
        <f>IF(I329="","",E329*I329)</f>
        <v/>
      </c>
      <c r="K329">
        <f>IF(D329="","",IFERROR(VLOOKUP(D329,'Ürün Eşleştirme'!$A$6:$D$505,2,FALSE),D329))</f>
        <v/>
      </c>
      <c r="L329" s="17">
        <f>IF(D329="","",IFERROR(VLOOKUP(D329,'Ürün Eşleştirme'!$A$6:$D$505,4,FALSE),1))</f>
        <v/>
      </c>
      <c r="M329" s="16">
        <f>IF(I329="","",I329/L329)</f>
        <v/>
      </c>
      <c r="N329" s="16">
        <f>IF(M329="","",IFERROR(AVERAGEIFS($M$10:$M$1009,$K$10:$K$1009,K329,$A$10:$A$1009,"&lt;"&amp;A329,$A$10:$A$1009,"&gt;="&amp;(A329-$C$6)),""))</f>
        <v/>
      </c>
      <c r="O329" s="16">
        <f>IF(M329="","",_xlfn.MINIFS($M$10:$M$1009,$K$10:$K$1009,K329,$A$10:$A$1009,"&lt;="&amp;A329,$A$10:$A$1009,"&gt;="&amp;(A329-$C$6)))</f>
        <v/>
      </c>
      <c r="P329" s="18">
        <f>IF(OR(N329="",N329=0),"",M329/N329-1)</f>
        <v/>
      </c>
      <c r="Q329">
        <f>IF(D329="","",IF(COUNTIFS($B$10:$B$1009,B329,$C$10:$C$1009,C329,$D$10:$D$1009,D329,$E$10:$E$1009,E329)&gt;1,"MÜKERRER?",IF(P329="","",IF(P329&gt;=$C$5,"İNCELE",IF(P329&lt;=-$C$5,"Düşük",""))))</f>
        <v/>
      </c>
      <c r="R329" s="16">
        <f>IF(AND(P329&lt;&gt;"",N(P329)&gt;=$C$5,COUNTIFS($B$10:B329,B329,$C$10:C329,C329,$D$10:D329,D329,$E$10:E329,E329)=1),(M329-N329)*E329*L329,0)</f>
        <v/>
      </c>
      <c r="S329" s="19">
        <f>IF(D329="",0,N(E329)*L329)</f>
        <v/>
      </c>
    </row>
    <row r="330">
      <c r="A330" s="11" t="n"/>
      <c r="B330" s="12" t="n"/>
      <c r="C330" s="12" t="n"/>
      <c r="D330" s="12" t="n"/>
      <c r="E330" s="13" t="n"/>
      <c r="F330" s="12" t="n"/>
      <c r="G330" s="14" t="n"/>
      <c r="H330" s="15" t="n"/>
      <c r="I330" s="16">
        <f>IF(G330="","",G330*(1-N(H330)))</f>
        <v/>
      </c>
      <c r="J330" s="16">
        <f>IF(I330="","",E330*I330)</f>
        <v/>
      </c>
      <c r="K330">
        <f>IF(D330="","",IFERROR(VLOOKUP(D330,'Ürün Eşleştirme'!$A$6:$D$505,2,FALSE),D330))</f>
        <v/>
      </c>
      <c r="L330" s="17">
        <f>IF(D330="","",IFERROR(VLOOKUP(D330,'Ürün Eşleştirme'!$A$6:$D$505,4,FALSE),1))</f>
        <v/>
      </c>
      <c r="M330" s="16">
        <f>IF(I330="","",I330/L330)</f>
        <v/>
      </c>
      <c r="N330" s="16">
        <f>IF(M330="","",IFERROR(AVERAGEIFS($M$10:$M$1009,$K$10:$K$1009,K330,$A$10:$A$1009,"&lt;"&amp;A330,$A$10:$A$1009,"&gt;="&amp;(A330-$C$6)),""))</f>
        <v/>
      </c>
      <c r="O330" s="16">
        <f>IF(M330="","",_xlfn.MINIFS($M$10:$M$1009,$K$10:$K$1009,K330,$A$10:$A$1009,"&lt;="&amp;A330,$A$10:$A$1009,"&gt;="&amp;(A330-$C$6)))</f>
        <v/>
      </c>
      <c r="P330" s="18">
        <f>IF(OR(N330="",N330=0),"",M330/N330-1)</f>
        <v/>
      </c>
      <c r="Q330">
        <f>IF(D330="","",IF(COUNTIFS($B$10:$B$1009,B330,$C$10:$C$1009,C330,$D$10:$D$1009,D330,$E$10:$E$1009,E330)&gt;1,"MÜKERRER?",IF(P330="","",IF(P330&gt;=$C$5,"İNCELE",IF(P330&lt;=-$C$5,"Düşük",""))))</f>
        <v/>
      </c>
      <c r="R330" s="16">
        <f>IF(AND(P330&lt;&gt;"",N(P330)&gt;=$C$5,COUNTIFS($B$10:B330,B330,$C$10:C330,C330,$D$10:D330,D330,$E$10:E330,E330)=1),(M330-N330)*E330*L330,0)</f>
        <v/>
      </c>
      <c r="S330" s="19">
        <f>IF(D330="",0,N(E330)*L330)</f>
        <v/>
      </c>
    </row>
    <row r="331">
      <c r="A331" s="11" t="n"/>
      <c r="B331" s="12" t="n"/>
      <c r="C331" s="12" t="n"/>
      <c r="D331" s="12" t="n"/>
      <c r="E331" s="13" t="n"/>
      <c r="F331" s="12" t="n"/>
      <c r="G331" s="14" t="n"/>
      <c r="H331" s="15" t="n"/>
      <c r="I331" s="16">
        <f>IF(G331="","",G331*(1-N(H331)))</f>
        <v/>
      </c>
      <c r="J331" s="16">
        <f>IF(I331="","",E331*I331)</f>
        <v/>
      </c>
      <c r="K331">
        <f>IF(D331="","",IFERROR(VLOOKUP(D331,'Ürün Eşleştirme'!$A$6:$D$505,2,FALSE),D331))</f>
        <v/>
      </c>
      <c r="L331" s="17">
        <f>IF(D331="","",IFERROR(VLOOKUP(D331,'Ürün Eşleştirme'!$A$6:$D$505,4,FALSE),1))</f>
        <v/>
      </c>
      <c r="M331" s="16">
        <f>IF(I331="","",I331/L331)</f>
        <v/>
      </c>
      <c r="N331" s="16">
        <f>IF(M331="","",IFERROR(AVERAGEIFS($M$10:$M$1009,$K$10:$K$1009,K331,$A$10:$A$1009,"&lt;"&amp;A331,$A$10:$A$1009,"&gt;="&amp;(A331-$C$6)),""))</f>
        <v/>
      </c>
      <c r="O331" s="16">
        <f>IF(M331="","",_xlfn.MINIFS($M$10:$M$1009,$K$10:$K$1009,K331,$A$10:$A$1009,"&lt;="&amp;A331,$A$10:$A$1009,"&gt;="&amp;(A331-$C$6)))</f>
        <v/>
      </c>
      <c r="P331" s="18">
        <f>IF(OR(N331="",N331=0),"",M331/N331-1)</f>
        <v/>
      </c>
      <c r="Q331">
        <f>IF(D331="","",IF(COUNTIFS($B$10:$B$1009,B331,$C$10:$C$1009,C331,$D$10:$D$1009,D331,$E$10:$E$1009,E331)&gt;1,"MÜKERRER?",IF(P331="","",IF(P331&gt;=$C$5,"İNCELE",IF(P331&lt;=-$C$5,"Düşük",""))))</f>
        <v/>
      </c>
      <c r="R331" s="16">
        <f>IF(AND(P331&lt;&gt;"",N(P331)&gt;=$C$5,COUNTIFS($B$10:B331,B331,$C$10:C331,C331,$D$10:D331,D331,$E$10:E331,E331)=1),(M331-N331)*E331*L331,0)</f>
        <v/>
      </c>
      <c r="S331" s="19">
        <f>IF(D331="",0,N(E331)*L331)</f>
        <v/>
      </c>
    </row>
    <row r="332">
      <c r="A332" s="11" t="n"/>
      <c r="B332" s="12" t="n"/>
      <c r="C332" s="12" t="n"/>
      <c r="D332" s="12" t="n"/>
      <c r="E332" s="13" t="n"/>
      <c r="F332" s="12" t="n"/>
      <c r="G332" s="14" t="n"/>
      <c r="H332" s="15" t="n"/>
      <c r="I332" s="16">
        <f>IF(G332="","",G332*(1-N(H332)))</f>
        <v/>
      </c>
      <c r="J332" s="16">
        <f>IF(I332="","",E332*I332)</f>
        <v/>
      </c>
      <c r="K332">
        <f>IF(D332="","",IFERROR(VLOOKUP(D332,'Ürün Eşleştirme'!$A$6:$D$505,2,FALSE),D332))</f>
        <v/>
      </c>
      <c r="L332" s="17">
        <f>IF(D332="","",IFERROR(VLOOKUP(D332,'Ürün Eşleştirme'!$A$6:$D$505,4,FALSE),1))</f>
        <v/>
      </c>
      <c r="M332" s="16">
        <f>IF(I332="","",I332/L332)</f>
        <v/>
      </c>
      <c r="N332" s="16">
        <f>IF(M332="","",IFERROR(AVERAGEIFS($M$10:$M$1009,$K$10:$K$1009,K332,$A$10:$A$1009,"&lt;"&amp;A332,$A$10:$A$1009,"&gt;="&amp;(A332-$C$6)),""))</f>
        <v/>
      </c>
      <c r="O332" s="16">
        <f>IF(M332="","",_xlfn.MINIFS($M$10:$M$1009,$K$10:$K$1009,K332,$A$10:$A$1009,"&lt;="&amp;A332,$A$10:$A$1009,"&gt;="&amp;(A332-$C$6)))</f>
        <v/>
      </c>
      <c r="P332" s="18">
        <f>IF(OR(N332="",N332=0),"",M332/N332-1)</f>
        <v/>
      </c>
      <c r="Q332">
        <f>IF(D332="","",IF(COUNTIFS($B$10:$B$1009,B332,$C$10:$C$1009,C332,$D$10:$D$1009,D332,$E$10:$E$1009,E332)&gt;1,"MÜKERRER?",IF(P332="","",IF(P332&gt;=$C$5,"İNCELE",IF(P332&lt;=-$C$5,"Düşük",""))))</f>
        <v/>
      </c>
      <c r="R332" s="16">
        <f>IF(AND(P332&lt;&gt;"",N(P332)&gt;=$C$5,COUNTIFS($B$10:B332,B332,$C$10:C332,C332,$D$10:D332,D332,$E$10:E332,E332)=1),(M332-N332)*E332*L332,0)</f>
        <v/>
      </c>
      <c r="S332" s="19">
        <f>IF(D332="",0,N(E332)*L332)</f>
        <v/>
      </c>
    </row>
    <row r="333">
      <c r="A333" s="11" t="n"/>
      <c r="B333" s="12" t="n"/>
      <c r="C333" s="12" t="n"/>
      <c r="D333" s="12" t="n"/>
      <c r="E333" s="13" t="n"/>
      <c r="F333" s="12" t="n"/>
      <c r="G333" s="14" t="n"/>
      <c r="H333" s="15" t="n"/>
      <c r="I333" s="16">
        <f>IF(G333="","",G333*(1-N(H333)))</f>
        <v/>
      </c>
      <c r="J333" s="16">
        <f>IF(I333="","",E333*I333)</f>
        <v/>
      </c>
      <c r="K333">
        <f>IF(D333="","",IFERROR(VLOOKUP(D333,'Ürün Eşleştirme'!$A$6:$D$505,2,FALSE),D333))</f>
        <v/>
      </c>
      <c r="L333" s="17">
        <f>IF(D333="","",IFERROR(VLOOKUP(D333,'Ürün Eşleştirme'!$A$6:$D$505,4,FALSE),1))</f>
        <v/>
      </c>
      <c r="M333" s="16">
        <f>IF(I333="","",I333/L333)</f>
        <v/>
      </c>
      <c r="N333" s="16">
        <f>IF(M333="","",IFERROR(AVERAGEIFS($M$10:$M$1009,$K$10:$K$1009,K333,$A$10:$A$1009,"&lt;"&amp;A333,$A$10:$A$1009,"&gt;="&amp;(A333-$C$6)),""))</f>
        <v/>
      </c>
      <c r="O333" s="16">
        <f>IF(M333="","",_xlfn.MINIFS($M$10:$M$1009,$K$10:$K$1009,K333,$A$10:$A$1009,"&lt;="&amp;A333,$A$10:$A$1009,"&gt;="&amp;(A333-$C$6)))</f>
        <v/>
      </c>
      <c r="P333" s="18">
        <f>IF(OR(N333="",N333=0),"",M333/N333-1)</f>
        <v/>
      </c>
      <c r="Q333">
        <f>IF(D333="","",IF(COUNTIFS($B$10:$B$1009,B333,$C$10:$C$1009,C333,$D$10:$D$1009,D333,$E$10:$E$1009,E333)&gt;1,"MÜKERRER?",IF(P333="","",IF(P333&gt;=$C$5,"İNCELE",IF(P333&lt;=-$C$5,"Düşük",""))))</f>
        <v/>
      </c>
      <c r="R333" s="16">
        <f>IF(AND(P333&lt;&gt;"",N(P333)&gt;=$C$5,COUNTIFS($B$10:B333,B333,$C$10:C333,C333,$D$10:D333,D333,$E$10:E333,E333)=1),(M333-N333)*E333*L333,0)</f>
        <v/>
      </c>
      <c r="S333" s="19">
        <f>IF(D333="",0,N(E333)*L333)</f>
        <v/>
      </c>
    </row>
    <row r="334">
      <c r="A334" s="11" t="n"/>
      <c r="B334" s="12" t="n"/>
      <c r="C334" s="12" t="n"/>
      <c r="D334" s="12" t="n"/>
      <c r="E334" s="13" t="n"/>
      <c r="F334" s="12" t="n"/>
      <c r="G334" s="14" t="n"/>
      <c r="H334" s="15" t="n"/>
      <c r="I334" s="16">
        <f>IF(G334="","",G334*(1-N(H334)))</f>
        <v/>
      </c>
      <c r="J334" s="16">
        <f>IF(I334="","",E334*I334)</f>
        <v/>
      </c>
      <c r="K334">
        <f>IF(D334="","",IFERROR(VLOOKUP(D334,'Ürün Eşleştirme'!$A$6:$D$505,2,FALSE),D334))</f>
        <v/>
      </c>
      <c r="L334" s="17">
        <f>IF(D334="","",IFERROR(VLOOKUP(D334,'Ürün Eşleştirme'!$A$6:$D$505,4,FALSE),1))</f>
        <v/>
      </c>
      <c r="M334" s="16">
        <f>IF(I334="","",I334/L334)</f>
        <v/>
      </c>
      <c r="N334" s="16">
        <f>IF(M334="","",IFERROR(AVERAGEIFS($M$10:$M$1009,$K$10:$K$1009,K334,$A$10:$A$1009,"&lt;"&amp;A334,$A$10:$A$1009,"&gt;="&amp;(A334-$C$6)),""))</f>
        <v/>
      </c>
      <c r="O334" s="16">
        <f>IF(M334="","",_xlfn.MINIFS($M$10:$M$1009,$K$10:$K$1009,K334,$A$10:$A$1009,"&lt;="&amp;A334,$A$10:$A$1009,"&gt;="&amp;(A334-$C$6)))</f>
        <v/>
      </c>
      <c r="P334" s="18">
        <f>IF(OR(N334="",N334=0),"",M334/N334-1)</f>
        <v/>
      </c>
      <c r="Q334">
        <f>IF(D334="","",IF(COUNTIFS($B$10:$B$1009,B334,$C$10:$C$1009,C334,$D$10:$D$1009,D334,$E$10:$E$1009,E334)&gt;1,"MÜKERRER?",IF(P334="","",IF(P334&gt;=$C$5,"İNCELE",IF(P334&lt;=-$C$5,"Düşük",""))))</f>
        <v/>
      </c>
      <c r="R334" s="16">
        <f>IF(AND(P334&lt;&gt;"",N(P334)&gt;=$C$5,COUNTIFS($B$10:B334,B334,$C$10:C334,C334,$D$10:D334,D334,$E$10:E334,E334)=1),(M334-N334)*E334*L334,0)</f>
        <v/>
      </c>
      <c r="S334" s="19">
        <f>IF(D334="",0,N(E334)*L334)</f>
        <v/>
      </c>
    </row>
    <row r="335">
      <c r="A335" s="11" t="n"/>
      <c r="B335" s="12" t="n"/>
      <c r="C335" s="12" t="n"/>
      <c r="D335" s="12" t="n"/>
      <c r="E335" s="13" t="n"/>
      <c r="F335" s="12" t="n"/>
      <c r="G335" s="14" t="n"/>
      <c r="H335" s="15" t="n"/>
      <c r="I335" s="16">
        <f>IF(G335="","",G335*(1-N(H335)))</f>
        <v/>
      </c>
      <c r="J335" s="16">
        <f>IF(I335="","",E335*I335)</f>
        <v/>
      </c>
      <c r="K335">
        <f>IF(D335="","",IFERROR(VLOOKUP(D335,'Ürün Eşleştirme'!$A$6:$D$505,2,FALSE),D335))</f>
        <v/>
      </c>
      <c r="L335" s="17">
        <f>IF(D335="","",IFERROR(VLOOKUP(D335,'Ürün Eşleştirme'!$A$6:$D$505,4,FALSE),1))</f>
        <v/>
      </c>
      <c r="M335" s="16">
        <f>IF(I335="","",I335/L335)</f>
        <v/>
      </c>
      <c r="N335" s="16">
        <f>IF(M335="","",IFERROR(AVERAGEIFS($M$10:$M$1009,$K$10:$K$1009,K335,$A$10:$A$1009,"&lt;"&amp;A335,$A$10:$A$1009,"&gt;="&amp;(A335-$C$6)),""))</f>
        <v/>
      </c>
      <c r="O335" s="16">
        <f>IF(M335="","",_xlfn.MINIFS($M$10:$M$1009,$K$10:$K$1009,K335,$A$10:$A$1009,"&lt;="&amp;A335,$A$10:$A$1009,"&gt;="&amp;(A335-$C$6)))</f>
        <v/>
      </c>
      <c r="P335" s="18">
        <f>IF(OR(N335="",N335=0),"",M335/N335-1)</f>
        <v/>
      </c>
      <c r="Q335">
        <f>IF(D335="","",IF(COUNTIFS($B$10:$B$1009,B335,$C$10:$C$1009,C335,$D$10:$D$1009,D335,$E$10:$E$1009,E335)&gt;1,"MÜKERRER?",IF(P335="","",IF(P335&gt;=$C$5,"İNCELE",IF(P335&lt;=-$C$5,"Düşük",""))))</f>
        <v/>
      </c>
      <c r="R335" s="16">
        <f>IF(AND(P335&lt;&gt;"",N(P335)&gt;=$C$5,COUNTIFS($B$10:B335,B335,$C$10:C335,C335,$D$10:D335,D335,$E$10:E335,E335)=1),(M335-N335)*E335*L335,0)</f>
        <v/>
      </c>
      <c r="S335" s="19">
        <f>IF(D335="",0,N(E335)*L335)</f>
        <v/>
      </c>
    </row>
    <row r="336">
      <c r="A336" s="11" t="n"/>
      <c r="B336" s="12" t="n"/>
      <c r="C336" s="12" t="n"/>
      <c r="D336" s="12" t="n"/>
      <c r="E336" s="13" t="n"/>
      <c r="F336" s="12" t="n"/>
      <c r="G336" s="14" t="n"/>
      <c r="H336" s="15" t="n"/>
      <c r="I336" s="16">
        <f>IF(G336="","",G336*(1-N(H336)))</f>
        <v/>
      </c>
      <c r="J336" s="16">
        <f>IF(I336="","",E336*I336)</f>
        <v/>
      </c>
      <c r="K336">
        <f>IF(D336="","",IFERROR(VLOOKUP(D336,'Ürün Eşleştirme'!$A$6:$D$505,2,FALSE),D336))</f>
        <v/>
      </c>
      <c r="L336" s="17">
        <f>IF(D336="","",IFERROR(VLOOKUP(D336,'Ürün Eşleştirme'!$A$6:$D$505,4,FALSE),1))</f>
        <v/>
      </c>
      <c r="M336" s="16">
        <f>IF(I336="","",I336/L336)</f>
        <v/>
      </c>
      <c r="N336" s="16">
        <f>IF(M336="","",IFERROR(AVERAGEIFS($M$10:$M$1009,$K$10:$K$1009,K336,$A$10:$A$1009,"&lt;"&amp;A336,$A$10:$A$1009,"&gt;="&amp;(A336-$C$6)),""))</f>
        <v/>
      </c>
      <c r="O336" s="16">
        <f>IF(M336="","",_xlfn.MINIFS($M$10:$M$1009,$K$10:$K$1009,K336,$A$10:$A$1009,"&lt;="&amp;A336,$A$10:$A$1009,"&gt;="&amp;(A336-$C$6)))</f>
        <v/>
      </c>
      <c r="P336" s="18">
        <f>IF(OR(N336="",N336=0),"",M336/N336-1)</f>
        <v/>
      </c>
      <c r="Q336">
        <f>IF(D336="","",IF(COUNTIFS($B$10:$B$1009,B336,$C$10:$C$1009,C336,$D$10:$D$1009,D336,$E$10:$E$1009,E336)&gt;1,"MÜKERRER?",IF(P336="","",IF(P336&gt;=$C$5,"İNCELE",IF(P336&lt;=-$C$5,"Düşük",""))))</f>
        <v/>
      </c>
      <c r="R336" s="16">
        <f>IF(AND(P336&lt;&gt;"",N(P336)&gt;=$C$5,COUNTIFS($B$10:B336,B336,$C$10:C336,C336,$D$10:D336,D336,$E$10:E336,E336)=1),(M336-N336)*E336*L336,0)</f>
        <v/>
      </c>
      <c r="S336" s="19">
        <f>IF(D336="",0,N(E336)*L336)</f>
        <v/>
      </c>
    </row>
    <row r="337">
      <c r="A337" s="11" t="n"/>
      <c r="B337" s="12" t="n"/>
      <c r="C337" s="12" t="n"/>
      <c r="D337" s="12" t="n"/>
      <c r="E337" s="13" t="n"/>
      <c r="F337" s="12" t="n"/>
      <c r="G337" s="14" t="n"/>
      <c r="H337" s="15" t="n"/>
      <c r="I337" s="16">
        <f>IF(G337="","",G337*(1-N(H337)))</f>
        <v/>
      </c>
      <c r="J337" s="16">
        <f>IF(I337="","",E337*I337)</f>
        <v/>
      </c>
      <c r="K337">
        <f>IF(D337="","",IFERROR(VLOOKUP(D337,'Ürün Eşleştirme'!$A$6:$D$505,2,FALSE),D337))</f>
        <v/>
      </c>
      <c r="L337" s="17">
        <f>IF(D337="","",IFERROR(VLOOKUP(D337,'Ürün Eşleştirme'!$A$6:$D$505,4,FALSE),1))</f>
        <v/>
      </c>
      <c r="M337" s="16">
        <f>IF(I337="","",I337/L337)</f>
        <v/>
      </c>
      <c r="N337" s="16">
        <f>IF(M337="","",IFERROR(AVERAGEIFS($M$10:$M$1009,$K$10:$K$1009,K337,$A$10:$A$1009,"&lt;"&amp;A337,$A$10:$A$1009,"&gt;="&amp;(A337-$C$6)),""))</f>
        <v/>
      </c>
      <c r="O337" s="16">
        <f>IF(M337="","",_xlfn.MINIFS($M$10:$M$1009,$K$10:$K$1009,K337,$A$10:$A$1009,"&lt;="&amp;A337,$A$10:$A$1009,"&gt;="&amp;(A337-$C$6)))</f>
        <v/>
      </c>
      <c r="P337" s="18">
        <f>IF(OR(N337="",N337=0),"",M337/N337-1)</f>
        <v/>
      </c>
      <c r="Q337">
        <f>IF(D337="","",IF(COUNTIFS($B$10:$B$1009,B337,$C$10:$C$1009,C337,$D$10:$D$1009,D337,$E$10:$E$1009,E337)&gt;1,"MÜKERRER?",IF(P337="","",IF(P337&gt;=$C$5,"İNCELE",IF(P337&lt;=-$C$5,"Düşük",""))))</f>
        <v/>
      </c>
      <c r="R337" s="16">
        <f>IF(AND(P337&lt;&gt;"",N(P337)&gt;=$C$5,COUNTIFS($B$10:B337,B337,$C$10:C337,C337,$D$10:D337,D337,$E$10:E337,E337)=1),(M337-N337)*E337*L337,0)</f>
        <v/>
      </c>
      <c r="S337" s="19">
        <f>IF(D337="",0,N(E337)*L337)</f>
        <v/>
      </c>
    </row>
    <row r="338">
      <c r="A338" s="11" t="n"/>
      <c r="B338" s="12" t="n"/>
      <c r="C338" s="12" t="n"/>
      <c r="D338" s="12" t="n"/>
      <c r="E338" s="13" t="n"/>
      <c r="F338" s="12" t="n"/>
      <c r="G338" s="14" t="n"/>
      <c r="H338" s="15" t="n"/>
      <c r="I338" s="16">
        <f>IF(G338="","",G338*(1-N(H338)))</f>
        <v/>
      </c>
      <c r="J338" s="16">
        <f>IF(I338="","",E338*I338)</f>
        <v/>
      </c>
      <c r="K338">
        <f>IF(D338="","",IFERROR(VLOOKUP(D338,'Ürün Eşleştirme'!$A$6:$D$505,2,FALSE),D338))</f>
        <v/>
      </c>
      <c r="L338" s="17">
        <f>IF(D338="","",IFERROR(VLOOKUP(D338,'Ürün Eşleştirme'!$A$6:$D$505,4,FALSE),1))</f>
        <v/>
      </c>
      <c r="M338" s="16">
        <f>IF(I338="","",I338/L338)</f>
        <v/>
      </c>
      <c r="N338" s="16">
        <f>IF(M338="","",IFERROR(AVERAGEIFS($M$10:$M$1009,$K$10:$K$1009,K338,$A$10:$A$1009,"&lt;"&amp;A338,$A$10:$A$1009,"&gt;="&amp;(A338-$C$6)),""))</f>
        <v/>
      </c>
      <c r="O338" s="16">
        <f>IF(M338="","",_xlfn.MINIFS($M$10:$M$1009,$K$10:$K$1009,K338,$A$10:$A$1009,"&lt;="&amp;A338,$A$10:$A$1009,"&gt;="&amp;(A338-$C$6)))</f>
        <v/>
      </c>
      <c r="P338" s="18">
        <f>IF(OR(N338="",N338=0),"",M338/N338-1)</f>
        <v/>
      </c>
      <c r="Q338">
        <f>IF(D338="","",IF(COUNTIFS($B$10:$B$1009,B338,$C$10:$C$1009,C338,$D$10:$D$1009,D338,$E$10:$E$1009,E338)&gt;1,"MÜKERRER?",IF(P338="","",IF(P338&gt;=$C$5,"İNCELE",IF(P338&lt;=-$C$5,"Düşük",""))))</f>
        <v/>
      </c>
      <c r="R338" s="16">
        <f>IF(AND(P338&lt;&gt;"",N(P338)&gt;=$C$5,COUNTIFS($B$10:B338,B338,$C$10:C338,C338,$D$10:D338,D338,$E$10:E338,E338)=1),(M338-N338)*E338*L338,0)</f>
        <v/>
      </c>
      <c r="S338" s="19">
        <f>IF(D338="",0,N(E338)*L338)</f>
        <v/>
      </c>
    </row>
    <row r="339">
      <c r="A339" s="11" t="n"/>
      <c r="B339" s="12" t="n"/>
      <c r="C339" s="12" t="n"/>
      <c r="D339" s="12" t="n"/>
      <c r="E339" s="13" t="n"/>
      <c r="F339" s="12" t="n"/>
      <c r="G339" s="14" t="n"/>
      <c r="H339" s="15" t="n"/>
      <c r="I339" s="16">
        <f>IF(G339="","",G339*(1-N(H339)))</f>
        <v/>
      </c>
      <c r="J339" s="16">
        <f>IF(I339="","",E339*I339)</f>
        <v/>
      </c>
      <c r="K339">
        <f>IF(D339="","",IFERROR(VLOOKUP(D339,'Ürün Eşleştirme'!$A$6:$D$505,2,FALSE),D339))</f>
        <v/>
      </c>
      <c r="L339" s="17">
        <f>IF(D339="","",IFERROR(VLOOKUP(D339,'Ürün Eşleştirme'!$A$6:$D$505,4,FALSE),1))</f>
        <v/>
      </c>
      <c r="M339" s="16">
        <f>IF(I339="","",I339/L339)</f>
        <v/>
      </c>
      <c r="N339" s="16">
        <f>IF(M339="","",IFERROR(AVERAGEIFS($M$10:$M$1009,$K$10:$K$1009,K339,$A$10:$A$1009,"&lt;"&amp;A339,$A$10:$A$1009,"&gt;="&amp;(A339-$C$6)),""))</f>
        <v/>
      </c>
      <c r="O339" s="16">
        <f>IF(M339="","",_xlfn.MINIFS($M$10:$M$1009,$K$10:$K$1009,K339,$A$10:$A$1009,"&lt;="&amp;A339,$A$10:$A$1009,"&gt;="&amp;(A339-$C$6)))</f>
        <v/>
      </c>
      <c r="P339" s="18">
        <f>IF(OR(N339="",N339=0),"",M339/N339-1)</f>
        <v/>
      </c>
      <c r="Q339">
        <f>IF(D339="","",IF(COUNTIFS($B$10:$B$1009,B339,$C$10:$C$1009,C339,$D$10:$D$1009,D339,$E$10:$E$1009,E339)&gt;1,"MÜKERRER?",IF(P339="","",IF(P339&gt;=$C$5,"İNCELE",IF(P339&lt;=-$C$5,"Düşük",""))))</f>
        <v/>
      </c>
      <c r="R339" s="16">
        <f>IF(AND(P339&lt;&gt;"",N(P339)&gt;=$C$5,COUNTIFS($B$10:B339,B339,$C$10:C339,C339,$D$10:D339,D339,$E$10:E339,E339)=1),(M339-N339)*E339*L339,0)</f>
        <v/>
      </c>
      <c r="S339" s="19">
        <f>IF(D339="",0,N(E339)*L339)</f>
        <v/>
      </c>
    </row>
    <row r="340">
      <c r="A340" s="11" t="n"/>
      <c r="B340" s="12" t="n"/>
      <c r="C340" s="12" t="n"/>
      <c r="D340" s="12" t="n"/>
      <c r="E340" s="13" t="n"/>
      <c r="F340" s="12" t="n"/>
      <c r="G340" s="14" t="n"/>
      <c r="H340" s="15" t="n"/>
      <c r="I340" s="16">
        <f>IF(G340="","",G340*(1-N(H340)))</f>
        <v/>
      </c>
      <c r="J340" s="16">
        <f>IF(I340="","",E340*I340)</f>
        <v/>
      </c>
      <c r="K340">
        <f>IF(D340="","",IFERROR(VLOOKUP(D340,'Ürün Eşleştirme'!$A$6:$D$505,2,FALSE),D340))</f>
        <v/>
      </c>
      <c r="L340" s="17">
        <f>IF(D340="","",IFERROR(VLOOKUP(D340,'Ürün Eşleştirme'!$A$6:$D$505,4,FALSE),1))</f>
        <v/>
      </c>
      <c r="M340" s="16">
        <f>IF(I340="","",I340/L340)</f>
        <v/>
      </c>
      <c r="N340" s="16">
        <f>IF(M340="","",IFERROR(AVERAGEIFS($M$10:$M$1009,$K$10:$K$1009,K340,$A$10:$A$1009,"&lt;"&amp;A340,$A$10:$A$1009,"&gt;="&amp;(A340-$C$6)),""))</f>
        <v/>
      </c>
      <c r="O340" s="16">
        <f>IF(M340="","",_xlfn.MINIFS($M$10:$M$1009,$K$10:$K$1009,K340,$A$10:$A$1009,"&lt;="&amp;A340,$A$10:$A$1009,"&gt;="&amp;(A340-$C$6)))</f>
        <v/>
      </c>
      <c r="P340" s="18">
        <f>IF(OR(N340="",N340=0),"",M340/N340-1)</f>
        <v/>
      </c>
      <c r="Q340">
        <f>IF(D340="","",IF(COUNTIFS($B$10:$B$1009,B340,$C$10:$C$1009,C340,$D$10:$D$1009,D340,$E$10:$E$1009,E340)&gt;1,"MÜKERRER?",IF(P340="","",IF(P340&gt;=$C$5,"İNCELE",IF(P340&lt;=-$C$5,"Düşük",""))))</f>
        <v/>
      </c>
      <c r="R340" s="16">
        <f>IF(AND(P340&lt;&gt;"",N(P340)&gt;=$C$5,COUNTIFS($B$10:B340,B340,$C$10:C340,C340,$D$10:D340,D340,$E$10:E340,E340)=1),(M340-N340)*E340*L340,0)</f>
        <v/>
      </c>
      <c r="S340" s="19">
        <f>IF(D340="",0,N(E340)*L340)</f>
        <v/>
      </c>
    </row>
    <row r="341">
      <c r="A341" s="11" t="n"/>
      <c r="B341" s="12" t="n"/>
      <c r="C341" s="12" t="n"/>
      <c r="D341" s="12" t="n"/>
      <c r="E341" s="13" t="n"/>
      <c r="F341" s="12" t="n"/>
      <c r="G341" s="14" t="n"/>
      <c r="H341" s="15" t="n"/>
      <c r="I341" s="16">
        <f>IF(G341="","",G341*(1-N(H341)))</f>
        <v/>
      </c>
      <c r="J341" s="16">
        <f>IF(I341="","",E341*I341)</f>
        <v/>
      </c>
      <c r="K341">
        <f>IF(D341="","",IFERROR(VLOOKUP(D341,'Ürün Eşleştirme'!$A$6:$D$505,2,FALSE),D341))</f>
        <v/>
      </c>
      <c r="L341" s="17">
        <f>IF(D341="","",IFERROR(VLOOKUP(D341,'Ürün Eşleştirme'!$A$6:$D$505,4,FALSE),1))</f>
        <v/>
      </c>
      <c r="M341" s="16">
        <f>IF(I341="","",I341/L341)</f>
        <v/>
      </c>
      <c r="N341" s="16">
        <f>IF(M341="","",IFERROR(AVERAGEIFS($M$10:$M$1009,$K$10:$K$1009,K341,$A$10:$A$1009,"&lt;"&amp;A341,$A$10:$A$1009,"&gt;="&amp;(A341-$C$6)),""))</f>
        <v/>
      </c>
      <c r="O341" s="16">
        <f>IF(M341="","",_xlfn.MINIFS($M$10:$M$1009,$K$10:$K$1009,K341,$A$10:$A$1009,"&lt;="&amp;A341,$A$10:$A$1009,"&gt;="&amp;(A341-$C$6)))</f>
        <v/>
      </c>
      <c r="P341" s="18">
        <f>IF(OR(N341="",N341=0),"",M341/N341-1)</f>
        <v/>
      </c>
      <c r="Q341">
        <f>IF(D341="","",IF(COUNTIFS($B$10:$B$1009,B341,$C$10:$C$1009,C341,$D$10:$D$1009,D341,$E$10:$E$1009,E341)&gt;1,"MÜKERRER?",IF(P341="","",IF(P341&gt;=$C$5,"İNCELE",IF(P341&lt;=-$C$5,"Düşük",""))))</f>
        <v/>
      </c>
      <c r="R341" s="16">
        <f>IF(AND(P341&lt;&gt;"",N(P341)&gt;=$C$5,COUNTIFS($B$10:B341,B341,$C$10:C341,C341,$D$10:D341,D341,$E$10:E341,E341)=1),(M341-N341)*E341*L341,0)</f>
        <v/>
      </c>
      <c r="S341" s="19">
        <f>IF(D341="",0,N(E341)*L341)</f>
        <v/>
      </c>
    </row>
    <row r="342">
      <c r="A342" s="11" t="n"/>
      <c r="B342" s="12" t="n"/>
      <c r="C342" s="12" t="n"/>
      <c r="D342" s="12" t="n"/>
      <c r="E342" s="13" t="n"/>
      <c r="F342" s="12" t="n"/>
      <c r="G342" s="14" t="n"/>
      <c r="H342" s="15" t="n"/>
      <c r="I342" s="16">
        <f>IF(G342="","",G342*(1-N(H342)))</f>
        <v/>
      </c>
      <c r="J342" s="16">
        <f>IF(I342="","",E342*I342)</f>
        <v/>
      </c>
      <c r="K342">
        <f>IF(D342="","",IFERROR(VLOOKUP(D342,'Ürün Eşleştirme'!$A$6:$D$505,2,FALSE),D342))</f>
        <v/>
      </c>
      <c r="L342" s="17">
        <f>IF(D342="","",IFERROR(VLOOKUP(D342,'Ürün Eşleştirme'!$A$6:$D$505,4,FALSE),1))</f>
        <v/>
      </c>
      <c r="M342" s="16">
        <f>IF(I342="","",I342/L342)</f>
        <v/>
      </c>
      <c r="N342" s="16">
        <f>IF(M342="","",IFERROR(AVERAGEIFS($M$10:$M$1009,$K$10:$K$1009,K342,$A$10:$A$1009,"&lt;"&amp;A342,$A$10:$A$1009,"&gt;="&amp;(A342-$C$6)),""))</f>
        <v/>
      </c>
      <c r="O342" s="16">
        <f>IF(M342="","",_xlfn.MINIFS($M$10:$M$1009,$K$10:$K$1009,K342,$A$10:$A$1009,"&lt;="&amp;A342,$A$10:$A$1009,"&gt;="&amp;(A342-$C$6)))</f>
        <v/>
      </c>
      <c r="P342" s="18">
        <f>IF(OR(N342="",N342=0),"",M342/N342-1)</f>
        <v/>
      </c>
      <c r="Q342">
        <f>IF(D342="","",IF(COUNTIFS($B$10:$B$1009,B342,$C$10:$C$1009,C342,$D$10:$D$1009,D342,$E$10:$E$1009,E342)&gt;1,"MÜKERRER?",IF(P342="","",IF(P342&gt;=$C$5,"İNCELE",IF(P342&lt;=-$C$5,"Düşük",""))))</f>
        <v/>
      </c>
      <c r="R342" s="16">
        <f>IF(AND(P342&lt;&gt;"",N(P342)&gt;=$C$5,COUNTIFS($B$10:B342,B342,$C$10:C342,C342,$D$10:D342,D342,$E$10:E342,E342)=1),(M342-N342)*E342*L342,0)</f>
        <v/>
      </c>
      <c r="S342" s="19">
        <f>IF(D342="",0,N(E342)*L342)</f>
        <v/>
      </c>
    </row>
    <row r="343">
      <c r="A343" s="11" t="n"/>
      <c r="B343" s="12" t="n"/>
      <c r="C343" s="12" t="n"/>
      <c r="D343" s="12" t="n"/>
      <c r="E343" s="13" t="n"/>
      <c r="F343" s="12" t="n"/>
      <c r="G343" s="14" t="n"/>
      <c r="H343" s="15" t="n"/>
      <c r="I343" s="16">
        <f>IF(G343="","",G343*(1-N(H343)))</f>
        <v/>
      </c>
      <c r="J343" s="16">
        <f>IF(I343="","",E343*I343)</f>
        <v/>
      </c>
      <c r="K343">
        <f>IF(D343="","",IFERROR(VLOOKUP(D343,'Ürün Eşleştirme'!$A$6:$D$505,2,FALSE),D343))</f>
        <v/>
      </c>
      <c r="L343" s="17">
        <f>IF(D343="","",IFERROR(VLOOKUP(D343,'Ürün Eşleştirme'!$A$6:$D$505,4,FALSE),1))</f>
        <v/>
      </c>
      <c r="M343" s="16">
        <f>IF(I343="","",I343/L343)</f>
        <v/>
      </c>
      <c r="N343" s="16">
        <f>IF(M343="","",IFERROR(AVERAGEIFS($M$10:$M$1009,$K$10:$K$1009,K343,$A$10:$A$1009,"&lt;"&amp;A343,$A$10:$A$1009,"&gt;="&amp;(A343-$C$6)),""))</f>
        <v/>
      </c>
      <c r="O343" s="16">
        <f>IF(M343="","",_xlfn.MINIFS($M$10:$M$1009,$K$10:$K$1009,K343,$A$10:$A$1009,"&lt;="&amp;A343,$A$10:$A$1009,"&gt;="&amp;(A343-$C$6)))</f>
        <v/>
      </c>
      <c r="P343" s="18">
        <f>IF(OR(N343="",N343=0),"",M343/N343-1)</f>
        <v/>
      </c>
      <c r="Q343">
        <f>IF(D343="","",IF(COUNTIFS($B$10:$B$1009,B343,$C$10:$C$1009,C343,$D$10:$D$1009,D343,$E$10:$E$1009,E343)&gt;1,"MÜKERRER?",IF(P343="","",IF(P343&gt;=$C$5,"İNCELE",IF(P343&lt;=-$C$5,"Düşük",""))))</f>
        <v/>
      </c>
      <c r="R343" s="16">
        <f>IF(AND(P343&lt;&gt;"",N(P343)&gt;=$C$5,COUNTIFS($B$10:B343,B343,$C$10:C343,C343,$D$10:D343,D343,$E$10:E343,E343)=1),(M343-N343)*E343*L343,0)</f>
        <v/>
      </c>
      <c r="S343" s="19">
        <f>IF(D343="",0,N(E343)*L343)</f>
        <v/>
      </c>
    </row>
    <row r="344">
      <c r="A344" s="11" t="n"/>
      <c r="B344" s="12" t="n"/>
      <c r="C344" s="12" t="n"/>
      <c r="D344" s="12" t="n"/>
      <c r="E344" s="13" t="n"/>
      <c r="F344" s="12" t="n"/>
      <c r="G344" s="14" t="n"/>
      <c r="H344" s="15" t="n"/>
      <c r="I344" s="16">
        <f>IF(G344="","",G344*(1-N(H344)))</f>
        <v/>
      </c>
      <c r="J344" s="16">
        <f>IF(I344="","",E344*I344)</f>
        <v/>
      </c>
      <c r="K344">
        <f>IF(D344="","",IFERROR(VLOOKUP(D344,'Ürün Eşleştirme'!$A$6:$D$505,2,FALSE),D344))</f>
        <v/>
      </c>
      <c r="L344" s="17">
        <f>IF(D344="","",IFERROR(VLOOKUP(D344,'Ürün Eşleştirme'!$A$6:$D$505,4,FALSE),1))</f>
        <v/>
      </c>
      <c r="M344" s="16">
        <f>IF(I344="","",I344/L344)</f>
        <v/>
      </c>
      <c r="N344" s="16">
        <f>IF(M344="","",IFERROR(AVERAGEIFS($M$10:$M$1009,$K$10:$K$1009,K344,$A$10:$A$1009,"&lt;"&amp;A344,$A$10:$A$1009,"&gt;="&amp;(A344-$C$6)),""))</f>
        <v/>
      </c>
      <c r="O344" s="16">
        <f>IF(M344="","",_xlfn.MINIFS($M$10:$M$1009,$K$10:$K$1009,K344,$A$10:$A$1009,"&lt;="&amp;A344,$A$10:$A$1009,"&gt;="&amp;(A344-$C$6)))</f>
        <v/>
      </c>
      <c r="P344" s="18">
        <f>IF(OR(N344="",N344=0),"",M344/N344-1)</f>
        <v/>
      </c>
      <c r="Q344">
        <f>IF(D344="","",IF(COUNTIFS($B$10:$B$1009,B344,$C$10:$C$1009,C344,$D$10:$D$1009,D344,$E$10:$E$1009,E344)&gt;1,"MÜKERRER?",IF(P344="","",IF(P344&gt;=$C$5,"İNCELE",IF(P344&lt;=-$C$5,"Düşük",""))))</f>
        <v/>
      </c>
      <c r="R344" s="16">
        <f>IF(AND(P344&lt;&gt;"",N(P344)&gt;=$C$5,COUNTIFS($B$10:B344,B344,$C$10:C344,C344,$D$10:D344,D344,$E$10:E344,E344)=1),(M344-N344)*E344*L344,0)</f>
        <v/>
      </c>
      <c r="S344" s="19">
        <f>IF(D344="",0,N(E344)*L344)</f>
        <v/>
      </c>
    </row>
    <row r="345">
      <c r="A345" s="11" t="n"/>
      <c r="B345" s="12" t="n"/>
      <c r="C345" s="12" t="n"/>
      <c r="D345" s="12" t="n"/>
      <c r="E345" s="13" t="n"/>
      <c r="F345" s="12" t="n"/>
      <c r="G345" s="14" t="n"/>
      <c r="H345" s="15" t="n"/>
      <c r="I345" s="16">
        <f>IF(G345="","",G345*(1-N(H345)))</f>
        <v/>
      </c>
      <c r="J345" s="16">
        <f>IF(I345="","",E345*I345)</f>
        <v/>
      </c>
      <c r="K345">
        <f>IF(D345="","",IFERROR(VLOOKUP(D345,'Ürün Eşleştirme'!$A$6:$D$505,2,FALSE),D345))</f>
        <v/>
      </c>
      <c r="L345" s="17">
        <f>IF(D345="","",IFERROR(VLOOKUP(D345,'Ürün Eşleştirme'!$A$6:$D$505,4,FALSE),1))</f>
        <v/>
      </c>
      <c r="M345" s="16">
        <f>IF(I345="","",I345/L345)</f>
        <v/>
      </c>
      <c r="N345" s="16">
        <f>IF(M345="","",IFERROR(AVERAGEIFS($M$10:$M$1009,$K$10:$K$1009,K345,$A$10:$A$1009,"&lt;"&amp;A345,$A$10:$A$1009,"&gt;="&amp;(A345-$C$6)),""))</f>
        <v/>
      </c>
      <c r="O345" s="16">
        <f>IF(M345="","",_xlfn.MINIFS($M$10:$M$1009,$K$10:$K$1009,K345,$A$10:$A$1009,"&lt;="&amp;A345,$A$10:$A$1009,"&gt;="&amp;(A345-$C$6)))</f>
        <v/>
      </c>
      <c r="P345" s="18">
        <f>IF(OR(N345="",N345=0),"",M345/N345-1)</f>
        <v/>
      </c>
      <c r="Q345">
        <f>IF(D345="","",IF(COUNTIFS($B$10:$B$1009,B345,$C$10:$C$1009,C345,$D$10:$D$1009,D345,$E$10:$E$1009,E345)&gt;1,"MÜKERRER?",IF(P345="","",IF(P345&gt;=$C$5,"İNCELE",IF(P345&lt;=-$C$5,"Düşük",""))))</f>
        <v/>
      </c>
      <c r="R345" s="16">
        <f>IF(AND(P345&lt;&gt;"",N(P345)&gt;=$C$5,COUNTIFS($B$10:B345,B345,$C$10:C345,C345,$D$10:D345,D345,$E$10:E345,E345)=1),(M345-N345)*E345*L345,0)</f>
        <v/>
      </c>
      <c r="S345" s="19">
        <f>IF(D345="",0,N(E345)*L345)</f>
        <v/>
      </c>
    </row>
    <row r="346">
      <c r="A346" s="11" t="n"/>
      <c r="B346" s="12" t="n"/>
      <c r="C346" s="12" t="n"/>
      <c r="D346" s="12" t="n"/>
      <c r="E346" s="13" t="n"/>
      <c r="F346" s="12" t="n"/>
      <c r="G346" s="14" t="n"/>
      <c r="H346" s="15" t="n"/>
      <c r="I346" s="16">
        <f>IF(G346="","",G346*(1-N(H346)))</f>
        <v/>
      </c>
      <c r="J346" s="16">
        <f>IF(I346="","",E346*I346)</f>
        <v/>
      </c>
      <c r="K346">
        <f>IF(D346="","",IFERROR(VLOOKUP(D346,'Ürün Eşleştirme'!$A$6:$D$505,2,FALSE),D346))</f>
        <v/>
      </c>
      <c r="L346" s="17">
        <f>IF(D346="","",IFERROR(VLOOKUP(D346,'Ürün Eşleştirme'!$A$6:$D$505,4,FALSE),1))</f>
        <v/>
      </c>
      <c r="M346" s="16">
        <f>IF(I346="","",I346/L346)</f>
        <v/>
      </c>
      <c r="N346" s="16">
        <f>IF(M346="","",IFERROR(AVERAGEIFS($M$10:$M$1009,$K$10:$K$1009,K346,$A$10:$A$1009,"&lt;"&amp;A346,$A$10:$A$1009,"&gt;="&amp;(A346-$C$6)),""))</f>
        <v/>
      </c>
      <c r="O346" s="16">
        <f>IF(M346="","",_xlfn.MINIFS($M$10:$M$1009,$K$10:$K$1009,K346,$A$10:$A$1009,"&lt;="&amp;A346,$A$10:$A$1009,"&gt;="&amp;(A346-$C$6)))</f>
        <v/>
      </c>
      <c r="P346" s="18">
        <f>IF(OR(N346="",N346=0),"",M346/N346-1)</f>
        <v/>
      </c>
      <c r="Q346">
        <f>IF(D346="","",IF(COUNTIFS($B$10:$B$1009,B346,$C$10:$C$1009,C346,$D$10:$D$1009,D346,$E$10:$E$1009,E346)&gt;1,"MÜKERRER?",IF(P346="","",IF(P346&gt;=$C$5,"İNCELE",IF(P346&lt;=-$C$5,"Düşük",""))))</f>
        <v/>
      </c>
      <c r="R346" s="16">
        <f>IF(AND(P346&lt;&gt;"",N(P346)&gt;=$C$5,COUNTIFS($B$10:B346,B346,$C$10:C346,C346,$D$10:D346,D346,$E$10:E346,E346)=1),(M346-N346)*E346*L346,0)</f>
        <v/>
      </c>
      <c r="S346" s="19">
        <f>IF(D346="",0,N(E346)*L346)</f>
        <v/>
      </c>
    </row>
    <row r="347">
      <c r="A347" s="11" t="n"/>
      <c r="B347" s="12" t="n"/>
      <c r="C347" s="12" t="n"/>
      <c r="D347" s="12" t="n"/>
      <c r="E347" s="13" t="n"/>
      <c r="F347" s="12" t="n"/>
      <c r="G347" s="14" t="n"/>
      <c r="H347" s="15" t="n"/>
      <c r="I347" s="16">
        <f>IF(G347="","",G347*(1-N(H347)))</f>
        <v/>
      </c>
      <c r="J347" s="16">
        <f>IF(I347="","",E347*I347)</f>
        <v/>
      </c>
      <c r="K347">
        <f>IF(D347="","",IFERROR(VLOOKUP(D347,'Ürün Eşleştirme'!$A$6:$D$505,2,FALSE),D347))</f>
        <v/>
      </c>
      <c r="L347" s="17">
        <f>IF(D347="","",IFERROR(VLOOKUP(D347,'Ürün Eşleştirme'!$A$6:$D$505,4,FALSE),1))</f>
        <v/>
      </c>
      <c r="M347" s="16">
        <f>IF(I347="","",I347/L347)</f>
        <v/>
      </c>
      <c r="N347" s="16">
        <f>IF(M347="","",IFERROR(AVERAGEIFS($M$10:$M$1009,$K$10:$K$1009,K347,$A$10:$A$1009,"&lt;"&amp;A347,$A$10:$A$1009,"&gt;="&amp;(A347-$C$6)),""))</f>
        <v/>
      </c>
      <c r="O347" s="16">
        <f>IF(M347="","",_xlfn.MINIFS($M$10:$M$1009,$K$10:$K$1009,K347,$A$10:$A$1009,"&lt;="&amp;A347,$A$10:$A$1009,"&gt;="&amp;(A347-$C$6)))</f>
        <v/>
      </c>
      <c r="P347" s="18">
        <f>IF(OR(N347="",N347=0),"",M347/N347-1)</f>
        <v/>
      </c>
      <c r="Q347">
        <f>IF(D347="","",IF(COUNTIFS($B$10:$B$1009,B347,$C$10:$C$1009,C347,$D$10:$D$1009,D347,$E$10:$E$1009,E347)&gt;1,"MÜKERRER?",IF(P347="","",IF(P347&gt;=$C$5,"İNCELE",IF(P347&lt;=-$C$5,"Düşük",""))))</f>
        <v/>
      </c>
      <c r="R347" s="16">
        <f>IF(AND(P347&lt;&gt;"",N(P347)&gt;=$C$5,COUNTIFS($B$10:B347,B347,$C$10:C347,C347,$D$10:D347,D347,$E$10:E347,E347)=1),(M347-N347)*E347*L347,0)</f>
        <v/>
      </c>
      <c r="S347" s="19">
        <f>IF(D347="",0,N(E347)*L347)</f>
        <v/>
      </c>
    </row>
    <row r="348">
      <c r="A348" s="11" t="n"/>
      <c r="B348" s="12" t="n"/>
      <c r="C348" s="12" t="n"/>
      <c r="D348" s="12" t="n"/>
      <c r="E348" s="13" t="n"/>
      <c r="F348" s="12" t="n"/>
      <c r="G348" s="14" t="n"/>
      <c r="H348" s="15" t="n"/>
      <c r="I348" s="16">
        <f>IF(G348="","",G348*(1-N(H348)))</f>
        <v/>
      </c>
      <c r="J348" s="16">
        <f>IF(I348="","",E348*I348)</f>
        <v/>
      </c>
      <c r="K348">
        <f>IF(D348="","",IFERROR(VLOOKUP(D348,'Ürün Eşleştirme'!$A$6:$D$505,2,FALSE),D348))</f>
        <v/>
      </c>
      <c r="L348" s="17">
        <f>IF(D348="","",IFERROR(VLOOKUP(D348,'Ürün Eşleştirme'!$A$6:$D$505,4,FALSE),1))</f>
        <v/>
      </c>
      <c r="M348" s="16">
        <f>IF(I348="","",I348/L348)</f>
        <v/>
      </c>
      <c r="N348" s="16">
        <f>IF(M348="","",IFERROR(AVERAGEIFS($M$10:$M$1009,$K$10:$K$1009,K348,$A$10:$A$1009,"&lt;"&amp;A348,$A$10:$A$1009,"&gt;="&amp;(A348-$C$6)),""))</f>
        <v/>
      </c>
      <c r="O348" s="16">
        <f>IF(M348="","",_xlfn.MINIFS($M$10:$M$1009,$K$10:$K$1009,K348,$A$10:$A$1009,"&lt;="&amp;A348,$A$10:$A$1009,"&gt;="&amp;(A348-$C$6)))</f>
        <v/>
      </c>
      <c r="P348" s="18">
        <f>IF(OR(N348="",N348=0),"",M348/N348-1)</f>
        <v/>
      </c>
      <c r="Q348">
        <f>IF(D348="","",IF(COUNTIFS($B$10:$B$1009,B348,$C$10:$C$1009,C348,$D$10:$D$1009,D348,$E$10:$E$1009,E348)&gt;1,"MÜKERRER?",IF(P348="","",IF(P348&gt;=$C$5,"İNCELE",IF(P348&lt;=-$C$5,"Düşük",""))))</f>
        <v/>
      </c>
      <c r="R348" s="16">
        <f>IF(AND(P348&lt;&gt;"",N(P348)&gt;=$C$5,COUNTIFS($B$10:B348,B348,$C$10:C348,C348,$D$10:D348,D348,$E$10:E348,E348)=1),(M348-N348)*E348*L348,0)</f>
        <v/>
      </c>
      <c r="S348" s="19">
        <f>IF(D348="",0,N(E348)*L348)</f>
        <v/>
      </c>
    </row>
    <row r="349">
      <c r="A349" s="11" t="n"/>
      <c r="B349" s="12" t="n"/>
      <c r="C349" s="12" t="n"/>
      <c r="D349" s="12" t="n"/>
      <c r="E349" s="13" t="n"/>
      <c r="F349" s="12" t="n"/>
      <c r="G349" s="14" t="n"/>
      <c r="H349" s="15" t="n"/>
      <c r="I349" s="16">
        <f>IF(G349="","",G349*(1-N(H349)))</f>
        <v/>
      </c>
      <c r="J349" s="16">
        <f>IF(I349="","",E349*I349)</f>
        <v/>
      </c>
      <c r="K349">
        <f>IF(D349="","",IFERROR(VLOOKUP(D349,'Ürün Eşleştirme'!$A$6:$D$505,2,FALSE),D349))</f>
        <v/>
      </c>
      <c r="L349" s="17">
        <f>IF(D349="","",IFERROR(VLOOKUP(D349,'Ürün Eşleştirme'!$A$6:$D$505,4,FALSE),1))</f>
        <v/>
      </c>
      <c r="M349" s="16">
        <f>IF(I349="","",I349/L349)</f>
        <v/>
      </c>
      <c r="N349" s="16">
        <f>IF(M349="","",IFERROR(AVERAGEIFS($M$10:$M$1009,$K$10:$K$1009,K349,$A$10:$A$1009,"&lt;"&amp;A349,$A$10:$A$1009,"&gt;="&amp;(A349-$C$6)),""))</f>
        <v/>
      </c>
      <c r="O349" s="16">
        <f>IF(M349="","",_xlfn.MINIFS($M$10:$M$1009,$K$10:$K$1009,K349,$A$10:$A$1009,"&lt;="&amp;A349,$A$10:$A$1009,"&gt;="&amp;(A349-$C$6)))</f>
        <v/>
      </c>
      <c r="P349" s="18">
        <f>IF(OR(N349="",N349=0),"",M349/N349-1)</f>
        <v/>
      </c>
      <c r="Q349">
        <f>IF(D349="","",IF(COUNTIFS($B$10:$B$1009,B349,$C$10:$C$1009,C349,$D$10:$D$1009,D349,$E$10:$E$1009,E349)&gt;1,"MÜKERRER?",IF(P349="","",IF(P349&gt;=$C$5,"İNCELE",IF(P349&lt;=-$C$5,"Düşük",""))))</f>
        <v/>
      </c>
      <c r="R349" s="16">
        <f>IF(AND(P349&lt;&gt;"",N(P349)&gt;=$C$5,COUNTIFS($B$10:B349,B349,$C$10:C349,C349,$D$10:D349,D349,$E$10:E349,E349)=1),(M349-N349)*E349*L349,0)</f>
        <v/>
      </c>
      <c r="S349" s="19">
        <f>IF(D349="",0,N(E349)*L349)</f>
        <v/>
      </c>
    </row>
    <row r="350">
      <c r="A350" s="11" t="n"/>
      <c r="B350" s="12" t="n"/>
      <c r="C350" s="12" t="n"/>
      <c r="D350" s="12" t="n"/>
      <c r="E350" s="13" t="n"/>
      <c r="F350" s="12" t="n"/>
      <c r="G350" s="14" t="n"/>
      <c r="H350" s="15" t="n"/>
      <c r="I350" s="16">
        <f>IF(G350="","",G350*(1-N(H350)))</f>
        <v/>
      </c>
      <c r="J350" s="16">
        <f>IF(I350="","",E350*I350)</f>
        <v/>
      </c>
      <c r="K350">
        <f>IF(D350="","",IFERROR(VLOOKUP(D350,'Ürün Eşleştirme'!$A$6:$D$505,2,FALSE),D350))</f>
        <v/>
      </c>
      <c r="L350" s="17">
        <f>IF(D350="","",IFERROR(VLOOKUP(D350,'Ürün Eşleştirme'!$A$6:$D$505,4,FALSE),1))</f>
        <v/>
      </c>
      <c r="M350" s="16">
        <f>IF(I350="","",I350/L350)</f>
        <v/>
      </c>
      <c r="N350" s="16">
        <f>IF(M350="","",IFERROR(AVERAGEIFS($M$10:$M$1009,$K$10:$K$1009,K350,$A$10:$A$1009,"&lt;"&amp;A350,$A$10:$A$1009,"&gt;="&amp;(A350-$C$6)),""))</f>
        <v/>
      </c>
      <c r="O350" s="16">
        <f>IF(M350="","",_xlfn.MINIFS($M$10:$M$1009,$K$10:$K$1009,K350,$A$10:$A$1009,"&lt;="&amp;A350,$A$10:$A$1009,"&gt;="&amp;(A350-$C$6)))</f>
        <v/>
      </c>
      <c r="P350" s="18">
        <f>IF(OR(N350="",N350=0),"",M350/N350-1)</f>
        <v/>
      </c>
      <c r="Q350">
        <f>IF(D350="","",IF(COUNTIFS($B$10:$B$1009,B350,$C$10:$C$1009,C350,$D$10:$D$1009,D350,$E$10:$E$1009,E350)&gt;1,"MÜKERRER?",IF(P350="","",IF(P350&gt;=$C$5,"İNCELE",IF(P350&lt;=-$C$5,"Düşük",""))))</f>
        <v/>
      </c>
      <c r="R350" s="16">
        <f>IF(AND(P350&lt;&gt;"",N(P350)&gt;=$C$5,COUNTIFS($B$10:B350,B350,$C$10:C350,C350,$D$10:D350,D350,$E$10:E350,E350)=1),(M350-N350)*E350*L350,0)</f>
        <v/>
      </c>
      <c r="S350" s="19">
        <f>IF(D350="",0,N(E350)*L350)</f>
        <v/>
      </c>
    </row>
    <row r="351">
      <c r="A351" s="11" t="n"/>
      <c r="B351" s="12" t="n"/>
      <c r="C351" s="12" t="n"/>
      <c r="D351" s="12" t="n"/>
      <c r="E351" s="13" t="n"/>
      <c r="F351" s="12" t="n"/>
      <c r="G351" s="14" t="n"/>
      <c r="H351" s="15" t="n"/>
      <c r="I351" s="16">
        <f>IF(G351="","",G351*(1-N(H351)))</f>
        <v/>
      </c>
      <c r="J351" s="16">
        <f>IF(I351="","",E351*I351)</f>
        <v/>
      </c>
      <c r="K351">
        <f>IF(D351="","",IFERROR(VLOOKUP(D351,'Ürün Eşleştirme'!$A$6:$D$505,2,FALSE),D351))</f>
        <v/>
      </c>
      <c r="L351" s="17">
        <f>IF(D351="","",IFERROR(VLOOKUP(D351,'Ürün Eşleştirme'!$A$6:$D$505,4,FALSE),1))</f>
        <v/>
      </c>
      <c r="M351" s="16">
        <f>IF(I351="","",I351/L351)</f>
        <v/>
      </c>
      <c r="N351" s="16">
        <f>IF(M351="","",IFERROR(AVERAGEIFS($M$10:$M$1009,$K$10:$K$1009,K351,$A$10:$A$1009,"&lt;"&amp;A351,$A$10:$A$1009,"&gt;="&amp;(A351-$C$6)),""))</f>
        <v/>
      </c>
      <c r="O351" s="16">
        <f>IF(M351="","",_xlfn.MINIFS($M$10:$M$1009,$K$10:$K$1009,K351,$A$10:$A$1009,"&lt;="&amp;A351,$A$10:$A$1009,"&gt;="&amp;(A351-$C$6)))</f>
        <v/>
      </c>
      <c r="P351" s="18">
        <f>IF(OR(N351="",N351=0),"",M351/N351-1)</f>
        <v/>
      </c>
      <c r="Q351">
        <f>IF(D351="","",IF(COUNTIFS($B$10:$B$1009,B351,$C$10:$C$1009,C351,$D$10:$D$1009,D351,$E$10:$E$1009,E351)&gt;1,"MÜKERRER?",IF(P351="","",IF(P351&gt;=$C$5,"İNCELE",IF(P351&lt;=-$C$5,"Düşük",""))))</f>
        <v/>
      </c>
      <c r="R351" s="16">
        <f>IF(AND(P351&lt;&gt;"",N(P351)&gt;=$C$5,COUNTIFS($B$10:B351,B351,$C$10:C351,C351,$D$10:D351,D351,$E$10:E351,E351)=1),(M351-N351)*E351*L351,0)</f>
        <v/>
      </c>
      <c r="S351" s="19">
        <f>IF(D351="",0,N(E351)*L351)</f>
        <v/>
      </c>
    </row>
    <row r="352">
      <c r="A352" s="11" t="n"/>
      <c r="B352" s="12" t="n"/>
      <c r="C352" s="12" t="n"/>
      <c r="D352" s="12" t="n"/>
      <c r="E352" s="13" t="n"/>
      <c r="F352" s="12" t="n"/>
      <c r="G352" s="14" t="n"/>
      <c r="H352" s="15" t="n"/>
      <c r="I352" s="16">
        <f>IF(G352="","",G352*(1-N(H352)))</f>
        <v/>
      </c>
      <c r="J352" s="16">
        <f>IF(I352="","",E352*I352)</f>
        <v/>
      </c>
      <c r="K352">
        <f>IF(D352="","",IFERROR(VLOOKUP(D352,'Ürün Eşleştirme'!$A$6:$D$505,2,FALSE),D352))</f>
        <v/>
      </c>
      <c r="L352" s="17">
        <f>IF(D352="","",IFERROR(VLOOKUP(D352,'Ürün Eşleştirme'!$A$6:$D$505,4,FALSE),1))</f>
        <v/>
      </c>
      <c r="M352" s="16">
        <f>IF(I352="","",I352/L352)</f>
        <v/>
      </c>
      <c r="N352" s="16">
        <f>IF(M352="","",IFERROR(AVERAGEIFS($M$10:$M$1009,$K$10:$K$1009,K352,$A$10:$A$1009,"&lt;"&amp;A352,$A$10:$A$1009,"&gt;="&amp;(A352-$C$6)),""))</f>
        <v/>
      </c>
      <c r="O352" s="16">
        <f>IF(M352="","",_xlfn.MINIFS($M$10:$M$1009,$K$10:$K$1009,K352,$A$10:$A$1009,"&lt;="&amp;A352,$A$10:$A$1009,"&gt;="&amp;(A352-$C$6)))</f>
        <v/>
      </c>
      <c r="P352" s="18">
        <f>IF(OR(N352="",N352=0),"",M352/N352-1)</f>
        <v/>
      </c>
      <c r="Q352">
        <f>IF(D352="","",IF(COUNTIFS($B$10:$B$1009,B352,$C$10:$C$1009,C352,$D$10:$D$1009,D352,$E$10:$E$1009,E352)&gt;1,"MÜKERRER?",IF(P352="","",IF(P352&gt;=$C$5,"İNCELE",IF(P352&lt;=-$C$5,"Düşük",""))))</f>
        <v/>
      </c>
      <c r="R352" s="16">
        <f>IF(AND(P352&lt;&gt;"",N(P352)&gt;=$C$5,COUNTIFS($B$10:B352,B352,$C$10:C352,C352,$D$10:D352,D352,$E$10:E352,E352)=1),(M352-N352)*E352*L352,0)</f>
        <v/>
      </c>
      <c r="S352" s="19">
        <f>IF(D352="",0,N(E352)*L352)</f>
        <v/>
      </c>
    </row>
    <row r="353">
      <c r="A353" s="11" t="n"/>
      <c r="B353" s="12" t="n"/>
      <c r="C353" s="12" t="n"/>
      <c r="D353" s="12" t="n"/>
      <c r="E353" s="13" t="n"/>
      <c r="F353" s="12" t="n"/>
      <c r="G353" s="14" t="n"/>
      <c r="H353" s="15" t="n"/>
      <c r="I353" s="16">
        <f>IF(G353="","",G353*(1-N(H353)))</f>
        <v/>
      </c>
      <c r="J353" s="16">
        <f>IF(I353="","",E353*I353)</f>
        <v/>
      </c>
      <c r="K353">
        <f>IF(D353="","",IFERROR(VLOOKUP(D353,'Ürün Eşleştirme'!$A$6:$D$505,2,FALSE),D353))</f>
        <v/>
      </c>
      <c r="L353" s="17">
        <f>IF(D353="","",IFERROR(VLOOKUP(D353,'Ürün Eşleştirme'!$A$6:$D$505,4,FALSE),1))</f>
        <v/>
      </c>
      <c r="M353" s="16">
        <f>IF(I353="","",I353/L353)</f>
        <v/>
      </c>
      <c r="N353" s="16">
        <f>IF(M353="","",IFERROR(AVERAGEIFS($M$10:$M$1009,$K$10:$K$1009,K353,$A$10:$A$1009,"&lt;"&amp;A353,$A$10:$A$1009,"&gt;="&amp;(A353-$C$6)),""))</f>
        <v/>
      </c>
      <c r="O353" s="16">
        <f>IF(M353="","",_xlfn.MINIFS($M$10:$M$1009,$K$10:$K$1009,K353,$A$10:$A$1009,"&lt;="&amp;A353,$A$10:$A$1009,"&gt;="&amp;(A353-$C$6)))</f>
        <v/>
      </c>
      <c r="P353" s="18">
        <f>IF(OR(N353="",N353=0),"",M353/N353-1)</f>
        <v/>
      </c>
      <c r="Q353">
        <f>IF(D353="","",IF(COUNTIFS($B$10:$B$1009,B353,$C$10:$C$1009,C353,$D$10:$D$1009,D353,$E$10:$E$1009,E353)&gt;1,"MÜKERRER?",IF(P353="","",IF(P353&gt;=$C$5,"İNCELE",IF(P353&lt;=-$C$5,"Düşük",""))))</f>
        <v/>
      </c>
      <c r="R353" s="16">
        <f>IF(AND(P353&lt;&gt;"",N(P353)&gt;=$C$5,COUNTIFS($B$10:B353,B353,$C$10:C353,C353,$D$10:D353,D353,$E$10:E353,E353)=1),(M353-N353)*E353*L353,0)</f>
        <v/>
      </c>
      <c r="S353" s="19">
        <f>IF(D353="",0,N(E353)*L353)</f>
        <v/>
      </c>
    </row>
    <row r="354">
      <c r="A354" s="11" t="n"/>
      <c r="B354" s="12" t="n"/>
      <c r="C354" s="12" t="n"/>
      <c r="D354" s="12" t="n"/>
      <c r="E354" s="13" t="n"/>
      <c r="F354" s="12" t="n"/>
      <c r="G354" s="14" t="n"/>
      <c r="H354" s="15" t="n"/>
      <c r="I354" s="16">
        <f>IF(G354="","",G354*(1-N(H354)))</f>
        <v/>
      </c>
      <c r="J354" s="16">
        <f>IF(I354="","",E354*I354)</f>
        <v/>
      </c>
      <c r="K354">
        <f>IF(D354="","",IFERROR(VLOOKUP(D354,'Ürün Eşleştirme'!$A$6:$D$505,2,FALSE),D354))</f>
        <v/>
      </c>
      <c r="L354" s="17">
        <f>IF(D354="","",IFERROR(VLOOKUP(D354,'Ürün Eşleştirme'!$A$6:$D$505,4,FALSE),1))</f>
        <v/>
      </c>
      <c r="M354" s="16">
        <f>IF(I354="","",I354/L354)</f>
        <v/>
      </c>
      <c r="N354" s="16">
        <f>IF(M354="","",IFERROR(AVERAGEIFS($M$10:$M$1009,$K$10:$K$1009,K354,$A$10:$A$1009,"&lt;"&amp;A354,$A$10:$A$1009,"&gt;="&amp;(A354-$C$6)),""))</f>
        <v/>
      </c>
      <c r="O354" s="16">
        <f>IF(M354="","",_xlfn.MINIFS($M$10:$M$1009,$K$10:$K$1009,K354,$A$10:$A$1009,"&lt;="&amp;A354,$A$10:$A$1009,"&gt;="&amp;(A354-$C$6)))</f>
        <v/>
      </c>
      <c r="P354" s="18">
        <f>IF(OR(N354="",N354=0),"",M354/N354-1)</f>
        <v/>
      </c>
      <c r="Q354">
        <f>IF(D354="","",IF(COUNTIFS($B$10:$B$1009,B354,$C$10:$C$1009,C354,$D$10:$D$1009,D354,$E$10:$E$1009,E354)&gt;1,"MÜKERRER?",IF(P354="","",IF(P354&gt;=$C$5,"İNCELE",IF(P354&lt;=-$C$5,"Düşük",""))))</f>
        <v/>
      </c>
      <c r="R354" s="16">
        <f>IF(AND(P354&lt;&gt;"",N(P354)&gt;=$C$5,COUNTIFS($B$10:B354,B354,$C$10:C354,C354,$D$10:D354,D354,$E$10:E354,E354)=1),(M354-N354)*E354*L354,0)</f>
        <v/>
      </c>
      <c r="S354" s="19">
        <f>IF(D354="",0,N(E354)*L354)</f>
        <v/>
      </c>
    </row>
    <row r="355">
      <c r="A355" s="11" t="n"/>
      <c r="B355" s="12" t="n"/>
      <c r="C355" s="12" t="n"/>
      <c r="D355" s="12" t="n"/>
      <c r="E355" s="13" t="n"/>
      <c r="F355" s="12" t="n"/>
      <c r="G355" s="14" t="n"/>
      <c r="H355" s="15" t="n"/>
      <c r="I355" s="16">
        <f>IF(G355="","",G355*(1-N(H355)))</f>
        <v/>
      </c>
      <c r="J355" s="16">
        <f>IF(I355="","",E355*I355)</f>
        <v/>
      </c>
      <c r="K355">
        <f>IF(D355="","",IFERROR(VLOOKUP(D355,'Ürün Eşleştirme'!$A$6:$D$505,2,FALSE),D355))</f>
        <v/>
      </c>
      <c r="L355" s="17">
        <f>IF(D355="","",IFERROR(VLOOKUP(D355,'Ürün Eşleştirme'!$A$6:$D$505,4,FALSE),1))</f>
        <v/>
      </c>
      <c r="M355" s="16">
        <f>IF(I355="","",I355/L355)</f>
        <v/>
      </c>
      <c r="N355" s="16">
        <f>IF(M355="","",IFERROR(AVERAGEIFS($M$10:$M$1009,$K$10:$K$1009,K355,$A$10:$A$1009,"&lt;"&amp;A355,$A$10:$A$1009,"&gt;="&amp;(A355-$C$6)),""))</f>
        <v/>
      </c>
      <c r="O355" s="16">
        <f>IF(M355="","",_xlfn.MINIFS($M$10:$M$1009,$K$10:$K$1009,K355,$A$10:$A$1009,"&lt;="&amp;A355,$A$10:$A$1009,"&gt;="&amp;(A355-$C$6)))</f>
        <v/>
      </c>
      <c r="P355" s="18">
        <f>IF(OR(N355="",N355=0),"",M355/N355-1)</f>
        <v/>
      </c>
      <c r="Q355">
        <f>IF(D355="","",IF(COUNTIFS($B$10:$B$1009,B355,$C$10:$C$1009,C355,$D$10:$D$1009,D355,$E$10:$E$1009,E355)&gt;1,"MÜKERRER?",IF(P355="","",IF(P355&gt;=$C$5,"İNCELE",IF(P355&lt;=-$C$5,"Düşük",""))))</f>
        <v/>
      </c>
      <c r="R355" s="16">
        <f>IF(AND(P355&lt;&gt;"",N(P355)&gt;=$C$5,COUNTIFS($B$10:B355,B355,$C$10:C355,C355,$D$10:D355,D355,$E$10:E355,E355)=1),(M355-N355)*E355*L355,0)</f>
        <v/>
      </c>
      <c r="S355" s="19">
        <f>IF(D355="",0,N(E355)*L355)</f>
        <v/>
      </c>
    </row>
    <row r="356">
      <c r="A356" s="11" t="n"/>
      <c r="B356" s="12" t="n"/>
      <c r="C356" s="12" t="n"/>
      <c r="D356" s="12" t="n"/>
      <c r="E356" s="13" t="n"/>
      <c r="F356" s="12" t="n"/>
      <c r="G356" s="14" t="n"/>
      <c r="H356" s="15" t="n"/>
      <c r="I356" s="16">
        <f>IF(G356="","",G356*(1-N(H356)))</f>
        <v/>
      </c>
      <c r="J356" s="16">
        <f>IF(I356="","",E356*I356)</f>
        <v/>
      </c>
      <c r="K356">
        <f>IF(D356="","",IFERROR(VLOOKUP(D356,'Ürün Eşleştirme'!$A$6:$D$505,2,FALSE),D356))</f>
        <v/>
      </c>
      <c r="L356" s="17">
        <f>IF(D356="","",IFERROR(VLOOKUP(D356,'Ürün Eşleştirme'!$A$6:$D$505,4,FALSE),1))</f>
        <v/>
      </c>
      <c r="M356" s="16">
        <f>IF(I356="","",I356/L356)</f>
        <v/>
      </c>
      <c r="N356" s="16">
        <f>IF(M356="","",IFERROR(AVERAGEIFS($M$10:$M$1009,$K$10:$K$1009,K356,$A$10:$A$1009,"&lt;"&amp;A356,$A$10:$A$1009,"&gt;="&amp;(A356-$C$6)),""))</f>
        <v/>
      </c>
      <c r="O356" s="16">
        <f>IF(M356="","",_xlfn.MINIFS($M$10:$M$1009,$K$10:$K$1009,K356,$A$10:$A$1009,"&lt;="&amp;A356,$A$10:$A$1009,"&gt;="&amp;(A356-$C$6)))</f>
        <v/>
      </c>
      <c r="P356" s="18">
        <f>IF(OR(N356="",N356=0),"",M356/N356-1)</f>
        <v/>
      </c>
      <c r="Q356">
        <f>IF(D356="","",IF(COUNTIFS($B$10:$B$1009,B356,$C$10:$C$1009,C356,$D$10:$D$1009,D356,$E$10:$E$1009,E356)&gt;1,"MÜKERRER?",IF(P356="","",IF(P356&gt;=$C$5,"İNCELE",IF(P356&lt;=-$C$5,"Düşük",""))))</f>
        <v/>
      </c>
      <c r="R356" s="16">
        <f>IF(AND(P356&lt;&gt;"",N(P356)&gt;=$C$5,COUNTIFS($B$10:B356,B356,$C$10:C356,C356,$D$10:D356,D356,$E$10:E356,E356)=1),(M356-N356)*E356*L356,0)</f>
        <v/>
      </c>
      <c r="S356" s="19">
        <f>IF(D356="",0,N(E356)*L356)</f>
        <v/>
      </c>
    </row>
    <row r="357">
      <c r="A357" s="11" t="n"/>
      <c r="B357" s="12" t="n"/>
      <c r="C357" s="12" t="n"/>
      <c r="D357" s="12" t="n"/>
      <c r="E357" s="13" t="n"/>
      <c r="F357" s="12" t="n"/>
      <c r="G357" s="14" t="n"/>
      <c r="H357" s="15" t="n"/>
      <c r="I357" s="16">
        <f>IF(G357="","",G357*(1-N(H357)))</f>
        <v/>
      </c>
      <c r="J357" s="16">
        <f>IF(I357="","",E357*I357)</f>
        <v/>
      </c>
      <c r="K357">
        <f>IF(D357="","",IFERROR(VLOOKUP(D357,'Ürün Eşleştirme'!$A$6:$D$505,2,FALSE),D357))</f>
        <v/>
      </c>
      <c r="L357" s="17">
        <f>IF(D357="","",IFERROR(VLOOKUP(D357,'Ürün Eşleştirme'!$A$6:$D$505,4,FALSE),1))</f>
        <v/>
      </c>
      <c r="M357" s="16">
        <f>IF(I357="","",I357/L357)</f>
        <v/>
      </c>
      <c r="N357" s="16">
        <f>IF(M357="","",IFERROR(AVERAGEIFS($M$10:$M$1009,$K$10:$K$1009,K357,$A$10:$A$1009,"&lt;"&amp;A357,$A$10:$A$1009,"&gt;="&amp;(A357-$C$6)),""))</f>
        <v/>
      </c>
      <c r="O357" s="16">
        <f>IF(M357="","",_xlfn.MINIFS($M$10:$M$1009,$K$10:$K$1009,K357,$A$10:$A$1009,"&lt;="&amp;A357,$A$10:$A$1009,"&gt;="&amp;(A357-$C$6)))</f>
        <v/>
      </c>
      <c r="P357" s="18">
        <f>IF(OR(N357="",N357=0),"",M357/N357-1)</f>
        <v/>
      </c>
      <c r="Q357">
        <f>IF(D357="","",IF(COUNTIFS($B$10:$B$1009,B357,$C$10:$C$1009,C357,$D$10:$D$1009,D357,$E$10:$E$1009,E357)&gt;1,"MÜKERRER?",IF(P357="","",IF(P357&gt;=$C$5,"İNCELE",IF(P357&lt;=-$C$5,"Düşük",""))))</f>
        <v/>
      </c>
      <c r="R357" s="16">
        <f>IF(AND(P357&lt;&gt;"",N(P357)&gt;=$C$5,COUNTIFS($B$10:B357,B357,$C$10:C357,C357,$D$10:D357,D357,$E$10:E357,E357)=1),(M357-N357)*E357*L357,0)</f>
        <v/>
      </c>
      <c r="S357" s="19">
        <f>IF(D357="",0,N(E357)*L357)</f>
        <v/>
      </c>
    </row>
    <row r="358">
      <c r="A358" s="11" t="n"/>
      <c r="B358" s="12" t="n"/>
      <c r="C358" s="12" t="n"/>
      <c r="D358" s="12" t="n"/>
      <c r="E358" s="13" t="n"/>
      <c r="F358" s="12" t="n"/>
      <c r="G358" s="14" t="n"/>
      <c r="H358" s="15" t="n"/>
      <c r="I358" s="16">
        <f>IF(G358="","",G358*(1-N(H358)))</f>
        <v/>
      </c>
      <c r="J358" s="16">
        <f>IF(I358="","",E358*I358)</f>
        <v/>
      </c>
      <c r="K358">
        <f>IF(D358="","",IFERROR(VLOOKUP(D358,'Ürün Eşleştirme'!$A$6:$D$505,2,FALSE),D358))</f>
        <v/>
      </c>
      <c r="L358" s="17">
        <f>IF(D358="","",IFERROR(VLOOKUP(D358,'Ürün Eşleştirme'!$A$6:$D$505,4,FALSE),1))</f>
        <v/>
      </c>
      <c r="M358" s="16">
        <f>IF(I358="","",I358/L358)</f>
        <v/>
      </c>
      <c r="N358" s="16">
        <f>IF(M358="","",IFERROR(AVERAGEIFS($M$10:$M$1009,$K$10:$K$1009,K358,$A$10:$A$1009,"&lt;"&amp;A358,$A$10:$A$1009,"&gt;="&amp;(A358-$C$6)),""))</f>
        <v/>
      </c>
      <c r="O358" s="16">
        <f>IF(M358="","",_xlfn.MINIFS($M$10:$M$1009,$K$10:$K$1009,K358,$A$10:$A$1009,"&lt;="&amp;A358,$A$10:$A$1009,"&gt;="&amp;(A358-$C$6)))</f>
        <v/>
      </c>
      <c r="P358" s="18">
        <f>IF(OR(N358="",N358=0),"",M358/N358-1)</f>
        <v/>
      </c>
      <c r="Q358">
        <f>IF(D358="","",IF(COUNTIFS($B$10:$B$1009,B358,$C$10:$C$1009,C358,$D$10:$D$1009,D358,$E$10:$E$1009,E358)&gt;1,"MÜKERRER?",IF(P358="","",IF(P358&gt;=$C$5,"İNCELE",IF(P358&lt;=-$C$5,"Düşük",""))))</f>
        <v/>
      </c>
      <c r="R358" s="16">
        <f>IF(AND(P358&lt;&gt;"",N(P358)&gt;=$C$5,COUNTIFS($B$10:B358,B358,$C$10:C358,C358,$D$10:D358,D358,$E$10:E358,E358)=1),(M358-N358)*E358*L358,0)</f>
        <v/>
      </c>
      <c r="S358" s="19">
        <f>IF(D358="",0,N(E358)*L358)</f>
        <v/>
      </c>
    </row>
    <row r="359">
      <c r="A359" s="11" t="n"/>
      <c r="B359" s="12" t="n"/>
      <c r="C359" s="12" t="n"/>
      <c r="D359" s="12" t="n"/>
      <c r="E359" s="13" t="n"/>
      <c r="F359" s="12" t="n"/>
      <c r="G359" s="14" t="n"/>
      <c r="H359" s="15" t="n"/>
      <c r="I359" s="16">
        <f>IF(G359="","",G359*(1-N(H359)))</f>
        <v/>
      </c>
      <c r="J359" s="16">
        <f>IF(I359="","",E359*I359)</f>
        <v/>
      </c>
      <c r="K359">
        <f>IF(D359="","",IFERROR(VLOOKUP(D359,'Ürün Eşleştirme'!$A$6:$D$505,2,FALSE),D359))</f>
        <v/>
      </c>
      <c r="L359" s="17">
        <f>IF(D359="","",IFERROR(VLOOKUP(D359,'Ürün Eşleştirme'!$A$6:$D$505,4,FALSE),1))</f>
        <v/>
      </c>
      <c r="M359" s="16">
        <f>IF(I359="","",I359/L359)</f>
        <v/>
      </c>
      <c r="N359" s="16">
        <f>IF(M359="","",IFERROR(AVERAGEIFS($M$10:$M$1009,$K$10:$K$1009,K359,$A$10:$A$1009,"&lt;"&amp;A359,$A$10:$A$1009,"&gt;="&amp;(A359-$C$6)),""))</f>
        <v/>
      </c>
      <c r="O359" s="16">
        <f>IF(M359="","",_xlfn.MINIFS($M$10:$M$1009,$K$10:$K$1009,K359,$A$10:$A$1009,"&lt;="&amp;A359,$A$10:$A$1009,"&gt;="&amp;(A359-$C$6)))</f>
        <v/>
      </c>
      <c r="P359" s="18">
        <f>IF(OR(N359="",N359=0),"",M359/N359-1)</f>
        <v/>
      </c>
      <c r="Q359">
        <f>IF(D359="","",IF(COUNTIFS($B$10:$B$1009,B359,$C$10:$C$1009,C359,$D$10:$D$1009,D359,$E$10:$E$1009,E359)&gt;1,"MÜKERRER?",IF(P359="","",IF(P359&gt;=$C$5,"İNCELE",IF(P359&lt;=-$C$5,"Düşük",""))))</f>
        <v/>
      </c>
      <c r="R359" s="16">
        <f>IF(AND(P359&lt;&gt;"",N(P359)&gt;=$C$5,COUNTIFS($B$10:B359,B359,$C$10:C359,C359,$D$10:D359,D359,$E$10:E359,E359)=1),(M359-N359)*E359*L359,0)</f>
        <v/>
      </c>
      <c r="S359" s="19">
        <f>IF(D359="",0,N(E359)*L359)</f>
        <v/>
      </c>
    </row>
    <row r="360">
      <c r="A360" s="11" t="n"/>
      <c r="B360" s="12" t="n"/>
      <c r="C360" s="12" t="n"/>
      <c r="D360" s="12" t="n"/>
      <c r="E360" s="13" t="n"/>
      <c r="F360" s="12" t="n"/>
      <c r="G360" s="14" t="n"/>
      <c r="H360" s="15" t="n"/>
      <c r="I360" s="16">
        <f>IF(G360="","",G360*(1-N(H360)))</f>
        <v/>
      </c>
      <c r="J360" s="16">
        <f>IF(I360="","",E360*I360)</f>
        <v/>
      </c>
      <c r="K360">
        <f>IF(D360="","",IFERROR(VLOOKUP(D360,'Ürün Eşleştirme'!$A$6:$D$505,2,FALSE),D360))</f>
        <v/>
      </c>
      <c r="L360" s="17">
        <f>IF(D360="","",IFERROR(VLOOKUP(D360,'Ürün Eşleştirme'!$A$6:$D$505,4,FALSE),1))</f>
        <v/>
      </c>
      <c r="M360" s="16">
        <f>IF(I360="","",I360/L360)</f>
        <v/>
      </c>
      <c r="N360" s="16">
        <f>IF(M360="","",IFERROR(AVERAGEIFS($M$10:$M$1009,$K$10:$K$1009,K360,$A$10:$A$1009,"&lt;"&amp;A360,$A$10:$A$1009,"&gt;="&amp;(A360-$C$6)),""))</f>
        <v/>
      </c>
      <c r="O360" s="16">
        <f>IF(M360="","",_xlfn.MINIFS($M$10:$M$1009,$K$10:$K$1009,K360,$A$10:$A$1009,"&lt;="&amp;A360,$A$10:$A$1009,"&gt;="&amp;(A360-$C$6)))</f>
        <v/>
      </c>
      <c r="P360" s="18">
        <f>IF(OR(N360="",N360=0),"",M360/N360-1)</f>
        <v/>
      </c>
      <c r="Q360">
        <f>IF(D360="","",IF(COUNTIFS($B$10:$B$1009,B360,$C$10:$C$1009,C360,$D$10:$D$1009,D360,$E$10:$E$1009,E360)&gt;1,"MÜKERRER?",IF(P360="","",IF(P360&gt;=$C$5,"İNCELE",IF(P360&lt;=-$C$5,"Düşük",""))))</f>
        <v/>
      </c>
      <c r="R360" s="16">
        <f>IF(AND(P360&lt;&gt;"",N(P360)&gt;=$C$5,COUNTIFS($B$10:B360,B360,$C$10:C360,C360,$D$10:D360,D360,$E$10:E360,E360)=1),(M360-N360)*E360*L360,0)</f>
        <v/>
      </c>
      <c r="S360" s="19">
        <f>IF(D360="",0,N(E360)*L360)</f>
        <v/>
      </c>
    </row>
    <row r="361">
      <c r="A361" s="11" t="n"/>
      <c r="B361" s="12" t="n"/>
      <c r="C361" s="12" t="n"/>
      <c r="D361" s="12" t="n"/>
      <c r="E361" s="13" t="n"/>
      <c r="F361" s="12" t="n"/>
      <c r="G361" s="14" t="n"/>
      <c r="H361" s="15" t="n"/>
      <c r="I361" s="16">
        <f>IF(G361="","",G361*(1-N(H361)))</f>
        <v/>
      </c>
      <c r="J361" s="16">
        <f>IF(I361="","",E361*I361)</f>
        <v/>
      </c>
      <c r="K361">
        <f>IF(D361="","",IFERROR(VLOOKUP(D361,'Ürün Eşleştirme'!$A$6:$D$505,2,FALSE),D361))</f>
        <v/>
      </c>
      <c r="L361" s="17">
        <f>IF(D361="","",IFERROR(VLOOKUP(D361,'Ürün Eşleştirme'!$A$6:$D$505,4,FALSE),1))</f>
        <v/>
      </c>
      <c r="M361" s="16">
        <f>IF(I361="","",I361/L361)</f>
        <v/>
      </c>
      <c r="N361" s="16">
        <f>IF(M361="","",IFERROR(AVERAGEIFS($M$10:$M$1009,$K$10:$K$1009,K361,$A$10:$A$1009,"&lt;"&amp;A361,$A$10:$A$1009,"&gt;="&amp;(A361-$C$6)),""))</f>
        <v/>
      </c>
      <c r="O361" s="16">
        <f>IF(M361="","",_xlfn.MINIFS($M$10:$M$1009,$K$10:$K$1009,K361,$A$10:$A$1009,"&lt;="&amp;A361,$A$10:$A$1009,"&gt;="&amp;(A361-$C$6)))</f>
        <v/>
      </c>
      <c r="P361" s="18">
        <f>IF(OR(N361="",N361=0),"",M361/N361-1)</f>
        <v/>
      </c>
      <c r="Q361">
        <f>IF(D361="","",IF(COUNTIFS($B$10:$B$1009,B361,$C$10:$C$1009,C361,$D$10:$D$1009,D361,$E$10:$E$1009,E361)&gt;1,"MÜKERRER?",IF(P361="","",IF(P361&gt;=$C$5,"İNCELE",IF(P361&lt;=-$C$5,"Düşük",""))))</f>
        <v/>
      </c>
      <c r="R361" s="16">
        <f>IF(AND(P361&lt;&gt;"",N(P361)&gt;=$C$5,COUNTIFS($B$10:B361,B361,$C$10:C361,C361,$D$10:D361,D361,$E$10:E361,E361)=1),(M361-N361)*E361*L361,0)</f>
        <v/>
      </c>
      <c r="S361" s="19">
        <f>IF(D361="",0,N(E361)*L361)</f>
        <v/>
      </c>
    </row>
    <row r="362">
      <c r="A362" s="11" t="n"/>
      <c r="B362" s="12" t="n"/>
      <c r="C362" s="12" t="n"/>
      <c r="D362" s="12" t="n"/>
      <c r="E362" s="13" t="n"/>
      <c r="F362" s="12" t="n"/>
      <c r="G362" s="14" t="n"/>
      <c r="H362" s="15" t="n"/>
      <c r="I362" s="16">
        <f>IF(G362="","",G362*(1-N(H362)))</f>
        <v/>
      </c>
      <c r="J362" s="16">
        <f>IF(I362="","",E362*I362)</f>
        <v/>
      </c>
      <c r="K362">
        <f>IF(D362="","",IFERROR(VLOOKUP(D362,'Ürün Eşleştirme'!$A$6:$D$505,2,FALSE),D362))</f>
        <v/>
      </c>
      <c r="L362" s="17">
        <f>IF(D362="","",IFERROR(VLOOKUP(D362,'Ürün Eşleştirme'!$A$6:$D$505,4,FALSE),1))</f>
        <v/>
      </c>
      <c r="M362" s="16">
        <f>IF(I362="","",I362/L362)</f>
        <v/>
      </c>
      <c r="N362" s="16">
        <f>IF(M362="","",IFERROR(AVERAGEIFS($M$10:$M$1009,$K$10:$K$1009,K362,$A$10:$A$1009,"&lt;"&amp;A362,$A$10:$A$1009,"&gt;="&amp;(A362-$C$6)),""))</f>
        <v/>
      </c>
      <c r="O362" s="16">
        <f>IF(M362="","",_xlfn.MINIFS($M$10:$M$1009,$K$10:$K$1009,K362,$A$10:$A$1009,"&lt;="&amp;A362,$A$10:$A$1009,"&gt;="&amp;(A362-$C$6)))</f>
        <v/>
      </c>
      <c r="P362" s="18">
        <f>IF(OR(N362="",N362=0),"",M362/N362-1)</f>
        <v/>
      </c>
      <c r="Q362">
        <f>IF(D362="","",IF(COUNTIFS($B$10:$B$1009,B362,$C$10:$C$1009,C362,$D$10:$D$1009,D362,$E$10:$E$1009,E362)&gt;1,"MÜKERRER?",IF(P362="","",IF(P362&gt;=$C$5,"İNCELE",IF(P362&lt;=-$C$5,"Düşük",""))))</f>
        <v/>
      </c>
      <c r="R362" s="16">
        <f>IF(AND(P362&lt;&gt;"",N(P362)&gt;=$C$5,COUNTIFS($B$10:B362,B362,$C$10:C362,C362,$D$10:D362,D362,$E$10:E362,E362)=1),(M362-N362)*E362*L362,0)</f>
        <v/>
      </c>
      <c r="S362" s="19">
        <f>IF(D362="",0,N(E362)*L362)</f>
        <v/>
      </c>
    </row>
    <row r="363">
      <c r="A363" s="11" t="n"/>
      <c r="B363" s="12" t="n"/>
      <c r="C363" s="12" t="n"/>
      <c r="D363" s="12" t="n"/>
      <c r="E363" s="13" t="n"/>
      <c r="F363" s="12" t="n"/>
      <c r="G363" s="14" t="n"/>
      <c r="H363" s="15" t="n"/>
      <c r="I363" s="16">
        <f>IF(G363="","",G363*(1-N(H363)))</f>
        <v/>
      </c>
      <c r="J363" s="16">
        <f>IF(I363="","",E363*I363)</f>
        <v/>
      </c>
      <c r="K363">
        <f>IF(D363="","",IFERROR(VLOOKUP(D363,'Ürün Eşleştirme'!$A$6:$D$505,2,FALSE),D363))</f>
        <v/>
      </c>
      <c r="L363" s="17">
        <f>IF(D363="","",IFERROR(VLOOKUP(D363,'Ürün Eşleştirme'!$A$6:$D$505,4,FALSE),1))</f>
        <v/>
      </c>
      <c r="M363" s="16">
        <f>IF(I363="","",I363/L363)</f>
        <v/>
      </c>
      <c r="N363" s="16">
        <f>IF(M363="","",IFERROR(AVERAGEIFS($M$10:$M$1009,$K$10:$K$1009,K363,$A$10:$A$1009,"&lt;"&amp;A363,$A$10:$A$1009,"&gt;="&amp;(A363-$C$6)),""))</f>
        <v/>
      </c>
      <c r="O363" s="16">
        <f>IF(M363="","",_xlfn.MINIFS($M$10:$M$1009,$K$10:$K$1009,K363,$A$10:$A$1009,"&lt;="&amp;A363,$A$10:$A$1009,"&gt;="&amp;(A363-$C$6)))</f>
        <v/>
      </c>
      <c r="P363" s="18">
        <f>IF(OR(N363="",N363=0),"",M363/N363-1)</f>
        <v/>
      </c>
      <c r="Q363">
        <f>IF(D363="","",IF(COUNTIFS($B$10:$B$1009,B363,$C$10:$C$1009,C363,$D$10:$D$1009,D363,$E$10:$E$1009,E363)&gt;1,"MÜKERRER?",IF(P363="","",IF(P363&gt;=$C$5,"İNCELE",IF(P363&lt;=-$C$5,"Düşük",""))))</f>
        <v/>
      </c>
      <c r="R363" s="16">
        <f>IF(AND(P363&lt;&gt;"",N(P363)&gt;=$C$5,COUNTIFS($B$10:B363,B363,$C$10:C363,C363,$D$10:D363,D363,$E$10:E363,E363)=1),(M363-N363)*E363*L363,0)</f>
        <v/>
      </c>
      <c r="S363" s="19">
        <f>IF(D363="",0,N(E363)*L363)</f>
        <v/>
      </c>
    </row>
    <row r="364">
      <c r="A364" s="11" t="n"/>
      <c r="B364" s="12" t="n"/>
      <c r="C364" s="12" t="n"/>
      <c r="D364" s="12" t="n"/>
      <c r="E364" s="13" t="n"/>
      <c r="F364" s="12" t="n"/>
      <c r="G364" s="14" t="n"/>
      <c r="H364" s="15" t="n"/>
      <c r="I364" s="16">
        <f>IF(G364="","",G364*(1-N(H364)))</f>
        <v/>
      </c>
      <c r="J364" s="16">
        <f>IF(I364="","",E364*I364)</f>
        <v/>
      </c>
      <c r="K364">
        <f>IF(D364="","",IFERROR(VLOOKUP(D364,'Ürün Eşleştirme'!$A$6:$D$505,2,FALSE),D364))</f>
        <v/>
      </c>
      <c r="L364" s="17">
        <f>IF(D364="","",IFERROR(VLOOKUP(D364,'Ürün Eşleştirme'!$A$6:$D$505,4,FALSE),1))</f>
        <v/>
      </c>
      <c r="M364" s="16">
        <f>IF(I364="","",I364/L364)</f>
        <v/>
      </c>
      <c r="N364" s="16">
        <f>IF(M364="","",IFERROR(AVERAGEIFS($M$10:$M$1009,$K$10:$K$1009,K364,$A$10:$A$1009,"&lt;"&amp;A364,$A$10:$A$1009,"&gt;="&amp;(A364-$C$6)),""))</f>
        <v/>
      </c>
      <c r="O364" s="16">
        <f>IF(M364="","",_xlfn.MINIFS($M$10:$M$1009,$K$10:$K$1009,K364,$A$10:$A$1009,"&lt;="&amp;A364,$A$10:$A$1009,"&gt;="&amp;(A364-$C$6)))</f>
        <v/>
      </c>
      <c r="P364" s="18">
        <f>IF(OR(N364="",N364=0),"",M364/N364-1)</f>
        <v/>
      </c>
      <c r="Q364">
        <f>IF(D364="","",IF(COUNTIFS($B$10:$B$1009,B364,$C$10:$C$1009,C364,$D$10:$D$1009,D364,$E$10:$E$1009,E364)&gt;1,"MÜKERRER?",IF(P364="","",IF(P364&gt;=$C$5,"İNCELE",IF(P364&lt;=-$C$5,"Düşük",""))))</f>
        <v/>
      </c>
      <c r="R364" s="16">
        <f>IF(AND(P364&lt;&gt;"",N(P364)&gt;=$C$5,COUNTIFS($B$10:B364,B364,$C$10:C364,C364,$D$10:D364,D364,$E$10:E364,E364)=1),(M364-N364)*E364*L364,0)</f>
        <v/>
      </c>
      <c r="S364" s="19">
        <f>IF(D364="",0,N(E364)*L364)</f>
        <v/>
      </c>
    </row>
    <row r="365">
      <c r="A365" s="11" t="n"/>
      <c r="B365" s="12" t="n"/>
      <c r="C365" s="12" t="n"/>
      <c r="D365" s="12" t="n"/>
      <c r="E365" s="13" t="n"/>
      <c r="F365" s="12" t="n"/>
      <c r="G365" s="14" t="n"/>
      <c r="H365" s="15" t="n"/>
      <c r="I365" s="16">
        <f>IF(G365="","",G365*(1-N(H365)))</f>
        <v/>
      </c>
      <c r="J365" s="16">
        <f>IF(I365="","",E365*I365)</f>
        <v/>
      </c>
      <c r="K365">
        <f>IF(D365="","",IFERROR(VLOOKUP(D365,'Ürün Eşleştirme'!$A$6:$D$505,2,FALSE),D365))</f>
        <v/>
      </c>
      <c r="L365" s="17">
        <f>IF(D365="","",IFERROR(VLOOKUP(D365,'Ürün Eşleştirme'!$A$6:$D$505,4,FALSE),1))</f>
        <v/>
      </c>
      <c r="M365" s="16">
        <f>IF(I365="","",I365/L365)</f>
        <v/>
      </c>
      <c r="N365" s="16">
        <f>IF(M365="","",IFERROR(AVERAGEIFS($M$10:$M$1009,$K$10:$K$1009,K365,$A$10:$A$1009,"&lt;"&amp;A365,$A$10:$A$1009,"&gt;="&amp;(A365-$C$6)),""))</f>
        <v/>
      </c>
      <c r="O365" s="16">
        <f>IF(M365="","",_xlfn.MINIFS($M$10:$M$1009,$K$10:$K$1009,K365,$A$10:$A$1009,"&lt;="&amp;A365,$A$10:$A$1009,"&gt;="&amp;(A365-$C$6)))</f>
        <v/>
      </c>
      <c r="P365" s="18">
        <f>IF(OR(N365="",N365=0),"",M365/N365-1)</f>
        <v/>
      </c>
      <c r="Q365">
        <f>IF(D365="","",IF(COUNTIFS($B$10:$B$1009,B365,$C$10:$C$1009,C365,$D$10:$D$1009,D365,$E$10:$E$1009,E365)&gt;1,"MÜKERRER?",IF(P365="","",IF(P365&gt;=$C$5,"İNCELE",IF(P365&lt;=-$C$5,"Düşük",""))))</f>
        <v/>
      </c>
      <c r="R365" s="16">
        <f>IF(AND(P365&lt;&gt;"",N(P365)&gt;=$C$5,COUNTIFS($B$10:B365,B365,$C$10:C365,C365,$D$10:D365,D365,$E$10:E365,E365)=1),(M365-N365)*E365*L365,0)</f>
        <v/>
      </c>
      <c r="S365" s="19">
        <f>IF(D365="",0,N(E365)*L365)</f>
        <v/>
      </c>
    </row>
    <row r="366">
      <c r="A366" s="11" t="n"/>
      <c r="B366" s="12" t="n"/>
      <c r="C366" s="12" t="n"/>
      <c r="D366" s="12" t="n"/>
      <c r="E366" s="13" t="n"/>
      <c r="F366" s="12" t="n"/>
      <c r="G366" s="14" t="n"/>
      <c r="H366" s="15" t="n"/>
      <c r="I366" s="16">
        <f>IF(G366="","",G366*(1-N(H366)))</f>
        <v/>
      </c>
      <c r="J366" s="16">
        <f>IF(I366="","",E366*I366)</f>
        <v/>
      </c>
      <c r="K366">
        <f>IF(D366="","",IFERROR(VLOOKUP(D366,'Ürün Eşleştirme'!$A$6:$D$505,2,FALSE),D366))</f>
        <v/>
      </c>
      <c r="L366" s="17">
        <f>IF(D366="","",IFERROR(VLOOKUP(D366,'Ürün Eşleştirme'!$A$6:$D$505,4,FALSE),1))</f>
        <v/>
      </c>
      <c r="M366" s="16">
        <f>IF(I366="","",I366/L366)</f>
        <v/>
      </c>
      <c r="N366" s="16">
        <f>IF(M366="","",IFERROR(AVERAGEIFS($M$10:$M$1009,$K$10:$K$1009,K366,$A$10:$A$1009,"&lt;"&amp;A366,$A$10:$A$1009,"&gt;="&amp;(A366-$C$6)),""))</f>
        <v/>
      </c>
      <c r="O366" s="16">
        <f>IF(M366="","",_xlfn.MINIFS($M$10:$M$1009,$K$10:$K$1009,K366,$A$10:$A$1009,"&lt;="&amp;A366,$A$10:$A$1009,"&gt;="&amp;(A366-$C$6)))</f>
        <v/>
      </c>
      <c r="P366" s="18">
        <f>IF(OR(N366="",N366=0),"",M366/N366-1)</f>
        <v/>
      </c>
      <c r="Q366">
        <f>IF(D366="","",IF(COUNTIFS($B$10:$B$1009,B366,$C$10:$C$1009,C366,$D$10:$D$1009,D366,$E$10:$E$1009,E366)&gt;1,"MÜKERRER?",IF(P366="","",IF(P366&gt;=$C$5,"İNCELE",IF(P366&lt;=-$C$5,"Düşük",""))))</f>
        <v/>
      </c>
      <c r="R366" s="16">
        <f>IF(AND(P366&lt;&gt;"",N(P366)&gt;=$C$5,COUNTIFS($B$10:B366,B366,$C$10:C366,C366,$D$10:D366,D366,$E$10:E366,E366)=1),(M366-N366)*E366*L366,0)</f>
        <v/>
      </c>
      <c r="S366" s="19">
        <f>IF(D366="",0,N(E366)*L366)</f>
        <v/>
      </c>
    </row>
    <row r="367">
      <c r="A367" s="11" t="n"/>
      <c r="B367" s="12" t="n"/>
      <c r="C367" s="12" t="n"/>
      <c r="D367" s="12" t="n"/>
      <c r="E367" s="13" t="n"/>
      <c r="F367" s="12" t="n"/>
      <c r="G367" s="14" t="n"/>
      <c r="H367" s="15" t="n"/>
      <c r="I367" s="16">
        <f>IF(G367="","",G367*(1-N(H367)))</f>
        <v/>
      </c>
      <c r="J367" s="16">
        <f>IF(I367="","",E367*I367)</f>
        <v/>
      </c>
      <c r="K367">
        <f>IF(D367="","",IFERROR(VLOOKUP(D367,'Ürün Eşleştirme'!$A$6:$D$505,2,FALSE),D367))</f>
        <v/>
      </c>
      <c r="L367" s="17">
        <f>IF(D367="","",IFERROR(VLOOKUP(D367,'Ürün Eşleştirme'!$A$6:$D$505,4,FALSE),1))</f>
        <v/>
      </c>
      <c r="M367" s="16">
        <f>IF(I367="","",I367/L367)</f>
        <v/>
      </c>
      <c r="N367" s="16">
        <f>IF(M367="","",IFERROR(AVERAGEIFS($M$10:$M$1009,$K$10:$K$1009,K367,$A$10:$A$1009,"&lt;"&amp;A367,$A$10:$A$1009,"&gt;="&amp;(A367-$C$6)),""))</f>
        <v/>
      </c>
      <c r="O367" s="16">
        <f>IF(M367="","",_xlfn.MINIFS($M$10:$M$1009,$K$10:$K$1009,K367,$A$10:$A$1009,"&lt;="&amp;A367,$A$10:$A$1009,"&gt;="&amp;(A367-$C$6)))</f>
        <v/>
      </c>
      <c r="P367" s="18">
        <f>IF(OR(N367="",N367=0),"",M367/N367-1)</f>
        <v/>
      </c>
      <c r="Q367">
        <f>IF(D367="","",IF(COUNTIFS($B$10:$B$1009,B367,$C$10:$C$1009,C367,$D$10:$D$1009,D367,$E$10:$E$1009,E367)&gt;1,"MÜKERRER?",IF(P367="","",IF(P367&gt;=$C$5,"İNCELE",IF(P367&lt;=-$C$5,"Düşük",""))))</f>
        <v/>
      </c>
      <c r="R367" s="16">
        <f>IF(AND(P367&lt;&gt;"",N(P367)&gt;=$C$5,COUNTIFS($B$10:B367,B367,$C$10:C367,C367,$D$10:D367,D367,$E$10:E367,E367)=1),(M367-N367)*E367*L367,0)</f>
        <v/>
      </c>
      <c r="S367" s="19">
        <f>IF(D367="",0,N(E367)*L367)</f>
        <v/>
      </c>
    </row>
    <row r="368">
      <c r="A368" s="11" t="n"/>
      <c r="B368" s="12" t="n"/>
      <c r="C368" s="12" t="n"/>
      <c r="D368" s="12" t="n"/>
      <c r="E368" s="13" t="n"/>
      <c r="F368" s="12" t="n"/>
      <c r="G368" s="14" t="n"/>
      <c r="H368" s="15" t="n"/>
      <c r="I368" s="16">
        <f>IF(G368="","",G368*(1-N(H368)))</f>
        <v/>
      </c>
      <c r="J368" s="16">
        <f>IF(I368="","",E368*I368)</f>
        <v/>
      </c>
      <c r="K368">
        <f>IF(D368="","",IFERROR(VLOOKUP(D368,'Ürün Eşleştirme'!$A$6:$D$505,2,FALSE),D368))</f>
        <v/>
      </c>
      <c r="L368" s="17">
        <f>IF(D368="","",IFERROR(VLOOKUP(D368,'Ürün Eşleştirme'!$A$6:$D$505,4,FALSE),1))</f>
        <v/>
      </c>
      <c r="M368" s="16">
        <f>IF(I368="","",I368/L368)</f>
        <v/>
      </c>
      <c r="N368" s="16">
        <f>IF(M368="","",IFERROR(AVERAGEIFS($M$10:$M$1009,$K$10:$K$1009,K368,$A$10:$A$1009,"&lt;"&amp;A368,$A$10:$A$1009,"&gt;="&amp;(A368-$C$6)),""))</f>
        <v/>
      </c>
      <c r="O368" s="16">
        <f>IF(M368="","",_xlfn.MINIFS($M$10:$M$1009,$K$10:$K$1009,K368,$A$10:$A$1009,"&lt;="&amp;A368,$A$10:$A$1009,"&gt;="&amp;(A368-$C$6)))</f>
        <v/>
      </c>
      <c r="P368" s="18">
        <f>IF(OR(N368="",N368=0),"",M368/N368-1)</f>
        <v/>
      </c>
      <c r="Q368">
        <f>IF(D368="","",IF(COUNTIFS($B$10:$B$1009,B368,$C$10:$C$1009,C368,$D$10:$D$1009,D368,$E$10:$E$1009,E368)&gt;1,"MÜKERRER?",IF(P368="","",IF(P368&gt;=$C$5,"İNCELE",IF(P368&lt;=-$C$5,"Düşük",""))))</f>
        <v/>
      </c>
      <c r="R368" s="16">
        <f>IF(AND(P368&lt;&gt;"",N(P368)&gt;=$C$5,COUNTIFS($B$10:B368,B368,$C$10:C368,C368,$D$10:D368,D368,$E$10:E368,E368)=1),(M368-N368)*E368*L368,0)</f>
        <v/>
      </c>
      <c r="S368" s="19">
        <f>IF(D368="",0,N(E368)*L368)</f>
        <v/>
      </c>
    </row>
    <row r="369">
      <c r="A369" s="11" t="n"/>
      <c r="B369" s="12" t="n"/>
      <c r="C369" s="12" t="n"/>
      <c r="D369" s="12" t="n"/>
      <c r="E369" s="13" t="n"/>
      <c r="F369" s="12" t="n"/>
      <c r="G369" s="14" t="n"/>
      <c r="H369" s="15" t="n"/>
      <c r="I369" s="16">
        <f>IF(G369="","",G369*(1-N(H369)))</f>
        <v/>
      </c>
      <c r="J369" s="16">
        <f>IF(I369="","",E369*I369)</f>
        <v/>
      </c>
      <c r="K369">
        <f>IF(D369="","",IFERROR(VLOOKUP(D369,'Ürün Eşleştirme'!$A$6:$D$505,2,FALSE),D369))</f>
        <v/>
      </c>
      <c r="L369" s="17">
        <f>IF(D369="","",IFERROR(VLOOKUP(D369,'Ürün Eşleştirme'!$A$6:$D$505,4,FALSE),1))</f>
        <v/>
      </c>
      <c r="M369" s="16">
        <f>IF(I369="","",I369/L369)</f>
        <v/>
      </c>
      <c r="N369" s="16">
        <f>IF(M369="","",IFERROR(AVERAGEIFS($M$10:$M$1009,$K$10:$K$1009,K369,$A$10:$A$1009,"&lt;"&amp;A369,$A$10:$A$1009,"&gt;="&amp;(A369-$C$6)),""))</f>
        <v/>
      </c>
      <c r="O369" s="16">
        <f>IF(M369="","",_xlfn.MINIFS($M$10:$M$1009,$K$10:$K$1009,K369,$A$10:$A$1009,"&lt;="&amp;A369,$A$10:$A$1009,"&gt;="&amp;(A369-$C$6)))</f>
        <v/>
      </c>
      <c r="P369" s="18">
        <f>IF(OR(N369="",N369=0),"",M369/N369-1)</f>
        <v/>
      </c>
      <c r="Q369">
        <f>IF(D369="","",IF(COUNTIFS($B$10:$B$1009,B369,$C$10:$C$1009,C369,$D$10:$D$1009,D369,$E$10:$E$1009,E369)&gt;1,"MÜKERRER?",IF(P369="","",IF(P369&gt;=$C$5,"İNCELE",IF(P369&lt;=-$C$5,"Düşük",""))))</f>
        <v/>
      </c>
      <c r="R369" s="16">
        <f>IF(AND(P369&lt;&gt;"",N(P369)&gt;=$C$5,COUNTIFS($B$10:B369,B369,$C$10:C369,C369,$D$10:D369,D369,$E$10:E369,E369)=1),(M369-N369)*E369*L369,0)</f>
        <v/>
      </c>
      <c r="S369" s="19">
        <f>IF(D369="",0,N(E369)*L369)</f>
        <v/>
      </c>
    </row>
    <row r="370">
      <c r="A370" s="11" t="n"/>
      <c r="B370" s="12" t="n"/>
      <c r="C370" s="12" t="n"/>
      <c r="D370" s="12" t="n"/>
      <c r="E370" s="13" t="n"/>
      <c r="F370" s="12" t="n"/>
      <c r="G370" s="14" t="n"/>
      <c r="H370" s="15" t="n"/>
      <c r="I370" s="16">
        <f>IF(G370="","",G370*(1-N(H370)))</f>
        <v/>
      </c>
      <c r="J370" s="16">
        <f>IF(I370="","",E370*I370)</f>
        <v/>
      </c>
      <c r="K370">
        <f>IF(D370="","",IFERROR(VLOOKUP(D370,'Ürün Eşleştirme'!$A$6:$D$505,2,FALSE),D370))</f>
        <v/>
      </c>
      <c r="L370" s="17">
        <f>IF(D370="","",IFERROR(VLOOKUP(D370,'Ürün Eşleştirme'!$A$6:$D$505,4,FALSE),1))</f>
        <v/>
      </c>
      <c r="M370" s="16">
        <f>IF(I370="","",I370/L370)</f>
        <v/>
      </c>
      <c r="N370" s="16">
        <f>IF(M370="","",IFERROR(AVERAGEIFS($M$10:$M$1009,$K$10:$K$1009,K370,$A$10:$A$1009,"&lt;"&amp;A370,$A$10:$A$1009,"&gt;="&amp;(A370-$C$6)),""))</f>
        <v/>
      </c>
      <c r="O370" s="16">
        <f>IF(M370="","",_xlfn.MINIFS($M$10:$M$1009,$K$10:$K$1009,K370,$A$10:$A$1009,"&lt;="&amp;A370,$A$10:$A$1009,"&gt;="&amp;(A370-$C$6)))</f>
        <v/>
      </c>
      <c r="P370" s="18">
        <f>IF(OR(N370="",N370=0),"",M370/N370-1)</f>
        <v/>
      </c>
      <c r="Q370">
        <f>IF(D370="","",IF(COUNTIFS($B$10:$B$1009,B370,$C$10:$C$1009,C370,$D$10:$D$1009,D370,$E$10:$E$1009,E370)&gt;1,"MÜKERRER?",IF(P370="","",IF(P370&gt;=$C$5,"İNCELE",IF(P370&lt;=-$C$5,"Düşük",""))))</f>
        <v/>
      </c>
      <c r="R370" s="16">
        <f>IF(AND(P370&lt;&gt;"",N(P370)&gt;=$C$5,COUNTIFS($B$10:B370,B370,$C$10:C370,C370,$D$10:D370,D370,$E$10:E370,E370)=1),(M370-N370)*E370*L370,0)</f>
        <v/>
      </c>
      <c r="S370" s="19">
        <f>IF(D370="",0,N(E370)*L370)</f>
        <v/>
      </c>
    </row>
    <row r="371">
      <c r="A371" s="11" t="n"/>
      <c r="B371" s="12" t="n"/>
      <c r="C371" s="12" t="n"/>
      <c r="D371" s="12" t="n"/>
      <c r="E371" s="13" t="n"/>
      <c r="F371" s="12" t="n"/>
      <c r="G371" s="14" t="n"/>
      <c r="H371" s="15" t="n"/>
      <c r="I371" s="16">
        <f>IF(G371="","",G371*(1-N(H371)))</f>
        <v/>
      </c>
      <c r="J371" s="16">
        <f>IF(I371="","",E371*I371)</f>
        <v/>
      </c>
      <c r="K371">
        <f>IF(D371="","",IFERROR(VLOOKUP(D371,'Ürün Eşleştirme'!$A$6:$D$505,2,FALSE),D371))</f>
        <v/>
      </c>
      <c r="L371" s="17">
        <f>IF(D371="","",IFERROR(VLOOKUP(D371,'Ürün Eşleştirme'!$A$6:$D$505,4,FALSE),1))</f>
        <v/>
      </c>
      <c r="M371" s="16">
        <f>IF(I371="","",I371/L371)</f>
        <v/>
      </c>
      <c r="N371" s="16">
        <f>IF(M371="","",IFERROR(AVERAGEIFS($M$10:$M$1009,$K$10:$K$1009,K371,$A$10:$A$1009,"&lt;"&amp;A371,$A$10:$A$1009,"&gt;="&amp;(A371-$C$6)),""))</f>
        <v/>
      </c>
      <c r="O371" s="16">
        <f>IF(M371="","",_xlfn.MINIFS($M$10:$M$1009,$K$10:$K$1009,K371,$A$10:$A$1009,"&lt;="&amp;A371,$A$10:$A$1009,"&gt;="&amp;(A371-$C$6)))</f>
        <v/>
      </c>
      <c r="P371" s="18">
        <f>IF(OR(N371="",N371=0),"",M371/N371-1)</f>
        <v/>
      </c>
      <c r="Q371">
        <f>IF(D371="","",IF(COUNTIFS($B$10:$B$1009,B371,$C$10:$C$1009,C371,$D$10:$D$1009,D371,$E$10:$E$1009,E371)&gt;1,"MÜKERRER?",IF(P371="","",IF(P371&gt;=$C$5,"İNCELE",IF(P371&lt;=-$C$5,"Düşük",""))))</f>
        <v/>
      </c>
      <c r="R371" s="16">
        <f>IF(AND(P371&lt;&gt;"",N(P371)&gt;=$C$5,COUNTIFS($B$10:B371,B371,$C$10:C371,C371,$D$10:D371,D371,$E$10:E371,E371)=1),(M371-N371)*E371*L371,0)</f>
        <v/>
      </c>
      <c r="S371" s="19">
        <f>IF(D371="",0,N(E371)*L371)</f>
        <v/>
      </c>
    </row>
    <row r="372">
      <c r="A372" s="11" t="n"/>
      <c r="B372" s="12" t="n"/>
      <c r="C372" s="12" t="n"/>
      <c r="D372" s="12" t="n"/>
      <c r="E372" s="13" t="n"/>
      <c r="F372" s="12" t="n"/>
      <c r="G372" s="14" t="n"/>
      <c r="H372" s="15" t="n"/>
      <c r="I372" s="16">
        <f>IF(G372="","",G372*(1-N(H372)))</f>
        <v/>
      </c>
      <c r="J372" s="16">
        <f>IF(I372="","",E372*I372)</f>
        <v/>
      </c>
      <c r="K372">
        <f>IF(D372="","",IFERROR(VLOOKUP(D372,'Ürün Eşleştirme'!$A$6:$D$505,2,FALSE),D372))</f>
        <v/>
      </c>
      <c r="L372" s="17">
        <f>IF(D372="","",IFERROR(VLOOKUP(D372,'Ürün Eşleştirme'!$A$6:$D$505,4,FALSE),1))</f>
        <v/>
      </c>
      <c r="M372" s="16">
        <f>IF(I372="","",I372/L372)</f>
        <v/>
      </c>
      <c r="N372" s="16">
        <f>IF(M372="","",IFERROR(AVERAGEIFS($M$10:$M$1009,$K$10:$K$1009,K372,$A$10:$A$1009,"&lt;"&amp;A372,$A$10:$A$1009,"&gt;="&amp;(A372-$C$6)),""))</f>
        <v/>
      </c>
      <c r="O372" s="16">
        <f>IF(M372="","",_xlfn.MINIFS($M$10:$M$1009,$K$10:$K$1009,K372,$A$10:$A$1009,"&lt;="&amp;A372,$A$10:$A$1009,"&gt;="&amp;(A372-$C$6)))</f>
        <v/>
      </c>
      <c r="P372" s="18">
        <f>IF(OR(N372="",N372=0),"",M372/N372-1)</f>
        <v/>
      </c>
      <c r="Q372">
        <f>IF(D372="","",IF(COUNTIFS($B$10:$B$1009,B372,$C$10:$C$1009,C372,$D$10:$D$1009,D372,$E$10:$E$1009,E372)&gt;1,"MÜKERRER?",IF(P372="","",IF(P372&gt;=$C$5,"İNCELE",IF(P372&lt;=-$C$5,"Düşük",""))))</f>
        <v/>
      </c>
      <c r="R372" s="16">
        <f>IF(AND(P372&lt;&gt;"",N(P372)&gt;=$C$5,COUNTIFS($B$10:B372,B372,$C$10:C372,C372,$D$10:D372,D372,$E$10:E372,E372)=1),(M372-N372)*E372*L372,0)</f>
        <v/>
      </c>
      <c r="S372" s="19">
        <f>IF(D372="",0,N(E372)*L372)</f>
        <v/>
      </c>
    </row>
    <row r="373">
      <c r="A373" s="11" t="n"/>
      <c r="B373" s="12" t="n"/>
      <c r="C373" s="12" t="n"/>
      <c r="D373" s="12" t="n"/>
      <c r="E373" s="13" t="n"/>
      <c r="F373" s="12" t="n"/>
      <c r="G373" s="14" t="n"/>
      <c r="H373" s="15" t="n"/>
      <c r="I373" s="16">
        <f>IF(G373="","",G373*(1-N(H373)))</f>
        <v/>
      </c>
      <c r="J373" s="16">
        <f>IF(I373="","",E373*I373)</f>
        <v/>
      </c>
      <c r="K373">
        <f>IF(D373="","",IFERROR(VLOOKUP(D373,'Ürün Eşleştirme'!$A$6:$D$505,2,FALSE),D373))</f>
        <v/>
      </c>
      <c r="L373" s="17">
        <f>IF(D373="","",IFERROR(VLOOKUP(D373,'Ürün Eşleştirme'!$A$6:$D$505,4,FALSE),1))</f>
        <v/>
      </c>
      <c r="M373" s="16">
        <f>IF(I373="","",I373/L373)</f>
        <v/>
      </c>
      <c r="N373" s="16">
        <f>IF(M373="","",IFERROR(AVERAGEIFS($M$10:$M$1009,$K$10:$K$1009,K373,$A$10:$A$1009,"&lt;"&amp;A373,$A$10:$A$1009,"&gt;="&amp;(A373-$C$6)),""))</f>
        <v/>
      </c>
      <c r="O373" s="16">
        <f>IF(M373="","",_xlfn.MINIFS($M$10:$M$1009,$K$10:$K$1009,K373,$A$10:$A$1009,"&lt;="&amp;A373,$A$10:$A$1009,"&gt;="&amp;(A373-$C$6)))</f>
        <v/>
      </c>
      <c r="P373" s="18">
        <f>IF(OR(N373="",N373=0),"",M373/N373-1)</f>
        <v/>
      </c>
      <c r="Q373">
        <f>IF(D373="","",IF(COUNTIFS($B$10:$B$1009,B373,$C$10:$C$1009,C373,$D$10:$D$1009,D373,$E$10:$E$1009,E373)&gt;1,"MÜKERRER?",IF(P373="","",IF(P373&gt;=$C$5,"İNCELE",IF(P373&lt;=-$C$5,"Düşük",""))))</f>
        <v/>
      </c>
      <c r="R373" s="16">
        <f>IF(AND(P373&lt;&gt;"",N(P373)&gt;=$C$5,COUNTIFS($B$10:B373,B373,$C$10:C373,C373,$D$10:D373,D373,$E$10:E373,E373)=1),(M373-N373)*E373*L373,0)</f>
        <v/>
      </c>
      <c r="S373" s="19">
        <f>IF(D373="",0,N(E373)*L373)</f>
        <v/>
      </c>
    </row>
    <row r="374">
      <c r="A374" s="11" t="n"/>
      <c r="B374" s="12" t="n"/>
      <c r="C374" s="12" t="n"/>
      <c r="D374" s="12" t="n"/>
      <c r="E374" s="13" t="n"/>
      <c r="F374" s="12" t="n"/>
      <c r="G374" s="14" t="n"/>
      <c r="H374" s="15" t="n"/>
      <c r="I374" s="16">
        <f>IF(G374="","",G374*(1-N(H374)))</f>
        <v/>
      </c>
      <c r="J374" s="16">
        <f>IF(I374="","",E374*I374)</f>
        <v/>
      </c>
      <c r="K374">
        <f>IF(D374="","",IFERROR(VLOOKUP(D374,'Ürün Eşleştirme'!$A$6:$D$505,2,FALSE),D374))</f>
        <v/>
      </c>
      <c r="L374" s="17">
        <f>IF(D374="","",IFERROR(VLOOKUP(D374,'Ürün Eşleştirme'!$A$6:$D$505,4,FALSE),1))</f>
        <v/>
      </c>
      <c r="M374" s="16">
        <f>IF(I374="","",I374/L374)</f>
        <v/>
      </c>
      <c r="N374" s="16">
        <f>IF(M374="","",IFERROR(AVERAGEIFS($M$10:$M$1009,$K$10:$K$1009,K374,$A$10:$A$1009,"&lt;"&amp;A374,$A$10:$A$1009,"&gt;="&amp;(A374-$C$6)),""))</f>
        <v/>
      </c>
      <c r="O374" s="16">
        <f>IF(M374="","",_xlfn.MINIFS($M$10:$M$1009,$K$10:$K$1009,K374,$A$10:$A$1009,"&lt;="&amp;A374,$A$10:$A$1009,"&gt;="&amp;(A374-$C$6)))</f>
        <v/>
      </c>
      <c r="P374" s="18">
        <f>IF(OR(N374="",N374=0),"",M374/N374-1)</f>
        <v/>
      </c>
      <c r="Q374">
        <f>IF(D374="","",IF(COUNTIFS($B$10:$B$1009,B374,$C$10:$C$1009,C374,$D$10:$D$1009,D374,$E$10:$E$1009,E374)&gt;1,"MÜKERRER?",IF(P374="","",IF(P374&gt;=$C$5,"İNCELE",IF(P374&lt;=-$C$5,"Düşük",""))))</f>
        <v/>
      </c>
      <c r="R374" s="16">
        <f>IF(AND(P374&lt;&gt;"",N(P374)&gt;=$C$5,COUNTIFS($B$10:B374,B374,$C$10:C374,C374,$D$10:D374,D374,$E$10:E374,E374)=1),(M374-N374)*E374*L374,0)</f>
        <v/>
      </c>
      <c r="S374" s="19">
        <f>IF(D374="",0,N(E374)*L374)</f>
        <v/>
      </c>
    </row>
    <row r="375">
      <c r="A375" s="11" t="n"/>
      <c r="B375" s="12" t="n"/>
      <c r="C375" s="12" t="n"/>
      <c r="D375" s="12" t="n"/>
      <c r="E375" s="13" t="n"/>
      <c r="F375" s="12" t="n"/>
      <c r="G375" s="14" t="n"/>
      <c r="H375" s="15" t="n"/>
      <c r="I375" s="16">
        <f>IF(G375="","",G375*(1-N(H375)))</f>
        <v/>
      </c>
      <c r="J375" s="16">
        <f>IF(I375="","",E375*I375)</f>
        <v/>
      </c>
      <c r="K375">
        <f>IF(D375="","",IFERROR(VLOOKUP(D375,'Ürün Eşleştirme'!$A$6:$D$505,2,FALSE),D375))</f>
        <v/>
      </c>
      <c r="L375" s="17">
        <f>IF(D375="","",IFERROR(VLOOKUP(D375,'Ürün Eşleştirme'!$A$6:$D$505,4,FALSE),1))</f>
        <v/>
      </c>
      <c r="M375" s="16">
        <f>IF(I375="","",I375/L375)</f>
        <v/>
      </c>
      <c r="N375" s="16">
        <f>IF(M375="","",IFERROR(AVERAGEIFS($M$10:$M$1009,$K$10:$K$1009,K375,$A$10:$A$1009,"&lt;"&amp;A375,$A$10:$A$1009,"&gt;="&amp;(A375-$C$6)),""))</f>
        <v/>
      </c>
      <c r="O375" s="16">
        <f>IF(M375="","",_xlfn.MINIFS($M$10:$M$1009,$K$10:$K$1009,K375,$A$10:$A$1009,"&lt;="&amp;A375,$A$10:$A$1009,"&gt;="&amp;(A375-$C$6)))</f>
        <v/>
      </c>
      <c r="P375" s="18">
        <f>IF(OR(N375="",N375=0),"",M375/N375-1)</f>
        <v/>
      </c>
      <c r="Q375">
        <f>IF(D375="","",IF(COUNTIFS($B$10:$B$1009,B375,$C$10:$C$1009,C375,$D$10:$D$1009,D375,$E$10:$E$1009,E375)&gt;1,"MÜKERRER?",IF(P375="","",IF(P375&gt;=$C$5,"İNCELE",IF(P375&lt;=-$C$5,"Düşük",""))))</f>
        <v/>
      </c>
      <c r="R375" s="16">
        <f>IF(AND(P375&lt;&gt;"",N(P375)&gt;=$C$5,COUNTIFS($B$10:B375,B375,$C$10:C375,C375,$D$10:D375,D375,$E$10:E375,E375)=1),(M375-N375)*E375*L375,0)</f>
        <v/>
      </c>
      <c r="S375" s="19">
        <f>IF(D375="",0,N(E375)*L375)</f>
        <v/>
      </c>
    </row>
    <row r="376">
      <c r="A376" s="11" t="n"/>
      <c r="B376" s="12" t="n"/>
      <c r="C376" s="12" t="n"/>
      <c r="D376" s="12" t="n"/>
      <c r="E376" s="13" t="n"/>
      <c r="F376" s="12" t="n"/>
      <c r="G376" s="14" t="n"/>
      <c r="H376" s="15" t="n"/>
      <c r="I376" s="16">
        <f>IF(G376="","",G376*(1-N(H376)))</f>
        <v/>
      </c>
      <c r="J376" s="16">
        <f>IF(I376="","",E376*I376)</f>
        <v/>
      </c>
      <c r="K376">
        <f>IF(D376="","",IFERROR(VLOOKUP(D376,'Ürün Eşleştirme'!$A$6:$D$505,2,FALSE),D376))</f>
        <v/>
      </c>
      <c r="L376" s="17">
        <f>IF(D376="","",IFERROR(VLOOKUP(D376,'Ürün Eşleştirme'!$A$6:$D$505,4,FALSE),1))</f>
        <v/>
      </c>
      <c r="M376" s="16">
        <f>IF(I376="","",I376/L376)</f>
        <v/>
      </c>
      <c r="N376" s="16">
        <f>IF(M376="","",IFERROR(AVERAGEIFS($M$10:$M$1009,$K$10:$K$1009,K376,$A$10:$A$1009,"&lt;"&amp;A376,$A$10:$A$1009,"&gt;="&amp;(A376-$C$6)),""))</f>
        <v/>
      </c>
      <c r="O376" s="16">
        <f>IF(M376="","",_xlfn.MINIFS($M$10:$M$1009,$K$10:$K$1009,K376,$A$10:$A$1009,"&lt;="&amp;A376,$A$10:$A$1009,"&gt;="&amp;(A376-$C$6)))</f>
        <v/>
      </c>
      <c r="P376" s="18">
        <f>IF(OR(N376="",N376=0),"",M376/N376-1)</f>
        <v/>
      </c>
      <c r="Q376">
        <f>IF(D376="","",IF(COUNTIFS($B$10:$B$1009,B376,$C$10:$C$1009,C376,$D$10:$D$1009,D376,$E$10:$E$1009,E376)&gt;1,"MÜKERRER?",IF(P376="","",IF(P376&gt;=$C$5,"İNCELE",IF(P376&lt;=-$C$5,"Düşük",""))))</f>
        <v/>
      </c>
      <c r="R376" s="16">
        <f>IF(AND(P376&lt;&gt;"",N(P376)&gt;=$C$5,COUNTIFS($B$10:B376,B376,$C$10:C376,C376,$D$10:D376,D376,$E$10:E376,E376)=1),(M376-N376)*E376*L376,0)</f>
        <v/>
      </c>
      <c r="S376" s="19">
        <f>IF(D376="",0,N(E376)*L376)</f>
        <v/>
      </c>
    </row>
    <row r="377">
      <c r="A377" s="11" t="n"/>
      <c r="B377" s="12" t="n"/>
      <c r="C377" s="12" t="n"/>
      <c r="D377" s="12" t="n"/>
      <c r="E377" s="13" t="n"/>
      <c r="F377" s="12" t="n"/>
      <c r="G377" s="14" t="n"/>
      <c r="H377" s="15" t="n"/>
      <c r="I377" s="16">
        <f>IF(G377="","",G377*(1-N(H377)))</f>
        <v/>
      </c>
      <c r="J377" s="16">
        <f>IF(I377="","",E377*I377)</f>
        <v/>
      </c>
      <c r="K377">
        <f>IF(D377="","",IFERROR(VLOOKUP(D377,'Ürün Eşleştirme'!$A$6:$D$505,2,FALSE),D377))</f>
        <v/>
      </c>
      <c r="L377" s="17">
        <f>IF(D377="","",IFERROR(VLOOKUP(D377,'Ürün Eşleştirme'!$A$6:$D$505,4,FALSE),1))</f>
        <v/>
      </c>
      <c r="M377" s="16">
        <f>IF(I377="","",I377/L377)</f>
        <v/>
      </c>
      <c r="N377" s="16">
        <f>IF(M377="","",IFERROR(AVERAGEIFS($M$10:$M$1009,$K$10:$K$1009,K377,$A$10:$A$1009,"&lt;"&amp;A377,$A$10:$A$1009,"&gt;="&amp;(A377-$C$6)),""))</f>
        <v/>
      </c>
      <c r="O377" s="16">
        <f>IF(M377="","",_xlfn.MINIFS($M$10:$M$1009,$K$10:$K$1009,K377,$A$10:$A$1009,"&lt;="&amp;A377,$A$10:$A$1009,"&gt;="&amp;(A377-$C$6)))</f>
        <v/>
      </c>
      <c r="P377" s="18">
        <f>IF(OR(N377="",N377=0),"",M377/N377-1)</f>
        <v/>
      </c>
      <c r="Q377">
        <f>IF(D377="","",IF(COUNTIFS($B$10:$B$1009,B377,$C$10:$C$1009,C377,$D$10:$D$1009,D377,$E$10:$E$1009,E377)&gt;1,"MÜKERRER?",IF(P377="","",IF(P377&gt;=$C$5,"İNCELE",IF(P377&lt;=-$C$5,"Düşük",""))))</f>
        <v/>
      </c>
      <c r="R377" s="16">
        <f>IF(AND(P377&lt;&gt;"",N(P377)&gt;=$C$5,COUNTIFS($B$10:B377,B377,$C$10:C377,C377,$D$10:D377,D377,$E$10:E377,E377)=1),(M377-N377)*E377*L377,0)</f>
        <v/>
      </c>
      <c r="S377" s="19">
        <f>IF(D377="",0,N(E377)*L377)</f>
        <v/>
      </c>
    </row>
    <row r="378">
      <c r="A378" s="11" t="n"/>
      <c r="B378" s="12" t="n"/>
      <c r="C378" s="12" t="n"/>
      <c r="D378" s="12" t="n"/>
      <c r="E378" s="13" t="n"/>
      <c r="F378" s="12" t="n"/>
      <c r="G378" s="14" t="n"/>
      <c r="H378" s="15" t="n"/>
      <c r="I378" s="16">
        <f>IF(G378="","",G378*(1-N(H378)))</f>
        <v/>
      </c>
      <c r="J378" s="16">
        <f>IF(I378="","",E378*I378)</f>
        <v/>
      </c>
      <c r="K378">
        <f>IF(D378="","",IFERROR(VLOOKUP(D378,'Ürün Eşleştirme'!$A$6:$D$505,2,FALSE),D378))</f>
        <v/>
      </c>
      <c r="L378" s="17">
        <f>IF(D378="","",IFERROR(VLOOKUP(D378,'Ürün Eşleştirme'!$A$6:$D$505,4,FALSE),1))</f>
        <v/>
      </c>
      <c r="M378" s="16">
        <f>IF(I378="","",I378/L378)</f>
        <v/>
      </c>
      <c r="N378" s="16">
        <f>IF(M378="","",IFERROR(AVERAGEIFS($M$10:$M$1009,$K$10:$K$1009,K378,$A$10:$A$1009,"&lt;"&amp;A378,$A$10:$A$1009,"&gt;="&amp;(A378-$C$6)),""))</f>
        <v/>
      </c>
      <c r="O378" s="16">
        <f>IF(M378="","",_xlfn.MINIFS($M$10:$M$1009,$K$10:$K$1009,K378,$A$10:$A$1009,"&lt;="&amp;A378,$A$10:$A$1009,"&gt;="&amp;(A378-$C$6)))</f>
        <v/>
      </c>
      <c r="P378" s="18">
        <f>IF(OR(N378="",N378=0),"",M378/N378-1)</f>
        <v/>
      </c>
      <c r="Q378">
        <f>IF(D378="","",IF(COUNTIFS($B$10:$B$1009,B378,$C$10:$C$1009,C378,$D$10:$D$1009,D378,$E$10:$E$1009,E378)&gt;1,"MÜKERRER?",IF(P378="","",IF(P378&gt;=$C$5,"İNCELE",IF(P378&lt;=-$C$5,"Düşük",""))))</f>
        <v/>
      </c>
      <c r="R378" s="16">
        <f>IF(AND(P378&lt;&gt;"",N(P378)&gt;=$C$5,COUNTIFS($B$10:B378,B378,$C$10:C378,C378,$D$10:D378,D378,$E$10:E378,E378)=1),(M378-N378)*E378*L378,0)</f>
        <v/>
      </c>
      <c r="S378" s="19">
        <f>IF(D378="",0,N(E378)*L378)</f>
        <v/>
      </c>
    </row>
    <row r="379">
      <c r="A379" s="11" t="n"/>
      <c r="B379" s="12" t="n"/>
      <c r="C379" s="12" t="n"/>
      <c r="D379" s="12" t="n"/>
      <c r="E379" s="13" t="n"/>
      <c r="F379" s="12" t="n"/>
      <c r="G379" s="14" t="n"/>
      <c r="H379" s="15" t="n"/>
      <c r="I379" s="16">
        <f>IF(G379="","",G379*(1-N(H379)))</f>
        <v/>
      </c>
      <c r="J379" s="16">
        <f>IF(I379="","",E379*I379)</f>
        <v/>
      </c>
      <c r="K379">
        <f>IF(D379="","",IFERROR(VLOOKUP(D379,'Ürün Eşleştirme'!$A$6:$D$505,2,FALSE),D379))</f>
        <v/>
      </c>
      <c r="L379" s="17">
        <f>IF(D379="","",IFERROR(VLOOKUP(D379,'Ürün Eşleştirme'!$A$6:$D$505,4,FALSE),1))</f>
        <v/>
      </c>
      <c r="M379" s="16">
        <f>IF(I379="","",I379/L379)</f>
        <v/>
      </c>
      <c r="N379" s="16">
        <f>IF(M379="","",IFERROR(AVERAGEIFS($M$10:$M$1009,$K$10:$K$1009,K379,$A$10:$A$1009,"&lt;"&amp;A379,$A$10:$A$1009,"&gt;="&amp;(A379-$C$6)),""))</f>
        <v/>
      </c>
      <c r="O379" s="16">
        <f>IF(M379="","",_xlfn.MINIFS($M$10:$M$1009,$K$10:$K$1009,K379,$A$10:$A$1009,"&lt;="&amp;A379,$A$10:$A$1009,"&gt;="&amp;(A379-$C$6)))</f>
        <v/>
      </c>
      <c r="P379" s="18">
        <f>IF(OR(N379="",N379=0),"",M379/N379-1)</f>
        <v/>
      </c>
      <c r="Q379">
        <f>IF(D379="","",IF(COUNTIFS($B$10:$B$1009,B379,$C$10:$C$1009,C379,$D$10:$D$1009,D379,$E$10:$E$1009,E379)&gt;1,"MÜKERRER?",IF(P379="","",IF(P379&gt;=$C$5,"İNCELE",IF(P379&lt;=-$C$5,"Düşük",""))))</f>
        <v/>
      </c>
      <c r="R379" s="16">
        <f>IF(AND(P379&lt;&gt;"",N(P379)&gt;=$C$5,COUNTIFS($B$10:B379,B379,$C$10:C379,C379,$D$10:D379,D379,$E$10:E379,E379)=1),(M379-N379)*E379*L379,0)</f>
        <v/>
      </c>
      <c r="S379" s="19">
        <f>IF(D379="",0,N(E379)*L379)</f>
        <v/>
      </c>
    </row>
    <row r="380">
      <c r="A380" s="11" t="n"/>
      <c r="B380" s="12" t="n"/>
      <c r="C380" s="12" t="n"/>
      <c r="D380" s="12" t="n"/>
      <c r="E380" s="13" t="n"/>
      <c r="F380" s="12" t="n"/>
      <c r="G380" s="14" t="n"/>
      <c r="H380" s="15" t="n"/>
      <c r="I380" s="16">
        <f>IF(G380="","",G380*(1-N(H380)))</f>
        <v/>
      </c>
      <c r="J380" s="16">
        <f>IF(I380="","",E380*I380)</f>
        <v/>
      </c>
      <c r="K380">
        <f>IF(D380="","",IFERROR(VLOOKUP(D380,'Ürün Eşleştirme'!$A$6:$D$505,2,FALSE),D380))</f>
        <v/>
      </c>
      <c r="L380" s="17">
        <f>IF(D380="","",IFERROR(VLOOKUP(D380,'Ürün Eşleştirme'!$A$6:$D$505,4,FALSE),1))</f>
        <v/>
      </c>
      <c r="M380" s="16">
        <f>IF(I380="","",I380/L380)</f>
        <v/>
      </c>
      <c r="N380" s="16">
        <f>IF(M380="","",IFERROR(AVERAGEIFS($M$10:$M$1009,$K$10:$K$1009,K380,$A$10:$A$1009,"&lt;"&amp;A380,$A$10:$A$1009,"&gt;="&amp;(A380-$C$6)),""))</f>
        <v/>
      </c>
      <c r="O380" s="16">
        <f>IF(M380="","",_xlfn.MINIFS($M$10:$M$1009,$K$10:$K$1009,K380,$A$10:$A$1009,"&lt;="&amp;A380,$A$10:$A$1009,"&gt;="&amp;(A380-$C$6)))</f>
        <v/>
      </c>
      <c r="P380" s="18">
        <f>IF(OR(N380="",N380=0),"",M380/N380-1)</f>
        <v/>
      </c>
      <c r="Q380">
        <f>IF(D380="","",IF(COUNTIFS($B$10:$B$1009,B380,$C$10:$C$1009,C380,$D$10:$D$1009,D380,$E$10:$E$1009,E380)&gt;1,"MÜKERRER?",IF(P380="","",IF(P380&gt;=$C$5,"İNCELE",IF(P380&lt;=-$C$5,"Düşük",""))))</f>
        <v/>
      </c>
      <c r="R380" s="16">
        <f>IF(AND(P380&lt;&gt;"",N(P380)&gt;=$C$5,COUNTIFS($B$10:B380,B380,$C$10:C380,C380,$D$10:D380,D380,$E$10:E380,E380)=1),(M380-N380)*E380*L380,0)</f>
        <v/>
      </c>
      <c r="S380" s="19">
        <f>IF(D380="",0,N(E380)*L380)</f>
        <v/>
      </c>
    </row>
    <row r="381">
      <c r="A381" s="11" t="n"/>
      <c r="B381" s="12" t="n"/>
      <c r="C381" s="12" t="n"/>
      <c r="D381" s="12" t="n"/>
      <c r="E381" s="13" t="n"/>
      <c r="F381" s="12" t="n"/>
      <c r="G381" s="14" t="n"/>
      <c r="H381" s="15" t="n"/>
      <c r="I381" s="16">
        <f>IF(G381="","",G381*(1-N(H381)))</f>
        <v/>
      </c>
      <c r="J381" s="16">
        <f>IF(I381="","",E381*I381)</f>
        <v/>
      </c>
      <c r="K381">
        <f>IF(D381="","",IFERROR(VLOOKUP(D381,'Ürün Eşleştirme'!$A$6:$D$505,2,FALSE),D381))</f>
        <v/>
      </c>
      <c r="L381" s="17">
        <f>IF(D381="","",IFERROR(VLOOKUP(D381,'Ürün Eşleştirme'!$A$6:$D$505,4,FALSE),1))</f>
        <v/>
      </c>
      <c r="M381" s="16">
        <f>IF(I381="","",I381/L381)</f>
        <v/>
      </c>
      <c r="N381" s="16">
        <f>IF(M381="","",IFERROR(AVERAGEIFS($M$10:$M$1009,$K$10:$K$1009,K381,$A$10:$A$1009,"&lt;"&amp;A381,$A$10:$A$1009,"&gt;="&amp;(A381-$C$6)),""))</f>
        <v/>
      </c>
      <c r="O381" s="16">
        <f>IF(M381="","",_xlfn.MINIFS($M$10:$M$1009,$K$10:$K$1009,K381,$A$10:$A$1009,"&lt;="&amp;A381,$A$10:$A$1009,"&gt;="&amp;(A381-$C$6)))</f>
        <v/>
      </c>
      <c r="P381" s="18">
        <f>IF(OR(N381="",N381=0),"",M381/N381-1)</f>
        <v/>
      </c>
      <c r="Q381">
        <f>IF(D381="","",IF(COUNTIFS($B$10:$B$1009,B381,$C$10:$C$1009,C381,$D$10:$D$1009,D381,$E$10:$E$1009,E381)&gt;1,"MÜKERRER?",IF(P381="","",IF(P381&gt;=$C$5,"İNCELE",IF(P381&lt;=-$C$5,"Düşük",""))))</f>
        <v/>
      </c>
      <c r="R381" s="16">
        <f>IF(AND(P381&lt;&gt;"",N(P381)&gt;=$C$5,COUNTIFS($B$10:B381,B381,$C$10:C381,C381,$D$10:D381,D381,$E$10:E381,E381)=1),(M381-N381)*E381*L381,0)</f>
        <v/>
      </c>
      <c r="S381" s="19">
        <f>IF(D381="",0,N(E381)*L381)</f>
        <v/>
      </c>
    </row>
    <row r="382">
      <c r="A382" s="11" t="n"/>
      <c r="B382" s="12" t="n"/>
      <c r="C382" s="12" t="n"/>
      <c r="D382" s="12" t="n"/>
      <c r="E382" s="13" t="n"/>
      <c r="F382" s="12" t="n"/>
      <c r="G382" s="14" t="n"/>
      <c r="H382" s="15" t="n"/>
      <c r="I382" s="16">
        <f>IF(G382="","",G382*(1-N(H382)))</f>
        <v/>
      </c>
      <c r="J382" s="16">
        <f>IF(I382="","",E382*I382)</f>
        <v/>
      </c>
      <c r="K382">
        <f>IF(D382="","",IFERROR(VLOOKUP(D382,'Ürün Eşleştirme'!$A$6:$D$505,2,FALSE),D382))</f>
        <v/>
      </c>
      <c r="L382" s="17">
        <f>IF(D382="","",IFERROR(VLOOKUP(D382,'Ürün Eşleştirme'!$A$6:$D$505,4,FALSE),1))</f>
        <v/>
      </c>
      <c r="M382" s="16">
        <f>IF(I382="","",I382/L382)</f>
        <v/>
      </c>
      <c r="N382" s="16">
        <f>IF(M382="","",IFERROR(AVERAGEIFS($M$10:$M$1009,$K$10:$K$1009,K382,$A$10:$A$1009,"&lt;"&amp;A382,$A$10:$A$1009,"&gt;="&amp;(A382-$C$6)),""))</f>
        <v/>
      </c>
      <c r="O382" s="16">
        <f>IF(M382="","",_xlfn.MINIFS($M$10:$M$1009,$K$10:$K$1009,K382,$A$10:$A$1009,"&lt;="&amp;A382,$A$10:$A$1009,"&gt;="&amp;(A382-$C$6)))</f>
        <v/>
      </c>
      <c r="P382" s="18">
        <f>IF(OR(N382="",N382=0),"",M382/N382-1)</f>
        <v/>
      </c>
      <c r="Q382">
        <f>IF(D382="","",IF(COUNTIFS($B$10:$B$1009,B382,$C$10:$C$1009,C382,$D$10:$D$1009,D382,$E$10:$E$1009,E382)&gt;1,"MÜKERRER?",IF(P382="","",IF(P382&gt;=$C$5,"İNCELE",IF(P382&lt;=-$C$5,"Düşük",""))))</f>
        <v/>
      </c>
      <c r="R382" s="16">
        <f>IF(AND(P382&lt;&gt;"",N(P382)&gt;=$C$5,COUNTIFS($B$10:B382,B382,$C$10:C382,C382,$D$10:D382,D382,$E$10:E382,E382)=1),(M382-N382)*E382*L382,0)</f>
        <v/>
      </c>
      <c r="S382" s="19">
        <f>IF(D382="",0,N(E382)*L382)</f>
        <v/>
      </c>
    </row>
    <row r="383">
      <c r="A383" s="11" t="n"/>
      <c r="B383" s="12" t="n"/>
      <c r="C383" s="12" t="n"/>
      <c r="D383" s="12" t="n"/>
      <c r="E383" s="13" t="n"/>
      <c r="F383" s="12" t="n"/>
      <c r="G383" s="14" t="n"/>
      <c r="H383" s="15" t="n"/>
      <c r="I383" s="16">
        <f>IF(G383="","",G383*(1-N(H383)))</f>
        <v/>
      </c>
      <c r="J383" s="16">
        <f>IF(I383="","",E383*I383)</f>
        <v/>
      </c>
      <c r="K383">
        <f>IF(D383="","",IFERROR(VLOOKUP(D383,'Ürün Eşleştirme'!$A$6:$D$505,2,FALSE),D383))</f>
        <v/>
      </c>
      <c r="L383" s="17">
        <f>IF(D383="","",IFERROR(VLOOKUP(D383,'Ürün Eşleştirme'!$A$6:$D$505,4,FALSE),1))</f>
        <v/>
      </c>
      <c r="M383" s="16">
        <f>IF(I383="","",I383/L383)</f>
        <v/>
      </c>
      <c r="N383" s="16">
        <f>IF(M383="","",IFERROR(AVERAGEIFS($M$10:$M$1009,$K$10:$K$1009,K383,$A$10:$A$1009,"&lt;"&amp;A383,$A$10:$A$1009,"&gt;="&amp;(A383-$C$6)),""))</f>
        <v/>
      </c>
      <c r="O383" s="16">
        <f>IF(M383="","",_xlfn.MINIFS($M$10:$M$1009,$K$10:$K$1009,K383,$A$10:$A$1009,"&lt;="&amp;A383,$A$10:$A$1009,"&gt;="&amp;(A383-$C$6)))</f>
        <v/>
      </c>
      <c r="P383" s="18">
        <f>IF(OR(N383="",N383=0),"",M383/N383-1)</f>
        <v/>
      </c>
      <c r="Q383">
        <f>IF(D383="","",IF(COUNTIFS($B$10:$B$1009,B383,$C$10:$C$1009,C383,$D$10:$D$1009,D383,$E$10:$E$1009,E383)&gt;1,"MÜKERRER?",IF(P383="","",IF(P383&gt;=$C$5,"İNCELE",IF(P383&lt;=-$C$5,"Düşük",""))))</f>
        <v/>
      </c>
      <c r="R383" s="16">
        <f>IF(AND(P383&lt;&gt;"",N(P383)&gt;=$C$5,COUNTIFS($B$10:B383,B383,$C$10:C383,C383,$D$10:D383,D383,$E$10:E383,E383)=1),(M383-N383)*E383*L383,0)</f>
        <v/>
      </c>
      <c r="S383" s="19">
        <f>IF(D383="",0,N(E383)*L383)</f>
        <v/>
      </c>
    </row>
    <row r="384">
      <c r="A384" s="11" t="n"/>
      <c r="B384" s="12" t="n"/>
      <c r="C384" s="12" t="n"/>
      <c r="D384" s="12" t="n"/>
      <c r="E384" s="13" t="n"/>
      <c r="F384" s="12" t="n"/>
      <c r="G384" s="14" t="n"/>
      <c r="H384" s="15" t="n"/>
      <c r="I384" s="16">
        <f>IF(G384="","",G384*(1-N(H384)))</f>
        <v/>
      </c>
      <c r="J384" s="16">
        <f>IF(I384="","",E384*I384)</f>
        <v/>
      </c>
      <c r="K384">
        <f>IF(D384="","",IFERROR(VLOOKUP(D384,'Ürün Eşleştirme'!$A$6:$D$505,2,FALSE),D384))</f>
        <v/>
      </c>
      <c r="L384" s="17">
        <f>IF(D384="","",IFERROR(VLOOKUP(D384,'Ürün Eşleştirme'!$A$6:$D$505,4,FALSE),1))</f>
        <v/>
      </c>
      <c r="M384" s="16">
        <f>IF(I384="","",I384/L384)</f>
        <v/>
      </c>
      <c r="N384" s="16">
        <f>IF(M384="","",IFERROR(AVERAGEIFS($M$10:$M$1009,$K$10:$K$1009,K384,$A$10:$A$1009,"&lt;"&amp;A384,$A$10:$A$1009,"&gt;="&amp;(A384-$C$6)),""))</f>
        <v/>
      </c>
      <c r="O384" s="16">
        <f>IF(M384="","",_xlfn.MINIFS($M$10:$M$1009,$K$10:$K$1009,K384,$A$10:$A$1009,"&lt;="&amp;A384,$A$10:$A$1009,"&gt;="&amp;(A384-$C$6)))</f>
        <v/>
      </c>
      <c r="P384" s="18">
        <f>IF(OR(N384="",N384=0),"",M384/N384-1)</f>
        <v/>
      </c>
      <c r="Q384">
        <f>IF(D384="","",IF(COUNTIFS($B$10:$B$1009,B384,$C$10:$C$1009,C384,$D$10:$D$1009,D384,$E$10:$E$1009,E384)&gt;1,"MÜKERRER?",IF(P384="","",IF(P384&gt;=$C$5,"İNCELE",IF(P384&lt;=-$C$5,"Düşük",""))))</f>
        <v/>
      </c>
      <c r="R384" s="16">
        <f>IF(AND(P384&lt;&gt;"",N(P384)&gt;=$C$5,COUNTIFS($B$10:B384,B384,$C$10:C384,C384,$D$10:D384,D384,$E$10:E384,E384)=1),(M384-N384)*E384*L384,0)</f>
        <v/>
      </c>
      <c r="S384" s="19">
        <f>IF(D384="",0,N(E384)*L384)</f>
        <v/>
      </c>
    </row>
    <row r="385">
      <c r="A385" s="11" t="n"/>
      <c r="B385" s="12" t="n"/>
      <c r="C385" s="12" t="n"/>
      <c r="D385" s="12" t="n"/>
      <c r="E385" s="13" t="n"/>
      <c r="F385" s="12" t="n"/>
      <c r="G385" s="14" t="n"/>
      <c r="H385" s="15" t="n"/>
      <c r="I385" s="16">
        <f>IF(G385="","",G385*(1-N(H385)))</f>
        <v/>
      </c>
      <c r="J385" s="16">
        <f>IF(I385="","",E385*I385)</f>
        <v/>
      </c>
      <c r="K385">
        <f>IF(D385="","",IFERROR(VLOOKUP(D385,'Ürün Eşleştirme'!$A$6:$D$505,2,FALSE),D385))</f>
        <v/>
      </c>
      <c r="L385" s="17">
        <f>IF(D385="","",IFERROR(VLOOKUP(D385,'Ürün Eşleştirme'!$A$6:$D$505,4,FALSE),1))</f>
        <v/>
      </c>
      <c r="M385" s="16">
        <f>IF(I385="","",I385/L385)</f>
        <v/>
      </c>
      <c r="N385" s="16">
        <f>IF(M385="","",IFERROR(AVERAGEIFS($M$10:$M$1009,$K$10:$K$1009,K385,$A$10:$A$1009,"&lt;"&amp;A385,$A$10:$A$1009,"&gt;="&amp;(A385-$C$6)),""))</f>
        <v/>
      </c>
      <c r="O385" s="16">
        <f>IF(M385="","",_xlfn.MINIFS($M$10:$M$1009,$K$10:$K$1009,K385,$A$10:$A$1009,"&lt;="&amp;A385,$A$10:$A$1009,"&gt;="&amp;(A385-$C$6)))</f>
        <v/>
      </c>
      <c r="P385" s="18">
        <f>IF(OR(N385="",N385=0),"",M385/N385-1)</f>
        <v/>
      </c>
      <c r="Q385">
        <f>IF(D385="","",IF(COUNTIFS($B$10:$B$1009,B385,$C$10:$C$1009,C385,$D$10:$D$1009,D385,$E$10:$E$1009,E385)&gt;1,"MÜKERRER?",IF(P385="","",IF(P385&gt;=$C$5,"İNCELE",IF(P385&lt;=-$C$5,"Düşük",""))))</f>
        <v/>
      </c>
      <c r="R385" s="16">
        <f>IF(AND(P385&lt;&gt;"",N(P385)&gt;=$C$5,COUNTIFS($B$10:B385,B385,$C$10:C385,C385,$D$10:D385,D385,$E$10:E385,E385)=1),(M385-N385)*E385*L385,0)</f>
        <v/>
      </c>
      <c r="S385" s="19">
        <f>IF(D385="",0,N(E385)*L385)</f>
        <v/>
      </c>
    </row>
    <row r="386">
      <c r="A386" s="11" t="n"/>
      <c r="B386" s="12" t="n"/>
      <c r="C386" s="12" t="n"/>
      <c r="D386" s="12" t="n"/>
      <c r="E386" s="13" t="n"/>
      <c r="F386" s="12" t="n"/>
      <c r="G386" s="14" t="n"/>
      <c r="H386" s="15" t="n"/>
      <c r="I386" s="16">
        <f>IF(G386="","",G386*(1-N(H386)))</f>
        <v/>
      </c>
      <c r="J386" s="16">
        <f>IF(I386="","",E386*I386)</f>
        <v/>
      </c>
      <c r="K386">
        <f>IF(D386="","",IFERROR(VLOOKUP(D386,'Ürün Eşleştirme'!$A$6:$D$505,2,FALSE),D386))</f>
        <v/>
      </c>
      <c r="L386" s="17">
        <f>IF(D386="","",IFERROR(VLOOKUP(D386,'Ürün Eşleştirme'!$A$6:$D$505,4,FALSE),1))</f>
        <v/>
      </c>
      <c r="M386" s="16">
        <f>IF(I386="","",I386/L386)</f>
        <v/>
      </c>
      <c r="N386" s="16">
        <f>IF(M386="","",IFERROR(AVERAGEIFS($M$10:$M$1009,$K$10:$K$1009,K386,$A$10:$A$1009,"&lt;"&amp;A386,$A$10:$A$1009,"&gt;="&amp;(A386-$C$6)),""))</f>
        <v/>
      </c>
      <c r="O386" s="16">
        <f>IF(M386="","",_xlfn.MINIFS($M$10:$M$1009,$K$10:$K$1009,K386,$A$10:$A$1009,"&lt;="&amp;A386,$A$10:$A$1009,"&gt;="&amp;(A386-$C$6)))</f>
        <v/>
      </c>
      <c r="P386" s="18">
        <f>IF(OR(N386="",N386=0),"",M386/N386-1)</f>
        <v/>
      </c>
      <c r="Q386">
        <f>IF(D386="","",IF(COUNTIFS($B$10:$B$1009,B386,$C$10:$C$1009,C386,$D$10:$D$1009,D386,$E$10:$E$1009,E386)&gt;1,"MÜKERRER?",IF(P386="","",IF(P386&gt;=$C$5,"İNCELE",IF(P386&lt;=-$C$5,"Düşük",""))))</f>
        <v/>
      </c>
      <c r="R386" s="16">
        <f>IF(AND(P386&lt;&gt;"",N(P386)&gt;=$C$5,COUNTIFS($B$10:B386,B386,$C$10:C386,C386,$D$10:D386,D386,$E$10:E386,E386)=1),(M386-N386)*E386*L386,0)</f>
        <v/>
      </c>
      <c r="S386" s="19">
        <f>IF(D386="",0,N(E386)*L386)</f>
        <v/>
      </c>
    </row>
    <row r="387">
      <c r="A387" s="11" t="n"/>
      <c r="B387" s="12" t="n"/>
      <c r="C387" s="12" t="n"/>
      <c r="D387" s="12" t="n"/>
      <c r="E387" s="13" t="n"/>
      <c r="F387" s="12" t="n"/>
      <c r="G387" s="14" t="n"/>
      <c r="H387" s="15" t="n"/>
      <c r="I387" s="16">
        <f>IF(G387="","",G387*(1-N(H387)))</f>
        <v/>
      </c>
      <c r="J387" s="16">
        <f>IF(I387="","",E387*I387)</f>
        <v/>
      </c>
      <c r="K387">
        <f>IF(D387="","",IFERROR(VLOOKUP(D387,'Ürün Eşleştirme'!$A$6:$D$505,2,FALSE),D387))</f>
        <v/>
      </c>
      <c r="L387" s="17">
        <f>IF(D387="","",IFERROR(VLOOKUP(D387,'Ürün Eşleştirme'!$A$6:$D$505,4,FALSE),1))</f>
        <v/>
      </c>
      <c r="M387" s="16">
        <f>IF(I387="","",I387/L387)</f>
        <v/>
      </c>
      <c r="N387" s="16">
        <f>IF(M387="","",IFERROR(AVERAGEIFS($M$10:$M$1009,$K$10:$K$1009,K387,$A$10:$A$1009,"&lt;"&amp;A387,$A$10:$A$1009,"&gt;="&amp;(A387-$C$6)),""))</f>
        <v/>
      </c>
      <c r="O387" s="16">
        <f>IF(M387="","",_xlfn.MINIFS($M$10:$M$1009,$K$10:$K$1009,K387,$A$10:$A$1009,"&lt;="&amp;A387,$A$10:$A$1009,"&gt;="&amp;(A387-$C$6)))</f>
        <v/>
      </c>
      <c r="P387" s="18">
        <f>IF(OR(N387="",N387=0),"",M387/N387-1)</f>
        <v/>
      </c>
      <c r="Q387">
        <f>IF(D387="","",IF(COUNTIFS($B$10:$B$1009,B387,$C$10:$C$1009,C387,$D$10:$D$1009,D387,$E$10:$E$1009,E387)&gt;1,"MÜKERRER?",IF(P387="","",IF(P387&gt;=$C$5,"İNCELE",IF(P387&lt;=-$C$5,"Düşük",""))))</f>
        <v/>
      </c>
      <c r="R387" s="16">
        <f>IF(AND(P387&lt;&gt;"",N(P387)&gt;=$C$5,COUNTIFS($B$10:B387,B387,$C$10:C387,C387,$D$10:D387,D387,$E$10:E387,E387)=1),(M387-N387)*E387*L387,0)</f>
        <v/>
      </c>
      <c r="S387" s="19">
        <f>IF(D387="",0,N(E387)*L387)</f>
        <v/>
      </c>
    </row>
    <row r="388">
      <c r="A388" s="11" t="n"/>
      <c r="B388" s="12" t="n"/>
      <c r="C388" s="12" t="n"/>
      <c r="D388" s="12" t="n"/>
      <c r="E388" s="13" t="n"/>
      <c r="F388" s="12" t="n"/>
      <c r="G388" s="14" t="n"/>
      <c r="H388" s="15" t="n"/>
      <c r="I388" s="16">
        <f>IF(G388="","",G388*(1-N(H388)))</f>
        <v/>
      </c>
      <c r="J388" s="16">
        <f>IF(I388="","",E388*I388)</f>
        <v/>
      </c>
      <c r="K388">
        <f>IF(D388="","",IFERROR(VLOOKUP(D388,'Ürün Eşleştirme'!$A$6:$D$505,2,FALSE),D388))</f>
        <v/>
      </c>
      <c r="L388" s="17">
        <f>IF(D388="","",IFERROR(VLOOKUP(D388,'Ürün Eşleştirme'!$A$6:$D$505,4,FALSE),1))</f>
        <v/>
      </c>
      <c r="M388" s="16">
        <f>IF(I388="","",I388/L388)</f>
        <v/>
      </c>
      <c r="N388" s="16">
        <f>IF(M388="","",IFERROR(AVERAGEIFS($M$10:$M$1009,$K$10:$K$1009,K388,$A$10:$A$1009,"&lt;"&amp;A388,$A$10:$A$1009,"&gt;="&amp;(A388-$C$6)),""))</f>
        <v/>
      </c>
      <c r="O388" s="16">
        <f>IF(M388="","",_xlfn.MINIFS($M$10:$M$1009,$K$10:$K$1009,K388,$A$10:$A$1009,"&lt;="&amp;A388,$A$10:$A$1009,"&gt;="&amp;(A388-$C$6)))</f>
        <v/>
      </c>
      <c r="P388" s="18">
        <f>IF(OR(N388="",N388=0),"",M388/N388-1)</f>
        <v/>
      </c>
      <c r="Q388">
        <f>IF(D388="","",IF(COUNTIFS($B$10:$B$1009,B388,$C$10:$C$1009,C388,$D$10:$D$1009,D388,$E$10:$E$1009,E388)&gt;1,"MÜKERRER?",IF(P388="","",IF(P388&gt;=$C$5,"İNCELE",IF(P388&lt;=-$C$5,"Düşük",""))))</f>
        <v/>
      </c>
      <c r="R388" s="16">
        <f>IF(AND(P388&lt;&gt;"",N(P388)&gt;=$C$5,COUNTIFS($B$10:B388,B388,$C$10:C388,C388,$D$10:D388,D388,$E$10:E388,E388)=1),(M388-N388)*E388*L388,0)</f>
        <v/>
      </c>
      <c r="S388" s="19">
        <f>IF(D388="",0,N(E388)*L388)</f>
        <v/>
      </c>
    </row>
    <row r="389">
      <c r="A389" s="11" t="n"/>
      <c r="B389" s="12" t="n"/>
      <c r="C389" s="12" t="n"/>
      <c r="D389" s="12" t="n"/>
      <c r="E389" s="13" t="n"/>
      <c r="F389" s="12" t="n"/>
      <c r="G389" s="14" t="n"/>
      <c r="H389" s="15" t="n"/>
      <c r="I389" s="16">
        <f>IF(G389="","",G389*(1-N(H389)))</f>
        <v/>
      </c>
      <c r="J389" s="16">
        <f>IF(I389="","",E389*I389)</f>
        <v/>
      </c>
      <c r="K389">
        <f>IF(D389="","",IFERROR(VLOOKUP(D389,'Ürün Eşleştirme'!$A$6:$D$505,2,FALSE),D389))</f>
        <v/>
      </c>
      <c r="L389" s="17">
        <f>IF(D389="","",IFERROR(VLOOKUP(D389,'Ürün Eşleştirme'!$A$6:$D$505,4,FALSE),1))</f>
        <v/>
      </c>
      <c r="M389" s="16">
        <f>IF(I389="","",I389/L389)</f>
        <v/>
      </c>
      <c r="N389" s="16">
        <f>IF(M389="","",IFERROR(AVERAGEIFS($M$10:$M$1009,$K$10:$K$1009,K389,$A$10:$A$1009,"&lt;"&amp;A389,$A$10:$A$1009,"&gt;="&amp;(A389-$C$6)),""))</f>
        <v/>
      </c>
      <c r="O389" s="16">
        <f>IF(M389="","",_xlfn.MINIFS($M$10:$M$1009,$K$10:$K$1009,K389,$A$10:$A$1009,"&lt;="&amp;A389,$A$10:$A$1009,"&gt;="&amp;(A389-$C$6)))</f>
        <v/>
      </c>
      <c r="P389" s="18">
        <f>IF(OR(N389="",N389=0),"",M389/N389-1)</f>
        <v/>
      </c>
      <c r="Q389">
        <f>IF(D389="","",IF(COUNTIFS($B$10:$B$1009,B389,$C$10:$C$1009,C389,$D$10:$D$1009,D389,$E$10:$E$1009,E389)&gt;1,"MÜKERRER?",IF(P389="","",IF(P389&gt;=$C$5,"İNCELE",IF(P389&lt;=-$C$5,"Düşük",""))))</f>
        <v/>
      </c>
      <c r="R389" s="16">
        <f>IF(AND(P389&lt;&gt;"",N(P389)&gt;=$C$5,COUNTIFS($B$10:B389,B389,$C$10:C389,C389,$D$10:D389,D389,$E$10:E389,E389)=1),(M389-N389)*E389*L389,0)</f>
        <v/>
      </c>
      <c r="S389" s="19">
        <f>IF(D389="",0,N(E389)*L389)</f>
        <v/>
      </c>
    </row>
    <row r="390">
      <c r="A390" s="11" t="n"/>
      <c r="B390" s="12" t="n"/>
      <c r="C390" s="12" t="n"/>
      <c r="D390" s="12" t="n"/>
      <c r="E390" s="13" t="n"/>
      <c r="F390" s="12" t="n"/>
      <c r="G390" s="14" t="n"/>
      <c r="H390" s="15" t="n"/>
      <c r="I390" s="16">
        <f>IF(G390="","",G390*(1-N(H390)))</f>
        <v/>
      </c>
      <c r="J390" s="16">
        <f>IF(I390="","",E390*I390)</f>
        <v/>
      </c>
      <c r="K390">
        <f>IF(D390="","",IFERROR(VLOOKUP(D390,'Ürün Eşleştirme'!$A$6:$D$505,2,FALSE),D390))</f>
        <v/>
      </c>
      <c r="L390" s="17">
        <f>IF(D390="","",IFERROR(VLOOKUP(D390,'Ürün Eşleştirme'!$A$6:$D$505,4,FALSE),1))</f>
        <v/>
      </c>
      <c r="M390" s="16">
        <f>IF(I390="","",I390/L390)</f>
        <v/>
      </c>
      <c r="N390" s="16">
        <f>IF(M390="","",IFERROR(AVERAGEIFS($M$10:$M$1009,$K$10:$K$1009,K390,$A$10:$A$1009,"&lt;"&amp;A390,$A$10:$A$1009,"&gt;="&amp;(A390-$C$6)),""))</f>
        <v/>
      </c>
      <c r="O390" s="16">
        <f>IF(M390="","",_xlfn.MINIFS($M$10:$M$1009,$K$10:$K$1009,K390,$A$10:$A$1009,"&lt;="&amp;A390,$A$10:$A$1009,"&gt;="&amp;(A390-$C$6)))</f>
        <v/>
      </c>
      <c r="P390" s="18">
        <f>IF(OR(N390="",N390=0),"",M390/N390-1)</f>
        <v/>
      </c>
      <c r="Q390">
        <f>IF(D390="","",IF(COUNTIFS($B$10:$B$1009,B390,$C$10:$C$1009,C390,$D$10:$D$1009,D390,$E$10:$E$1009,E390)&gt;1,"MÜKERRER?",IF(P390="","",IF(P390&gt;=$C$5,"İNCELE",IF(P390&lt;=-$C$5,"Düşük",""))))</f>
        <v/>
      </c>
      <c r="R390" s="16">
        <f>IF(AND(P390&lt;&gt;"",N(P390)&gt;=$C$5,COUNTIFS($B$10:B390,B390,$C$10:C390,C390,$D$10:D390,D390,$E$10:E390,E390)=1),(M390-N390)*E390*L390,0)</f>
        <v/>
      </c>
      <c r="S390" s="19">
        <f>IF(D390="",0,N(E390)*L390)</f>
        <v/>
      </c>
    </row>
    <row r="391">
      <c r="A391" s="11" t="n"/>
      <c r="B391" s="12" t="n"/>
      <c r="C391" s="12" t="n"/>
      <c r="D391" s="12" t="n"/>
      <c r="E391" s="13" t="n"/>
      <c r="F391" s="12" t="n"/>
      <c r="G391" s="14" t="n"/>
      <c r="H391" s="15" t="n"/>
      <c r="I391" s="16">
        <f>IF(G391="","",G391*(1-N(H391)))</f>
        <v/>
      </c>
      <c r="J391" s="16">
        <f>IF(I391="","",E391*I391)</f>
        <v/>
      </c>
      <c r="K391">
        <f>IF(D391="","",IFERROR(VLOOKUP(D391,'Ürün Eşleştirme'!$A$6:$D$505,2,FALSE),D391))</f>
        <v/>
      </c>
      <c r="L391" s="17">
        <f>IF(D391="","",IFERROR(VLOOKUP(D391,'Ürün Eşleştirme'!$A$6:$D$505,4,FALSE),1))</f>
        <v/>
      </c>
      <c r="M391" s="16">
        <f>IF(I391="","",I391/L391)</f>
        <v/>
      </c>
      <c r="N391" s="16">
        <f>IF(M391="","",IFERROR(AVERAGEIFS($M$10:$M$1009,$K$10:$K$1009,K391,$A$10:$A$1009,"&lt;"&amp;A391,$A$10:$A$1009,"&gt;="&amp;(A391-$C$6)),""))</f>
        <v/>
      </c>
      <c r="O391" s="16">
        <f>IF(M391="","",_xlfn.MINIFS($M$10:$M$1009,$K$10:$K$1009,K391,$A$10:$A$1009,"&lt;="&amp;A391,$A$10:$A$1009,"&gt;="&amp;(A391-$C$6)))</f>
        <v/>
      </c>
      <c r="P391" s="18">
        <f>IF(OR(N391="",N391=0),"",M391/N391-1)</f>
        <v/>
      </c>
      <c r="Q391">
        <f>IF(D391="","",IF(COUNTIFS($B$10:$B$1009,B391,$C$10:$C$1009,C391,$D$10:$D$1009,D391,$E$10:$E$1009,E391)&gt;1,"MÜKERRER?",IF(P391="","",IF(P391&gt;=$C$5,"İNCELE",IF(P391&lt;=-$C$5,"Düşük",""))))</f>
        <v/>
      </c>
      <c r="R391" s="16">
        <f>IF(AND(P391&lt;&gt;"",N(P391)&gt;=$C$5,COUNTIFS($B$10:B391,B391,$C$10:C391,C391,$D$10:D391,D391,$E$10:E391,E391)=1),(M391-N391)*E391*L391,0)</f>
        <v/>
      </c>
      <c r="S391" s="19">
        <f>IF(D391="",0,N(E391)*L391)</f>
        <v/>
      </c>
    </row>
    <row r="392">
      <c r="A392" s="11" t="n"/>
      <c r="B392" s="12" t="n"/>
      <c r="C392" s="12" t="n"/>
      <c r="D392" s="12" t="n"/>
      <c r="E392" s="13" t="n"/>
      <c r="F392" s="12" t="n"/>
      <c r="G392" s="14" t="n"/>
      <c r="H392" s="15" t="n"/>
      <c r="I392" s="16">
        <f>IF(G392="","",G392*(1-N(H392)))</f>
        <v/>
      </c>
      <c r="J392" s="16">
        <f>IF(I392="","",E392*I392)</f>
        <v/>
      </c>
      <c r="K392">
        <f>IF(D392="","",IFERROR(VLOOKUP(D392,'Ürün Eşleştirme'!$A$6:$D$505,2,FALSE),D392))</f>
        <v/>
      </c>
      <c r="L392" s="17">
        <f>IF(D392="","",IFERROR(VLOOKUP(D392,'Ürün Eşleştirme'!$A$6:$D$505,4,FALSE),1))</f>
        <v/>
      </c>
      <c r="M392" s="16">
        <f>IF(I392="","",I392/L392)</f>
        <v/>
      </c>
      <c r="N392" s="16">
        <f>IF(M392="","",IFERROR(AVERAGEIFS($M$10:$M$1009,$K$10:$K$1009,K392,$A$10:$A$1009,"&lt;"&amp;A392,$A$10:$A$1009,"&gt;="&amp;(A392-$C$6)),""))</f>
        <v/>
      </c>
      <c r="O392" s="16">
        <f>IF(M392="","",_xlfn.MINIFS($M$10:$M$1009,$K$10:$K$1009,K392,$A$10:$A$1009,"&lt;="&amp;A392,$A$10:$A$1009,"&gt;="&amp;(A392-$C$6)))</f>
        <v/>
      </c>
      <c r="P392" s="18">
        <f>IF(OR(N392="",N392=0),"",M392/N392-1)</f>
        <v/>
      </c>
      <c r="Q392">
        <f>IF(D392="","",IF(COUNTIFS($B$10:$B$1009,B392,$C$10:$C$1009,C392,$D$10:$D$1009,D392,$E$10:$E$1009,E392)&gt;1,"MÜKERRER?",IF(P392="","",IF(P392&gt;=$C$5,"İNCELE",IF(P392&lt;=-$C$5,"Düşük",""))))</f>
        <v/>
      </c>
      <c r="R392" s="16">
        <f>IF(AND(P392&lt;&gt;"",N(P392)&gt;=$C$5,COUNTIFS($B$10:B392,B392,$C$10:C392,C392,$D$10:D392,D392,$E$10:E392,E392)=1),(M392-N392)*E392*L392,0)</f>
        <v/>
      </c>
      <c r="S392" s="19">
        <f>IF(D392="",0,N(E392)*L392)</f>
        <v/>
      </c>
    </row>
    <row r="393">
      <c r="A393" s="11" t="n"/>
      <c r="B393" s="12" t="n"/>
      <c r="C393" s="12" t="n"/>
      <c r="D393" s="12" t="n"/>
      <c r="E393" s="13" t="n"/>
      <c r="F393" s="12" t="n"/>
      <c r="G393" s="14" t="n"/>
      <c r="H393" s="15" t="n"/>
      <c r="I393" s="16">
        <f>IF(G393="","",G393*(1-N(H393)))</f>
        <v/>
      </c>
      <c r="J393" s="16">
        <f>IF(I393="","",E393*I393)</f>
        <v/>
      </c>
      <c r="K393">
        <f>IF(D393="","",IFERROR(VLOOKUP(D393,'Ürün Eşleştirme'!$A$6:$D$505,2,FALSE),D393))</f>
        <v/>
      </c>
      <c r="L393" s="17">
        <f>IF(D393="","",IFERROR(VLOOKUP(D393,'Ürün Eşleştirme'!$A$6:$D$505,4,FALSE),1))</f>
        <v/>
      </c>
      <c r="M393" s="16">
        <f>IF(I393="","",I393/L393)</f>
        <v/>
      </c>
      <c r="N393" s="16">
        <f>IF(M393="","",IFERROR(AVERAGEIFS($M$10:$M$1009,$K$10:$K$1009,K393,$A$10:$A$1009,"&lt;"&amp;A393,$A$10:$A$1009,"&gt;="&amp;(A393-$C$6)),""))</f>
        <v/>
      </c>
      <c r="O393" s="16">
        <f>IF(M393="","",_xlfn.MINIFS($M$10:$M$1009,$K$10:$K$1009,K393,$A$10:$A$1009,"&lt;="&amp;A393,$A$10:$A$1009,"&gt;="&amp;(A393-$C$6)))</f>
        <v/>
      </c>
      <c r="P393" s="18">
        <f>IF(OR(N393="",N393=0),"",M393/N393-1)</f>
        <v/>
      </c>
      <c r="Q393">
        <f>IF(D393="","",IF(COUNTIFS($B$10:$B$1009,B393,$C$10:$C$1009,C393,$D$10:$D$1009,D393,$E$10:$E$1009,E393)&gt;1,"MÜKERRER?",IF(P393="","",IF(P393&gt;=$C$5,"İNCELE",IF(P393&lt;=-$C$5,"Düşük",""))))</f>
        <v/>
      </c>
      <c r="R393" s="16">
        <f>IF(AND(P393&lt;&gt;"",N(P393)&gt;=$C$5,COUNTIFS($B$10:B393,B393,$C$10:C393,C393,$D$10:D393,D393,$E$10:E393,E393)=1),(M393-N393)*E393*L393,0)</f>
        <v/>
      </c>
      <c r="S393" s="19">
        <f>IF(D393="",0,N(E393)*L393)</f>
        <v/>
      </c>
    </row>
    <row r="394">
      <c r="A394" s="11" t="n"/>
      <c r="B394" s="12" t="n"/>
      <c r="C394" s="12" t="n"/>
      <c r="D394" s="12" t="n"/>
      <c r="E394" s="13" t="n"/>
      <c r="F394" s="12" t="n"/>
      <c r="G394" s="14" t="n"/>
      <c r="H394" s="15" t="n"/>
      <c r="I394" s="16">
        <f>IF(G394="","",G394*(1-N(H394)))</f>
        <v/>
      </c>
      <c r="J394" s="16">
        <f>IF(I394="","",E394*I394)</f>
        <v/>
      </c>
      <c r="K394">
        <f>IF(D394="","",IFERROR(VLOOKUP(D394,'Ürün Eşleştirme'!$A$6:$D$505,2,FALSE),D394))</f>
        <v/>
      </c>
      <c r="L394" s="17">
        <f>IF(D394="","",IFERROR(VLOOKUP(D394,'Ürün Eşleştirme'!$A$6:$D$505,4,FALSE),1))</f>
        <v/>
      </c>
      <c r="M394" s="16">
        <f>IF(I394="","",I394/L394)</f>
        <v/>
      </c>
      <c r="N394" s="16">
        <f>IF(M394="","",IFERROR(AVERAGEIFS($M$10:$M$1009,$K$10:$K$1009,K394,$A$10:$A$1009,"&lt;"&amp;A394,$A$10:$A$1009,"&gt;="&amp;(A394-$C$6)),""))</f>
        <v/>
      </c>
      <c r="O394" s="16">
        <f>IF(M394="","",_xlfn.MINIFS($M$10:$M$1009,$K$10:$K$1009,K394,$A$10:$A$1009,"&lt;="&amp;A394,$A$10:$A$1009,"&gt;="&amp;(A394-$C$6)))</f>
        <v/>
      </c>
      <c r="P394" s="18">
        <f>IF(OR(N394="",N394=0),"",M394/N394-1)</f>
        <v/>
      </c>
      <c r="Q394">
        <f>IF(D394="","",IF(COUNTIFS($B$10:$B$1009,B394,$C$10:$C$1009,C394,$D$10:$D$1009,D394,$E$10:$E$1009,E394)&gt;1,"MÜKERRER?",IF(P394="","",IF(P394&gt;=$C$5,"İNCELE",IF(P394&lt;=-$C$5,"Düşük",""))))</f>
        <v/>
      </c>
      <c r="R394" s="16">
        <f>IF(AND(P394&lt;&gt;"",N(P394)&gt;=$C$5,COUNTIFS($B$10:B394,B394,$C$10:C394,C394,$D$10:D394,D394,$E$10:E394,E394)=1),(M394-N394)*E394*L394,0)</f>
        <v/>
      </c>
      <c r="S394" s="19">
        <f>IF(D394="",0,N(E394)*L394)</f>
        <v/>
      </c>
    </row>
    <row r="395">
      <c r="A395" s="11" t="n"/>
      <c r="B395" s="12" t="n"/>
      <c r="C395" s="12" t="n"/>
      <c r="D395" s="12" t="n"/>
      <c r="E395" s="13" t="n"/>
      <c r="F395" s="12" t="n"/>
      <c r="G395" s="14" t="n"/>
      <c r="H395" s="15" t="n"/>
      <c r="I395" s="16">
        <f>IF(G395="","",G395*(1-N(H395)))</f>
        <v/>
      </c>
      <c r="J395" s="16">
        <f>IF(I395="","",E395*I395)</f>
        <v/>
      </c>
      <c r="K395">
        <f>IF(D395="","",IFERROR(VLOOKUP(D395,'Ürün Eşleştirme'!$A$6:$D$505,2,FALSE),D395))</f>
        <v/>
      </c>
      <c r="L395" s="17">
        <f>IF(D395="","",IFERROR(VLOOKUP(D395,'Ürün Eşleştirme'!$A$6:$D$505,4,FALSE),1))</f>
        <v/>
      </c>
      <c r="M395" s="16">
        <f>IF(I395="","",I395/L395)</f>
        <v/>
      </c>
      <c r="N395" s="16">
        <f>IF(M395="","",IFERROR(AVERAGEIFS($M$10:$M$1009,$K$10:$K$1009,K395,$A$10:$A$1009,"&lt;"&amp;A395,$A$10:$A$1009,"&gt;="&amp;(A395-$C$6)),""))</f>
        <v/>
      </c>
      <c r="O395" s="16">
        <f>IF(M395="","",_xlfn.MINIFS($M$10:$M$1009,$K$10:$K$1009,K395,$A$10:$A$1009,"&lt;="&amp;A395,$A$10:$A$1009,"&gt;="&amp;(A395-$C$6)))</f>
        <v/>
      </c>
      <c r="P395" s="18">
        <f>IF(OR(N395="",N395=0),"",M395/N395-1)</f>
        <v/>
      </c>
      <c r="Q395">
        <f>IF(D395="","",IF(COUNTIFS($B$10:$B$1009,B395,$C$10:$C$1009,C395,$D$10:$D$1009,D395,$E$10:$E$1009,E395)&gt;1,"MÜKERRER?",IF(P395="","",IF(P395&gt;=$C$5,"İNCELE",IF(P395&lt;=-$C$5,"Düşük",""))))</f>
        <v/>
      </c>
      <c r="R395" s="16">
        <f>IF(AND(P395&lt;&gt;"",N(P395)&gt;=$C$5,COUNTIFS($B$10:B395,B395,$C$10:C395,C395,$D$10:D395,D395,$E$10:E395,E395)=1),(M395-N395)*E395*L395,0)</f>
        <v/>
      </c>
      <c r="S395" s="19">
        <f>IF(D395="",0,N(E395)*L395)</f>
        <v/>
      </c>
    </row>
    <row r="396">
      <c r="A396" s="11" t="n"/>
      <c r="B396" s="12" t="n"/>
      <c r="C396" s="12" t="n"/>
      <c r="D396" s="12" t="n"/>
      <c r="E396" s="13" t="n"/>
      <c r="F396" s="12" t="n"/>
      <c r="G396" s="14" t="n"/>
      <c r="H396" s="15" t="n"/>
      <c r="I396" s="16">
        <f>IF(G396="","",G396*(1-N(H396)))</f>
        <v/>
      </c>
      <c r="J396" s="16">
        <f>IF(I396="","",E396*I396)</f>
        <v/>
      </c>
      <c r="K396">
        <f>IF(D396="","",IFERROR(VLOOKUP(D396,'Ürün Eşleştirme'!$A$6:$D$505,2,FALSE),D396))</f>
        <v/>
      </c>
      <c r="L396" s="17">
        <f>IF(D396="","",IFERROR(VLOOKUP(D396,'Ürün Eşleştirme'!$A$6:$D$505,4,FALSE),1))</f>
        <v/>
      </c>
      <c r="M396" s="16">
        <f>IF(I396="","",I396/L396)</f>
        <v/>
      </c>
      <c r="N396" s="16">
        <f>IF(M396="","",IFERROR(AVERAGEIFS($M$10:$M$1009,$K$10:$K$1009,K396,$A$10:$A$1009,"&lt;"&amp;A396,$A$10:$A$1009,"&gt;="&amp;(A396-$C$6)),""))</f>
        <v/>
      </c>
      <c r="O396" s="16">
        <f>IF(M396="","",_xlfn.MINIFS($M$10:$M$1009,$K$10:$K$1009,K396,$A$10:$A$1009,"&lt;="&amp;A396,$A$10:$A$1009,"&gt;="&amp;(A396-$C$6)))</f>
        <v/>
      </c>
      <c r="P396" s="18">
        <f>IF(OR(N396="",N396=0),"",M396/N396-1)</f>
        <v/>
      </c>
      <c r="Q396">
        <f>IF(D396="","",IF(COUNTIFS($B$10:$B$1009,B396,$C$10:$C$1009,C396,$D$10:$D$1009,D396,$E$10:$E$1009,E396)&gt;1,"MÜKERRER?",IF(P396="","",IF(P396&gt;=$C$5,"İNCELE",IF(P396&lt;=-$C$5,"Düşük",""))))</f>
        <v/>
      </c>
      <c r="R396" s="16">
        <f>IF(AND(P396&lt;&gt;"",N(P396)&gt;=$C$5,COUNTIFS($B$10:B396,B396,$C$10:C396,C396,$D$10:D396,D396,$E$10:E396,E396)=1),(M396-N396)*E396*L396,0)</f>
        <v/>
      </c>
      <c r="S396" s="19">
        <f>IF(D396="",0,N(E396)*L396)</f>
        <v/>
      </c>
    </row>
    <row r="397">
      <c r="A397" s="11" t="n"/>
      <c r="B397" s="12" t="n"/>
      <c r="C397" s="12" t="n"/>
      <c r="D397" s="12" t="n"/>
      <c r="E397" s="13" t="n"/>
      <c r="F397" s="12" t="n"/>
      <c r="G397" s="14" t="n"/>
      <c r="H397" s="15" t="n"/>
      <c r="I397" s="16">
        <f>IF(G397="","",G397*(1-N(H397)))</f>
        <v/>
      </c>
      <c r="J397" s="16">
        <f>IF(I397="","",E397*I397)</f>
        <v/>
      </c>
      <c r="K397">
        <f>IF(D397="","",IFERROR(VLOOKUP(D397,'Ürün Eşleştirme'!$A$6:$D$505,2,FALSE),D397))</f>
        <v/>
      </c>
      <c r="L397" s="17">
        <f>IF(D397="","",IFERROR(VLOOKUP(D397,'Ürün Eşleştirme'!$A$6:$D$505,4,FALSE),1))</f>
        <v/>
      </c>
      <c r="M397" s="16">
        <f>IF(I397="","",I397/L397)</f>
        <v/>
      </c>
      <c r="N397" s="16">
        <f>IF(M397="","",IFERROR(AVERAGEIFS($M$10:$M$1009,$K$10:$K$1009,K397,$A$10:$A$1009,"&lt;"&amp;A397,$A$10:$A$1009,"&gt;="&amp;(A397-$C$6)),""))</f>
        <v/>
      </c>
      <c r="O397" s="16">
        <f>IF(M397="","",_xlfn.MINIFS($M$10:$M$1009,$K$10:$K$1009,K397,$A$10:$A$1009,"&lt;="&amp;A397,$A$10:$A$1009,"&gt;="&amp;(A397-$C$6)))</f>
        <v/>
      </c>
      <c r="P397" s="18">
        <f>IF(OR(N397="",N397=0),"",M397/N397-1)</f>
        <v/>
      </c>
      <c r="Q397">
        <f>IF(D397="","",IF(COUNTIFS($B$10:$B$1009,B397,$C$10:$C$1009,C397,$D$10:$D$1009,D397,$E$10:$E$1009,E397)&gt;1,"MÜKERRER?",IF(P397="","",IF(P397&gt;=$C$5,"İNCELE",IF(P397&lt;=-$C$5,"Düşük",""))))</f>
        <v/>
      </c>
      <c r="R397" s="16">
        <f>IF(AND(P397&lt;&gt;"",N(P397)&gt;=$C$5,COUNTIFS($B$10:B397,B397,$C$10:C397,C397,$D$10:D397,D397,$E$10:E397,E397)=1),(M397-N397)*E397*L397,0)</f>
        <v/>
      </c>
      <c r="S397" s="19">
        <f>IF(D397="",0,N(E397)*L397)</f>
        <v/>
      </c>
    </row>
    <row r="398">
      <c r="A398" s="11" t="n"/>
      <c r="B398" s="12" t="n"/>
      <c r="C398" s="12" t="n"/>
      <c r="D398" s="12" t="n"/>
      <c r="E398" s="13" t="n"/>
      <c r="F398" s="12" t="n"/>
      <c r="G398" s="14" t="n"/>
      <c r="H398" s="15" t="n"/>
      <c r="I398" s="16">
        <f>IF(G398="","",G398*(1-N(H398)))</f>
        <v/>
      </c>
      <c r="J398" s="16">
        <f>IF(I398="","",E398*I398)</f>
        <v/>
      </c>
      <c r="K398">
        <f>IF(D398="","",IFERROR(VLOOKUP(D398,'Ürün Eşleştirme'!$A$6:$D$505,2,FALSE),D398))</f>
        <v/>
      </c>
      <c r="L398" s="17">
        <f>IF(D398="","",IFERROR(VLOOKUP(D398,'Ürün Eşleştirme'!$A$6:$D$505,4,FALSE),1))</f>
        <v/>
      </c>
      <c r="M398" s="16">
        <f>IF(I398="","",I398/L398)</f>
        <v/>
      </c>
      <c r="N398" s="16">
        <f>IF(M398="","",IFERROR(AVERAGEIFS($M$10:$M$1009,$K$10:$K$1009,K398,$A$10:$A$1009,"&lt;"&amp;A398,$A$10:$A$1009,"&gt;="&amp;(A398-$C$6)),""))</f>
        <v/>
      </c>
      <c r="O398" s="16">
        <f>IF(M398="","",_xlfn.MINIFS($M$10:$M$1009,$K$10:$K$1009,K398,$A$10:$A$1009,"&lt;="&amp;A398,$A$10:$A$1009,"&gt;="&amp;(A398-$C$6)))</f>
        <v/>
      </c>
      <c r="P398" s="18">
        <f>IF(OR(N398="",N398=0),"",M398/N398-1)</f>
        <v/>
      </c>
      <c r="Q398">
        <f>IF(D398="","",IF(COUNTIFS($B$10:$B$1009,B398,$C$10:$C$1009,C398,$D$10:$D$1009,D398,$E$10:$E$1009,E398)&gt;1,"MÜKERRER?",IF(P398="","",IF(P398&gt;=$C$5,"İNCELE",IF(P398&lt;=-$C$5,"Düşük",""))))</f>
        <v/>
      </c>
      <c r="R398" s="16">
        <f>IF(AND(P398&lt;&gt;"",N(P398)&gt;=$C$5,COUNTIFS($B$10:B398,B398,$C$10:C398,C398,$D$10:D398,D398,$E$10:E398,E398)=1),(M398-N398)*E398*L398,0)</f>
        <v/>
      </c>
      <c r="S398" s="19">
        <f>IF(D398="",0,N(E398)*L398)</f>
        <v/>
      </c>
    </row>
    <row r="399">
      <c r="A399" s="11" t="n"/>
      <c r="B399" s="12" t="n"/>
      <c r="C399" s="12" t="n"/>
      <c r="D399" s="12" t="n"/>
      <c r="E399" s="13" t="n"/>
      <c r="F399" s="12" t="n"/>
      <c r="G399" s="14" t="n"/>
      <c r="H399" s="15" t="n"/>
      <c r="I399" s="16">
        <f>IF(G399="","",G399*(1-N(H399)))</f>
        <v/>
      </c>
      <c r="J399" s="16">
        <f>IF(I399="","",E399*I399)</f>
        <v/>
      </c>
      <c r="K399">
        <f>IF(D399="","",IFERROR(VLOOKUP(D399,'Ürün Eşleştirme'!$A$6:$D$505,2,FALSE),D399))</f>
        <v/>
      </c>
      <c r="L399" s="17">
        <f>IF(D399="","",IFERROR(VLOOKUP(D399,'Ürün Eşleştirme'!$A$6:$D$505,4,FALSE),1))</f>
        <v/>
      </c>
      <c r="M399" s="16">
        <f>IF(I399="","",I399/L399)</f>
        <v/>
      </c>
      <c r="N399" s="16">
        <f>IF(M399="","",IFERROR(AVERAGEIFS($M$10:$M$1009,$K$10:$K$1009,K399,$A$10:$A$1009,"&lt;"&amp;A399,$A$10:$A$1009,"&gt;="&amp;(A399-$C$6)),""))</f>
        <v/>
      </c>
      <c r="O399" s="16">
        <f>IF(M399="","",_xlfn.MINIFS($M$10:$M$1009,$K$10:$K$1009,K399,$A$10:$A$1009,"&lt;="&amp;A399,$A$10:$A$1009,"&gt;="&amp;(A399-$C$6)))</f>
        <v/>
      </c>
      <c r="P399" s="18">
        <f>IF(OR(N399="",N399=0),"",M399/N399-1)</f>
        <v/>
      </c>
      <c r="Q399">
        <f>IF(D399="","",IF(COUNTIFS($B$10:$B$1009,B399,$C$10:$C$1009,C399,$D$10:$D$1009,D399,$E$10:$E$1009,E399)&gt;1,"MÜKERRER?",IF(P399="","",IF(P399&gt;=$C$5,"İNCELE",IF(P399&lt;=-$C$5,"Düşük",""))))</f>
        <v/>
      </c>
      <c r="R399" s="16">
        <f>IF(AND(P399&lt;&gt;"",N(P399)&gt;=$C$5,COUNTIFS($B$10:B399,B399,$C$10:C399,C399,$D$10:D399,D399,$E$10:E399,E399)=1),(M399-N399)*E399*L399,0)</f>
        <v/>
      </c>
      <c r="S399" s="19">
        <f>IF(D399="",0,N(E399)*L399)</f>
        <v/>
      </c>
    </row>
    <row r="400">
      <c r="A400" s="11" t="n"/>
      <c r="B400" s="12" t="n"/>
      <c r="C400" s="12" t="n"/>
      <c r="D400" s="12" t="n"/>
      <c r="E400" s="13" t="n"/>
      <c r="F400" s="12" t="n"/>
      <c r="G400" s="14" t="n"/>
      <c r="H400" s="15" t="n"/>
      <c r="I400" s="16">
        <f>IF(G400="","",G400*(1-N(H400)))</f>
        <v/>
      </c>
      <c r="J400" s="16">
        <f>IF(I400="","",E400*I400)</f>
        <v/>
      </c>
      <c r="K400">
        <f>IF(D400="","",IFERROR(VLOOKUP(D400,'Ürün Eşleştirme'!$A$6:$D$505,2,FALSE),D400))</f>
        <v/>
      </c>
      <c r="L400" s="17">
        <f>IF(D400="","",IFERROR(VLOOKUP(D400,'Ürün Eşleştirme'!$A$6:$D$505,4,FALSE),1))</f>
        <v/>
      </c>
      <c r="M400" s="16">
        <f>IF(I400="","",I400/L400)</f>
        <v/>
      </c>
      <c r="N400" s="16">
        <f>IF(M400="","",IFERROR(AVERAGEIFS($M$10:$M$1009,$K$10:$K$1009,K400,$A$10:$A$1009,"&lt;"&amp;A400,$A$10:$A$1009,"&gt;="&amp;(A400-$C$6)),""))</f>
        <v/>
      </c>
      <c r="O400" s="16">
        <f>IF(M400="","",_xlfn.MINIFS($M$10:$M$1009,$K$10:$K$1009,K400,$A$10:$A$1009,"&lt;="&amp;A400,$A$10:$A$1009,"&gt;="&amp;(A400-$C$6)))</f>
        <v/>
      </c>
      <c r="P400" s="18">
        <f>IF(OR(N400="",N400=0),"",M400/N400-1)</f>
        <v/>
      </c>
      <c r="Q400">
        <f>IF(D400="","",IF(COUNTIFS($B$10:$B$1009,B400,$C$10:$C$1009,C400,$D$10:$D$1009,D400,$E$10:$E$1009,E400)&gt;1,"MÜKERRER?",IF(P400="","",IF(P400&gt;=$C$5,"İNCELE",IF(P400&lt;=-$C$5,"Düşük",""))))</f>
        <v/>
      </c>
      <c r="R400" s="16">
        <f>IF(AND(P400&lt;&gt;"",N(P400)&gt;=$C$5,COUNTIFS($B$10:B400,B400,$C$10:C400,C400,$D$10:D400,D400,$E$10:E400,E400)=1),(M400-N400)*E400*L400,0)</f>
        <v/>
      </c>
      <c r="S400" s="19">
        <f>IF(D400="",0,N(E400)*L400)</f>
        <v/>
      </c>
    </row>
    <row r="401">
      <c r="A401" s="11" t="n"/>
      <c r="B401" s="12" t="n"/>
      <c r="C401" s="12" t="n"/>
      <c r="D401" s="12" t="n"/>
      <c r="E401" s="13" t="n"/>
      <c r="F401" s="12" t="n"/>
      <c r="G401" s="14" t="n"/>
      <c r="H401" s="15" t="n"/>
      <c r="I401" s="16">
        <f>IF(G401="","",G401*(1-N(H401)))</f>
        <v/>
      </c>
      <c r="J401" s="16">
        <f>IF(I401="","",E401*I401)</f>
        <v/>
      </c>
      <c r="K401">
        <f>IF(D401="","",IFERROR(VLOOKUP(D401,'Ürün Eşleştirme'!$A$6:$D$505,2,FALSE),D401))</f>
        <v/>
      </c>
      <c r="L401" s="17">
        <f>IF(D401="","",IFERROR(VLOOKUP(D401,'Ürün Eşleştirme'!$A$6:$D$505,4,FALSE),1))</f>
        <v/>
      </c>
      <c r="M401" s="16">
        <f>IF(I401="","",I401/L401)</f>
        <v/>
      </c>
      <c r="N401" s="16">
        <f>IF(M401="","",IFERROR(AVERAGEIFS($M$10:$M$1009,$K$10:$K$1009,K401,$A$10:$A$1009,"&lt;"&amp;A401,$A$10:$A$1009,"&gt;="&amp;(A401-$C$6)),""))</f>
        <v/>
      </c>
      <c r="O401" s="16">
        <f>IF(M401="","",_xlfn.MINIFS($M$10:$M$1009,$K$10:$K$1009,K401,$A$10:$A$1009,"&lt;="&amp;A401,$A$10:$A$1009,"&gt;="&amp;(A401-$C$6)))</f>
        <v/>
      </c>
      <c r="P401" s="18">
        <f>IF(OR(N401="",N401=0),"",M401/N401-1)</f>
        <v/>
      </c>
      <c r="Q401">
        <f>IF(D401="","",IF(COUNTIFS($B$10:$B$1009,B401,$C$10:$C$1009,C401,$D$10:$D$1009,D401,$E$10:$E$1009,E401)&gt;1,"MÜKERRER?",IF(P401="","",IF(P401&gt;=$C$5,"İNCELE",IF(P401&lt;=-$C$5,"Düşük",""))))</f>
        <v/>
      </c>
      <c r="R401" s="16">
        <f>IF(AND(P401&lt;&gt;"",N(P401)&gt;=$C$5,COUNTIFS($B$10:B401,B401,$C$10:C401,C401,$D$10:D401,D401,$E$10:E401,E401)=1),(M401-N401)*E401*L401,0)</f>
        <v/>
      </c>
      <c r="S401" s="19">
        <f>IF(D401="",0,N(E401)*L401)</f>
        <v/>
      </c>
    </row>
    <row r="402">
      <c r="A402" s="11" t="n"/>
      <c r="B402" s="12" t="n"/>
      <c r="C402" s="12" t="n"/>
      <c r="D402" s="12" t="n"/>
      <c r="E402" s="13" t="n"/>
      <c r="F402" s="12" t="n"/>
      <c r="G402" s="14" t="n"/>
      <c r="H402" s="15" t="n"/>
      <c r="I402" s="16">
        <f>IF(G402="","",G402*(1-N(H402)))</f>
        <v/>
      </c>
      <c r="J402" s="16">
        <f>IF(I402="","",E402*I402)</f>
        <v/>
      </c>
      <c r="K402">
        <f>IF(D402="","",IFERROR(VLOOKUP(D402,'Ürün Eşleştirme'!$A$6:$D$505,2,FALSE),D402))</f>
        <v/>
      </c>
      <c r="L402" s="17">
        <f>IF(D402="","",IFERROR(VLOOKUP(D402,'Ürün Eşleştirme'!$A$6:$D$505,4,FALSE),1))</f>
        <v/>
      </c>
      <c r="M402" s="16">
        <f>IF(I402="","",I402/L402)</f>
        <v/>
      </c>
      <c r="N402" s="16">
        <f>IF(M402="","",IFERROR(AVERAGEIFS($M$10:$M$1009,$K$10:$K$1009,K402,$A$10:$A$1009,"&lt;"&amp;A402,$A$10:$A$1009,"&gt;="&amp;(A402-$C$6)),""))</f>
        <v/>
      </c>
      <c r="O402" s="16">
        <f>IF(M402="","",_xlfn.MINIFS($M$10:$M$1009,$K$10:$K$1009,K402,$A$10:$A$1009,"&lt;="&amp;A402,$A$10:$A$1009,"&gt;="&amp;(A402-$C$6)))</f>
        <v/>
      </c>
      <c r="P402" s="18">
        <f>IF(OR(N402="",N402=0),"",M402/N402-1)</f>
        <v/>
      </c>
      <c r="Q402">
        <f>IF(D402="","",IF(COUNTIFS($B$10:$B$1009,B402,$C$10:$C$1009,C402,$D$10:$D$1009,D402,$E$10:$E$1009,E402)&gt;1,"MÜKERRER?",IF(P402="","",IF(P402&gt;=$C$5,"İNCELE",IF(P402&lt;=-$C$5,"Düşük",""))))</f>
        <v/>
      </c>
      <c r="R402" s="16">
        <f>IF(AND(P402&lt;&gt;"",N(P402)&gt;=$C$5,COUNTIFS($B$10:B402,B402,$C$10:C402,C402,$D$10:D402,D402,$E$10:E402,E402)=1),(M402-N402)*E402*L402,0)</f>
        <v/>
      </c>
      <c r="S402" s="19">
        <f>IF(D402="",0,N(E402)*L402)</f>
        <v/>
      </c>
    </row>
    <row r="403">
      <c r="A403" s="11" t="n"/>
      <c r="B403" s="12" t="n"/>
      <c r="C403" s="12" t="n"/>
      <c r="D403" s="12" t="n"/>
      <c r="E403" s="13" t="n"/>
      <c r="F403" s="12" t="n"/>
      <c r="G403" s="14" t="n"/>
      <c r="H403" s="15" t="n"/>
      <c r="I403" s="16">
        <f>IF(G403="","",G403*(1-N(H403)))</f>
        <v/>
      </c>
      <c r="J403" s="16">
        <f>IF(I403="","",E403*I403)</f>
        <v/>
      </c>
      <c r="K403">
        <f>IF(D403="","",IFERROR(VLOOKUP(D403,'Ürün Eşleştirme'!$A$6:$D$505,2,FALSE),D403))</f>
        <v/>
      </c>
      <c r="L403" s="17">
        <f>IF(D403="","",IFERROR(VLOOKUP(D403,'Ürün Eşleştirme'!$A$6:$D$505,4,FALSE),1))</f>
        <v/>
      </c>
      <c r="M403" s="16">
        <f>IF(I403="","",I403/L403)</f>
        <v/>
      </c>
      <c r="N403" s="16">
        <f>IF(M403="","",IFERROR(AVERAGEIFS($M$10:$M$1009,$K$10:$K$1009,K403,$A$10:$A$1009,"&lt;"&amp;A403,$A$10:$A$1009,"&gt;="&amp;(A403-$C$6)),""))</f>
        <v/>
      </c>
      <c r="O403" s="16">
        <f>IF(M403="","",_xlfn.MINIFS($M$10:$M$1009,$K$10:$K$1009,K403,$A$10:$A$1009,"&lt;="&amp;A403,$A$10:$A$1009,"&gt;="&amp;(A403-$C$6)))</f>
        <v/>
      </c>
      <c r="P403" s="18">
        <f>IF(OR(N403="",N403=0),"",M403/N403-1)</f>
        <v/>
      </c>
      <c r="Q403">
        <f>IF(D403="","",IF(COUNTIFS($B$10:$B$1009,B403,$C$10:$C$1009,C403,$D$10:$D$1009,D403,$E$10:$E$1009,E403)&gt;1,"MÜKERRER?",IF(P403="","",IF(P403&gt;=$C$5,"İNCELE",IF(P403&lt;=-$C$5,"Düşük",""))))</f>
        <v/>
      </c>
      <c r="R403" s="16">
        <f>IF(AND(P403&lt;&gt;"",N(P403)&gt;=$C$5,COUNTIFS($B$10:B403,B403,$C$10:C403,C403,$D$10:D403,D403,$E$10:E403,E403)=1),(M403-N403)*E403*L403,0)</f>
        <v/>
      </c>
      <c r="S403" s="19">
        <f>IF(D403="",0,N(E403)*L403)</f>
        <v/>
      </c>
    </row>
    <row r="404">
      <c r="A404" s="11" t="n"/>
      <c r="B404" s="12" t="n"/>
      <c r="C404" s="12" t="n"/>
      <c r="D404" s="12" t="n"/>
      <c r="E404" s="13" t="n"/>
      <c r="F404" s="12" t="n"/>
      <c r="G404" s="14" t="n"/>
      <c r="H404" s="15" t="n"/>
      <c r="I404" s="16">
        <f>IF(G404="","",G404*(1-N(H404)))</f>
        <v/>
      </c>
      <c r="J404" s="16">
        <f>IF(I404="","",E404*I404)</f>
        <v/>
      </c>
      <c r="K404">
        <f>IF(D404="","",IFERROR(VLOOKUP(D404,'Ürün Eşleştirme'!$A$6:$D$505,2,FALSE),D404))</f>
        <v/>
      </c>
      <c r="L404" s="17">
        <f>IF(D404="","",IFERROR(VLOOKUP(D404,'Ürün Eşleştirme'!$A$6:$D$505,4,FALSE),1))</f>
        <v/>
      </c>
      <c r="M404" s="16">
        <f>IF(I404="","",I404/L404)</f>
        <v/>
      </c>
      <c r="N404" s="16">
        <f>IF(M404="","",IFERROR(AVERAGEIFS($M$10:$M$1009,$K$10:$K$1009,K404,$A$10:$A$1009,"&lt;"&amp;A404,$A$10:$A$1009,"&gt;="&amp;(A404-$C$6)),""))</f>
        <v/>
      </c>
      <c r="O404" s="16">
        <f>IF(M404="","",_xlfn.MINIFS($M$10:$M$1009,$K$10:$K$1009,K404,$A$10:$A$1009,"&lt;="&amp;A404,$A$10:$A$1009,"&gt;="&amp;(A404-$C$6)))</f>
        <v/>
      </c>
      <c r="P404" s="18">
        <f>IF(OR(N404="",N404=0),"",M404/N404-1)</f>
        <v/>
      </c>
      <c r="Q404">
        <f>IF(D404="","",IF(COUNTIFS($B$10:$B$1009,B404,$C$10:$C$1009,C404,$D$10:$D$1009,D404,$E$10:$E$1009,E404)&gt;1,"MÜKERRER?",IF(P404="","",IF(P404&gt;=$C$5,"İNCELE",IF(P404&lt;=-$C$5,"Düşük",""))))</f>
        <v/>
      </c>
      <c r="R404" s="16">
        <f>IF(AND(P404&lt;&gt;"",N(P404)&gt;=$C$5,COUNTIFS($B$10:B404,B404,$C$10:C404,C404,$D$10:D404,D404,$E$10:E404,E404)=1),(M404-N404)*E404*L404,0)</f>
        <v/>
      </c>
      <c r="S404" s="19">
        <f>IF(D404="",0,N(E404)*L404)</f>
        <v/>
      </c>
    </row>
    <row r="405">
      <c r="A405" s="11" t="n"/>
      <c r="B405" s="12" t="n"/>
      <c r="C405" s="12" t="n"/>
      <c r="D405" s="12" t="n"/>
      <c r="E405" s="13" t="n"/>
      <c r="F405" s="12" t="n"/>
      <c r="G405" s="14" t="n"/>
      <c r="H405" s="15" t="n"/>
      <c r="I405" s="16">
        <f>IF(G405="","",G405*(1-N(H405)))</f>
        <v/>
      </c>
      <c r="J405" s="16">
        <f>IF(I405="","",E405*I405)</f>
        <v/>
      </c>
      <c r="K405">
        <f>IF(D405="","",IFERROR(VLOOKUP(D405,'Ürün Eşleştirme'!$A$6:$D$505,2,FALSE),D405))</f>
        <v/>
      </c>
      <c r="L405" s="17">
        <f>IF(D405="","",IFERROR(VLOOKUP(D405,'Ürün Eşleştirme'!$A$6:$D$505,4,FALSE),1))</f>
        <v/>
      </c>
      <c r="M405" s="16">
        <f>IF(I405="","",I405/L405)</f>
        <v/>
      </c>
      <c r="N405" s="16">
        <f>IF(M405="","",IFERROR(AVERAGEIFS($M$10:$M$1009,$K$10:$K$1009,K405,$A$10:$A$1009,"&lt;"&amp;A405,$A$10:$A$1009,"&gt;="&amp;(A405-$C$6)),""))</f>
        <v/>
      </c>
      <c r="O405" s="16">
        <f>IF(M405="","",_xlfn.MINIFS($M$10:$M$1009,$K$10:$K$1009,K405,$A$10:$A$1009,"&lt;="&amp;A405,$A$10:$A$1009,"&gt;="&amp;(A405-$C$6)))</f>
        <v/>
      </c>
      <c r="P405" s="18">
        <f>IF(OR(N405="",N405=0),"",M405/N405-1)</f>
        <v/>
      </c>
      <c r="Q405">
        <f>IF(D405="","",IF(COUNTIFS($B$10:$B$1009,B405,$C$10:$C$1009,C405,$D$10:$D$1009,D405,$E$10:$E$1009,E405)&gt;1,"MÜKERRER?",IF(P405="","",IF(P405&gt;=$C$5,"İNCELE",IF(P405&lt;=-$C$5,"Düşük",""))))</f>
        <v/>
      </c>
      <c r="R405" s="16">
        <f>IF(AND(P405&lt;&gt;"",N(P405)&gt;=$C$5,COUNTIFS($B$10:B405,B405,$C$10:C405,C405,$D$10:D405,D405,$E$10:E405,E405)=1),(M405-N405)*E405*L405,0)</f>
        <v/>
      </c>
      <c r="S405" s="19">
        <f>IF(D405="",0,N(E405)*L405)</f>
        <v/>
      </c>
    </row>
    <row r="406">
      <c r="A406" s="11" t="n"/>
      <c r="B406" s="12" t="n"/>
      <c r="C406" s="12" t="n"/>
      <c r="D406" s="12" t="n"/>
      <c r="E406" s="13" t="n"/>
      <c r="F406" s="12" t="n"/>
      <c r="G406" s="14" t="n"/>
      <c r="H406" s="15" t="n"/>
      <c r="I406" s="16">
        <f>IF(G406="","",G406*(1-N(H406)))</f>
        <v/>
      </c>
      <c r="J406" s="16">
        <f>IF(I406="","",E406*I406)</f>
        <v/>
      </c>
      <c r="K406">
        <f>IF(D406="","",IFERROR(VLOOKUP(D406,'Ürün Eşleştirme'!$A$6:$D$505,2,FALSE),D406))</f>
        <v/>
      </c>
      <c r="L406" s="17">
        <f>IF(D406="","",IFERROR(VLOOKUP(D406,'Ürün Eşleştirme'!$A$6:$D$505,4,FALSE),1))</f>
        <v/>
      </c>
      <c r="M406" s="16">
        <f>IF(I406="","",I406/L406)</f>
        <v/>
      </c>
      <c r="N406" s="16">
        <f>IF(M406="","",IFERROR(AVERAGEIFS($M$10:$M$1009,$K$10:$K$1009,K406,$A$10:$A$1009,"&lt;"&amp;A406,$A$10:$A$1009,"&gt;="&amp;(A406-$C$6)),""))</f>
        <v/>
      </c>
      <c r="O406" s="16">
        <f>IF(M406="","",_xlfn.MINIFS($M$10:$M$1009,$K$10:$K$1009,K406,$A$10:$A$1009,"&lt;="&amp;A406,$A$10:$A$1009,"&gt;="&amp;(A406-$C$6)))</f>
        <v/>
      </c>
      <c r="P406" s="18">
        <f>IF(OR(N406="",N406=0),"",M406/N406-1)</f>
        <v/>
      </c>
      <c r="Q406">
        <f>IF(D406="","",IF(COUNTIFS($B$10:$B$1009,B406,$C$10:$C$1009,C406,$D$10:$D$1009,D406,$E$10:$E$1009,E406)&gt;1,"MÜKERRER?",IF(P406="","",IF(P406&gt;=$C$5,"İNCELE",IF(P406&lt;=-$C$5,"Düşük",""))))</f>
        <v/>
      </c>
      <c r="R406" s="16">
        <f>IF(AND(P406&lt;&gt;"",N(P406)&gt;=$C$5,COUNTIFS($B$10:B406,B406,$C$10:C406,C406,$D$10:D406,D406,$E$10:E406,E406)=1),(M406-N406)*E406*L406,0)</f>
        <v/>
      </c>
      <c r="S406" s="19">
        <f>IF(D406="",0,N(E406)*L406)</f>
        <v/>
      </c>
    </row>
    <row r="407">
      <c r="A407" s="11" t="n"/>
      <c r="B407" s="12" t="n"/>
      <c r="C407" s="12" t="n"/>
      <c r="D407" s="12" t="n"/>
      <c r="E407" s="13" t="n"/>
      <c r="F407" s="12" t="n"/>
      <c r="G407" s="14" t="n"/>
      <c r="H407" s="15" t="n"/>
      <c r="I407" s="16">
        <f>IF(G407="","",G407*(1-N(H407)))</f>
        <v/>
      </c>
      <c r="J407" s="16">
        <f>IF(I407="","",E407*I407)</f>
        <v/>
      </c>
      <c r="K407">
        <f>IF(D407="","",IFERROR(VLOOKUP(D407,'Ürün Eşleştirme'!$A$6:$D$505,2,FALSE),D407))</f>
        <v/>
      </c>
      <c r="L407" s="17">
        <f>IF(D407="","",IFERROR(VLOOKUP(D407,'Ürün Eşleştirme'!$A$6:$D$505,4,FALSE),1))</f>
        <v/>
      </c>
      <c r="M407" s="16">
        <f>IF(I407="","",I407/L407)</f>
        <v/>
      </c>
      <c r="N407" s="16">
        <f>IF(M407="","",IFERROR(AVERAGEIFS($M$10:$M$1009,$K$10:$K$1009,K407,$A$10:$A$1009,"&lt;"&amp;A407,$A$10:$A$1009,"&gt;="&amp;(A407-$C$6)),""))</f>
        <v/>
      </c>
      <c r="O407" s="16">
        <f>IF(M407="","",_xlfn.MINIFS($M$10:$M$1009,$K$10:$K$1009,K407,$A$10:$A$1009,"&lt;="&amp;A407,$A$10:$A$1009,"&gt;="&amp;(A407-$C$6)))</f>
        <v/>
      </c>
      <c r="P407" s="18">
        <f>IF(OR(N407="",N407=0),"",M407/N407-1)</f>
        <v/>
      </c>
      <c r="Q407">
        <f>IF(D407="","",IF(COUNTIFS($B$10:$B$1009,B407,$C$10:$C$1009,C407,$D$10:$D$1009,D407,$E$10:$E$1009,E407)&gt;1,"MÜKERRER?",IF(P407="","",IF(P407&gt;=$C$5,"İNCELE",IF(P407&lt;=-$C$5,"Düşük",""))))</f>
        <v/>
      </c>
      <c r="R407" s="16">
        <f>IF(AND(P407&lt;&gt;"",N(P407)&gt;=$C$5,COUNTIFS($B$10:B407,B407,$C$10:C407,C407,$D$10:D407,D407,$E$10:E407,E407)=1),(M407-N407)*E407*L407,0)</f>
        <v/>
      </c>
      <c r="S407" s="19">
        <f>IF(D407="",0,N(E407)*L407)</f>
        <v/>
      </c>
    </row>
    <row r="408">
      <c r="A408" s="11" t="n"/>
      <c r="B408" s="12" t="n"/>
      <c r="C408" s="12" t="n"/>
      <c r="D408" s="12" t="n"/>
      <c r="E408" s="13" t="n"/>
      <c r="F408" s="12" t="n"/>
      <c r="G408" s="14" t="n"/>
      <c r="H408" s="15" t="n"/>
      <c r="I408" s="16">
        <f>IF(G408="","",G408*(1-N(H408)))</f>
        <v/>
      </c>
      <c r="J408" s="16">
        <f>IF(I408="","",E408*I408)</f>
        <v/>
      </c>
      <c r="K408">
        <f>IF(D408="","",IFERROR(VLOOKUP(D408,'Ürün Eşleştirme'!$A$6:$D$505,2,FALSE),D408))</f>
        <v/>
      </c>
      <c r="L408" s="17">
        <f>IF(D408="","",IFERROR(VLOOKUP(D408,'Ürün Eşleştirme'!$A$6:$D$505,4,FALSE),1))</f>
        <v/>
      </c>
      <c r="M408" s="16">
        <f>IF(I408="","",I408/L408)</f>
        <v/>
      </c>
      <c r="N408" s="16">
        <f>IF(M408="","",IFERROR(AVERAGEIFS($M$10:$M$1009,$K$10:$K$1009,K408,$A$10:$A$1009,"&lt;"&amp;A408,$A$10:$A$1009,"&gt;="&amp;(A408-$C$6)),""))</f>
        <v/>
      </c>
      <c r="O408" s="16">
        <f>IF(M408="","",_xlfn.MINIFS($M$10:$M$1009,$K$10:$K$1009,K408,$A$10:$A$1009,"&lt;="&amp;A408,$A$10:$A$1009,"&gt;="&amp;(A408-$C$6)))</f>
        <v/>
      </c>
      <c r="P408" s="18">
        <f>IF(OR(N408="",N408=0),"",M408/N408-1)</f>
        <v/>
      </c>
      <c r="Q408">
        <f>IF(D408="","",IF(COUNTIFS($B$10:$B$1009,B408,$C$10:$C$1009,C408,$D$10:$D$1009,D408,$E$10:$E$1009,E408)&gt;1,"MÜKERRER?",IF(P408="","",IF(P408&gt;=$C$5,"İNCELE",IF(P408&lt;=-$C$5,"Düşük",""))))</f>
        <v/>
      </c>
      <c r="R408" s="16">
        <f>IF(AND(P408&lt;&gt;"",N(P408)&gt;=$C$5,COUNTIFS($B$10:B408,B408,$C$10:C408,C408,$D$10:D408,D408,$E$10:E408,E408)=1),(M408-N408)*E408*L408,0)</f>
        <v/>
      </c>
      <c r="S408" s="19">
        <f>IF(D408="",0,N(E408)*L408)</f>
        <v/>
      </c>
    </row>
    <row r="409">
      <c r="A409" s="11" t="n"/>
      <c r="B409" s="12" t="n"/>
      <c r="C409" s="12" t="n"/>
      <c r="D409" s="12" t="n"/>
      <c r="E409" s="13" t="n"/>
      <c r="F409" s="12" t="n"/>
      <c r="G409" s="14" t="n"/>
      <c r="H409" s="15" t="n"/>
      <c r="I409" s="16">
        <f>IF(G409="","",G409*(1-N(H409)))</f>
        <v/>
      </c>
      <c r="J409" s="16">
        <f>IF(I409="","",E409*I409)</f>
        <v/>
      </c>
      <c r="K409">
        <f>IF(D409="","",IFERROR(VLOOKUP(D409,'Ürün Eşleştirme'!$A$6:$D$505,2,FALSE),D409))</f>
        <v/>
      </c>
      <c r="L409" s="17">
        <f>IF(D409="","",IFERROR(VLOOKUP(D409,'Ürün Eşleştirme'!$A$6:$D$505,4,FALSE),1))</f>
        <v/>
      </c>
      <c r="M409" s="16">
        <f>IF(I409="","",I409/L409)</f>
        <v/>
      </c>
      <c r="N409" s="16">
        <f>IF(M409="","",IFERROR(AVERAGEIFS($M$10:$M$1009,$K$10:$K$1009,K409,$A$10:$A$1009,"&lt;"&amp;A409,$A$10:$A$1009,"&gt;="&amp;(A409-$C$6)),""))</f>
        <v/>
      </c>
      <c r="O409" s="16">
        <f>IF(M409="","",_xlfn.MINIFS($M$10:$M$1009,$K$10:$K$1009,K409,$A$10:$A$1009,"&lt;="&amp;A409,$A$10:$A$1009,"&gt;="&amp;(A409-$C$6)))</f>
        <v/>
      </c>
      <c r="P409" s="18">
        <f>IF(OR(N409="",N409=0),"",M409/N409-1)</f>
        <v/>
      </c>
      <c r="Q409">
        <f>IF(D409="","",IF(COUNTIFS($B$10:$B$1009,B409,$C$10:$C$1009,C409,$D$10:$D$1009,D409,$E$10:$E$1009,E409)&gt;1,"MÜKERRER?",IF(P409="","",IF(P409&gt;=$C$5,"İNCELE",IF(P409&lt;=-$C$5,"Düşük",""))))</f>
        <v/>
      </c>
      <c r="R409" s="16">
        <f>IF(AND(P409&lt;&gt;"",N(P409)&gt;=$C$5,COUNTIFS($B$10:B409,B409,$C$10:C409,C409,$D$10:D409,D409,$E$10:E409,E409)=1),(M409-N409)*E409*L409,0)</f>
        <v/>
      </c>
      <c r="S409" s="19">
        <f>IF(D409="",0,N(E409)*L409)</f>
        <v/>
      </c>
    </row>
    <row r="410">
      <c r="A410" s="11" t="n"/>
      <c r="B410" s="12" t="n"/>
      <c r="C410" s="12" t="n"/>
      <c r="D410" s="12" t="n"/>
      <c r="E410" s="13" t="n"/>
      <c r="F410" s="12" t="n"/>
      <c r="G410" s="14" t="n"/>
      <c r="H410" s="15" t="n"/>
      <c r="I410" s="16">
        <f>IF(G410="","",G410*(1-N(H410)))</f>
        <v/>
      </c>
      <c r="J410" s="16">
        <f>IF(I410="","",E410*I410)</f>
        <v/>
      </c>
      <c r="K410">
        <f>IF(D410="","",IFERROR(VLOOKUP(D410,'Ürün Eşleştirme'!$A$6:$D$505,2,FALSE),D410))</f>
        <v/>
      </c>
      <c r="L410" s="17">
        <f>IF(D410="","",IFERROR(VLOOKUP(D410,'Ürün Eşleştirme'!$A$6:$D$505,4,FALSE),1))</f>
        <v/>
      </c>
      <c r="M410" s="16">
        <f>IF(I410="","",I410/L410)</f>
        <v/>
      </c>
      <c r="N410" s="16">
        <f>IF(M410="","",IFERROR(AVERAGEIFS($M$10:$M$1009,$K$10:$K$1009,K410,$A$10:$A$1009,"&lt;"&amp;A410,$A$10:$A$1009,"&gt;="&amp;(A410-$C$6)),""))</f>
        <v/>
      </c>
      <c r="O410" s="16">
        <f>IF(M410="","",_xlfn.MINIFS($M$10:$M$1009,$K$10:$K$1009,K410,$A$10:$A$1009,"&lt;="&amp;A410,$A$10:$A$1009,"&gt;="&amp;(A410-$C$6)))</f>
        <v/>
      </c>
      <c r="P410" s="18">
        <f>IF(OR(N410="",N410=0),"",M410/N410-1)</f>
        <v/>
      </c>
      <c r="Q410">
        <f>IF(D410="","",IF(COUNTIFS($B$10:$B$1009,B410,$C$10:$C$1009,C410,$D$10:$D$1009,D410,$E$10:$E$1009,E410)&gt;1,"MÜKERRER?",IF(P410="","",IF(P410&gt;=$C$5,"İNCELE",IF(P410&lt;=-$C$5,"Düşük",""))))</f>
        <v/>
      </c>
      <c r="R410" s="16">
        <f>IF(AND(P410&lt;&gt;"",N(P410)&gt;=$C$5,COUNTIFS($B$10:B410,B410,$C$10:C410,C410,$D$10:D410,D410,$E$10:E410,E410)=1),(M410-N410)*E410*L410,0)</f>
        <v/>
      </c>
      <c r="S410" s="19">
        <f>IF(D410="",0,N(E410)*L410)</f>
        <v/>
      </c>
    </row>
    <row r="411">
      <c r="A411" s="11" t="n"/>
      <c r="B411" s="12" t="n"/>
      <c r="C411" s="12" t="n"/>
      <c r="D411" s="12" t="n"/>
      <c r="E411" s="13" t="n"/>
      <c r="F411" s="12" t="n"/>
      <c r="G411" s="14" t="n"/>
      <c r="H411" s="15" t="n"/>
      <c r="I411" s="16">
        <f>IF(G411="","",G411*(1-N(H411)))</f>
        <v/>
      </c>
      <c r="J411" s="16">
        <f>IF(I411="","",E411*I411)</f>
        <v/>
      </c>
      <c r="K411">
        <f>IF(D411="","",IFERROR(VLOOKUP(D411,'Ürün Eşleştirme'!$A$6:$D$505,2,FALSE),D411))</f>
        <v/>
      </c>
      <c r="L411" s="17">
        <f>IF(D411="","",IFERROR(VLOOKUP(D411,'Ürün Eşleştirme'!$A$6:$D$505,4,FALSE),1))</f>
        <v/>
      </c>
      <c r="M411" s="16">
        <f>IF(I411="","",I411/L411)</f>
        <v/>
      </c>
      <c r="N411" s="16">
        <f>IF(M411="","",IFERROR(AVERAGEIFS($M$10:$M$1009,$K$10:$K$1009,K411,$A$10:$A$1009,"&lt;"&amp;A411,$A$10:$A$1009,"&gt;="&amp;(A411-$C$6)),""))</f>
        <v/>
      </c>
      <c r="O411" s="16">
        <f>IF(M411="","",_xlfn.MINIFS($M$10:$M$1009,$K$10:$K$1009,K411,$A$10:$A$1009,"&lt;="&amp;A411,$A$10:$A$1009,"&gt;="&amp;(A411-$C$6)))</f>
        <v/>
      </c>
      <c r="P411" s="18">
        <f>IF(OR(N411="",N411=0),"",M411/N411-1)</f>
        <v/>
      </c>
      <c r="Q411">
        <f>IF(D411="","",IF(COUNTIFS($B$10:$B$1009,B411,$C$10:$C$1009,C411,$D$10:$D$1009,D411,$E$10:$E$1009,E411)&gt;1,"MÜKERRER?",IF(P411="","",IF(P411&gt;=$C$5,"İNCELE",IF(P411&lt;=-$C$5,"Düşük",""))))</f>
        <v/>
      </c>
      <c r="R411" s="16">
        <f>IF(AND(P411&lt;&gt;"",N(P411)&gt;=$C$5,COUNTIFS($B$10:B411,B411,$C$10:C411,C411,$D$10:D411,D411,$E$10:E411,E411)=1),(M411-N411)*E411*L411,0)</f>
        <v/>
      </c>
      <c r="S411" s="19">
        <f>IF(D411="",0,N(E411)*L411)</f>
        <v/>
      </c>
    </row>
    <row r="412">
      <c r="A412" s="11" t="n"/>
      <c r="B412" s="12" t="n"/>
      <c r="C412" s="12" t="n"/>
      <c r="D412" s="12" t="n"/>
      <c r="E412" s="13" t="n"/>
      <c r="F412" s="12" t="n"/>
      <c r="G412" s="14" t="n"/>
      <c r="H412" s="15" t="n"/>
      <c r="I412" s="16">
        <f>IF(G412="","",G412*(1-N(H412)))</f>
        <v/>
      </c>
      <c r="J412" s="16">
        <f>IF(I412="","",E412*I412)</f>
        <v/>
      </c>
      <c r="K412">
        <f>IF(D412="","",IFERROR(VLOOKUP(D412,'Ürün Eşleştirme'!$A$6:$D$505,2,FALSE),D412))</f>
        <v/>
      </c>
      <c r="L412" s="17">
        <f>IF(D412="","",IFERROR(VLOOKUP(D412,'Ürün Eşleştirme'!$A$6:$D$505,4,FALSE),1))</f>
        <v/>
      </c>
      <c r="M412" s="16">
        <f>IF(I412="","",I412/L412)</f>
        <v/>
      </c>
      <c r="N412" s="16">
        <f>IF(M412="","",IFERROR(AVERAGEIFS($M$10:$M$1009,$K$10:$K$1009,K412,$A$10:$A$1009,"&lt;"&amp;A412,$A$10:$A$1009,"&gt;="&amp;(A412-$C$6)),""))</f>
        <v/>
      </c>
      <c r="O412" s="16">
        <f>IF(M412="","",_xlfn.MINIFS($M$10:$M$1009,$K$10:$K$1009,K412,$A$10:$A$1009,"&lt;="&amp;A412,$A$10:$A$1009,"&gt;="&amp;(A412-$C$6)))</f>
        <v/>
      </c>
      <c r="P412" s="18">
        <f>IF(OR(N412="",N412=0),"",M412/N412-1)</f>
        <v/>
      </c>
      <c r="Q412">
        <f>IF(D412="","",IF(COUNTIFS($B$10:$B$1009,B412,$C$10:$C$1009,C412,$D$10:$D$1009,D412,$E$10:$E$1009,E412)&gt;1,"MÜKERRER?",IF(P412="","",IF(P412&gt;=$C$5,"İNCELE",IF(P412&lt;=-$C$5,"Düşük",""))))</f>
        <v/>
      </c>
      <c r="R412" s="16">
        <f>IF(AND(P412&lt;&gt;"",N(P412)&gt;=$C$5,COUNTIFS($B$10:B412,B412,$C$10:C412,C412,$D$10:D412,D412,$E$10:E412,E412)=1),(M412-N412)*E412*L412,0)</f>
        <v/>
      </c>
      <c r="S412" s="19">
        <f>IF(D412="",0,N(E412)*L412)</f>
        <v/>
      </c>
    </row>
    <row r="413">
      <c r="A413" s="11" t="n"/>
      <c r="B413" s="12" t="n"/>
      <c r="C413" s="12" t="n"/>
      <c r="D413" s="12" t="n"/>
      <c r="E413" s="13" t="n"/>
      <c r="F413" s="12" t="n"/>
      <c r="G413" s="14" t="n"/>
      <c r="H413" s="15" t="n"/>
      <c r="I413" s="16">
        <f>IF(G413="","",G413*(1-N(H413)))</f>
        <v/>
      </c>
      <c r="J413" s="16">
        <f>IF(I413="","",E413*I413)</f>
        <v/>
      </c>
      <c r="K413">
        <f>IF(D413="","",IFERROR(VLOOKUP(D413,'Ürün Eşleştirme'!$A$6:$D$505,2,FALSE),D413))</f>
        <v/>
      </c>
      <c r="L413" s="17">
        <f>IF(D413="","",IFERROR(VLOOKUP(D413,'Ürün Eşleştirme'!$A$6:$D$505,4,FALSE),1))</f>
        <v/>
      </c>
      <c r="M413" s="16">
        <f>IF(I413="","",I413/L413)</f>
        <v/>
      </c>
      <c r="N413" s="16">
        <f>IF(M413="","",IFERROR(AVERAGEIFS($M$10:$M$1009,$K$10:$K$1009,K413,$A$10:$A$1009,"&lt;"&amp;A413,$A$10:$A$1009,"&gt;="&amp;(A413-$C$6)),""))</f>
        <v/>
      </c>
      <c r="O413" s="16">
        <f>IF(M413="","",_xlfn.MINIFS($M$10:$M$1009,$K$10:$K$1009,K413,$A$10:$A$1009,"&lt;="&amp;A413,$A$10:$A$1009,"&gt;="&amp;(A413-$C$6)))</f>
        <v/>
      </c>
      <c r="P413" s="18">
        <f>IF(OR(N413="",N413=0),"",M413/N413-1)</f>
        <v/>
      </c>
      <c r="Q413">
        <f>IF(D413="","",IF(COUNTIFS($B$10:$B$1009,B413,$C$10:$C$1009,C413,$D$10:$D$1009,D413,$E$10:$E$1009,E413)&gt;1,"MÜKERRER?",IF(P413="","",IF(P413&gt;=$C$5,"İNCELE",IF(P413&lt;=-$C$5,"Düşük",""))))</f>
        <v/>
      </c>
      <c r="R413" s="16">
        <f>IF(AND(P413&lt;&gt;"",N(P413)&gt;=$C$5,COUNTIFS($B$10:B413,B413,$C$10:C413,C413,$D$10:D413,D413,$E$10:E413,E413)=1),(M413-N413)*E413*L413,0)</f>
        <v/>
      </c>
      <c r="S413" s="19">
        <f>IF(D413="",0,N(E413)*L413)</f>
        <v/>
      </c>
    </row>
    <row r="414">
      <c r="A414" s="11" t="n"/>
      <c r="B414" s="12" t="n"/>
      <c r="C414" s="12" t="n"/>
      <c r="D414" s="12" t="n"/>
      <c r="E414" s="13" t="n"/>
      <c r="F414" s="12" t="n"/>
      <c r="G414" s="14" t="n"/>
      <c r="H414" s="15" t="n"/>
      <c r="I414" s="16">
        <f>IF(G414="","",G414*(1-N(H414)))</f>
        <v/>
      </c>
      <c r="J414" s="16">
        <f>IF(I414="","",E414*I414)</f>
        <v/>
      </c>
      <c r="K414">
        <f>IF(D414="","",IFERROR(VLOOKUP(D414,'Ürün Eşleştirme'!$A$6:$D$505,2,FALSE),D414))</f>
        <v/>
      </c>
      <c r="L414" s="17">
        <f>IF(D414="","",IFERROR(VLOOKUP(D414,'Ürün Eşleştirme'!$A$6:$D$505,4,FALSE),1))</f>
        <v/>
      </c>
      <c r="M414" s="16">
        <f>IF(I414="","",I414/L414)</f>
        <v/>
      </c>
      <c r="N414" s="16">
        <f>IF(M414="","",IFERROR(AVERAGEIFS($M$10:$M$1009,$K$10:$K$1009,K414,$A$10:$A$1009,"&lt;"&amp;A414,$A$10:$A$1009,"&gt;="&amp;(A414-$C$6)),""))</f>
        <v/>
      </c>
      <c r="O414" s="16">
        <f>IF(M414="","",_xlfn.MINIFS($M$10:$M$1009,$K$10:$K$1009,K414,$A$10:$A$1009,"&lt;="&amp;A414,$A$10:$A$1009,"&gt;="&amp;(A414-$C$6)))</f>
        <v/>
      </c>
      <c r="P414" s="18">
        <f>IF(OR(N414="",N414=0),"",M414/N414-1)</f>
        <v/>
      </c>
      <c r="Q414">
        <f>IF(D414="","",IF(COUNTIFS($B$10:$B$1009,B414,$C$10:$C$1009,C414,$D$10:$D$1009,D414,$E$10:$E$1009,E414)&gt;1,"MÜKERRER?",IF(P414="","",IF(P414&gt;=$C$5,"İNCELE",IF(P414&lt;=-$C$5,"Düşük",""))))</f>
        <v/>
      </c>
      <c r="R414" s="16">
        <f>IF(AND(P414&lt;&gt;"",N(P414)&gt;=$C$5,COUNTIFS($B$10:B414,B414,$C$10:C414,C414,$D$10:D414,D414,$E$10:E414,E414)=1),(M414-N414)*E414*L414,0)</f>
        <v/>
      </c>
      <c r="S414" s="19">
        <f>IF(D414="",0,N(E414)*L414)</f>
        <v/>
      </c>
    </row>
    <row r="415">
      <c r="A415" s="11" t="n"/>
      <c r="B415" s="12" t="n"/>
      <c r="C415" s="12" t="n"/>
      <c r="D415" s="12" t="n"/>
      <c r="E415" s="13" t="n"/>
      <c r="F415" s="12" t="n"/>
      <c r="G415" s="14" t="n"/>
      <c r="H415" s="15" t="n"/>
      <c r="I415" s="16">
        <f>IF(G415="","",G415*(1-N(H415)))</f>
        <v/>
      </c>
      <c r="J415" s="16">
        <f>IF(I415="","",E415*I415)</f>
        <v/>
      </c>
      <c r="K415">
        <f>IF(D415="","",IFERROR(VLOOKUP(D415,'Ürün Eşleştirme'!$A$6:$D$505,2,FALSE),D415))</f>
        <v/>
      </c>
      <c r="L415" s="17">
        <f>IF(D415="","",IFERROR(VLOOKUP(D415,'Ürün Eşleştirme'!$A$6:$D$505,4,FALSE),1))</f>
        <v/>
      </c>
      <c r="M415" s="16">
        <f>IF(I415="","",I415/L415)</f>
        <v/>
      </c>
      <c r="N415" s="16">
        <f>IF(M415="","",IFERROR(AVERAGEIFS($M$10:$M$1009,$K$10:$K$1009,K415,$A$10:$A$1009,"&lt;"&amp;A415,$A$10:$A$1009,"&gt;="&amp;(A415-$C$6)),""))</f>
        <v/>
      </c>
      <c r="O415" s="16">
        <f>IF(M415="","",_xlfn.MINIFS($M$10:$M$1009,$K$10:$K$1009,K415,$A$10:$A$1009,"&lt;="&amp;A415,$A$10:$A$1009,"&gt;="&amp;(A415-$C$6)))</f>
        <v/>
      </c>
      <c r="P415" s="18">
        <f>IF(OR(N415="",N415=0),"",M415/N415-1)</f>
        <v/>
      </c>
      <c r="Q415">
        <f>IF(D415="","",IF(COUNTIFS($B$10:$B$1009,B415,$C$10:$C$1009,C415,$D$10:$D$1009,D415,$E$10:$E$1009,E415)&gt;1,"MÜKERRER?",IF(P415="","",IF(P415&gt;=$C$5,"İNCELE",IF(P415&lt;=-$C$5,"Düşük",""))))</f>
        <v/>
      </c>
      <c r="R415" s="16">
        <f>IF(AND(P415&lt;&gt;"",N(P415)&gt;=$C$5,COUNTIFS($B$10:B415,B415,$C$10:C415,C415,$D$10:D415,D415,$E$10:E415,E415)=1),(M415-N415)*E415*L415,0)</f>
        <v/>
      </c>
      <c r="S415" s="19">
        <f>IF(D415="",0,N(E415)*L415)</f>
        <v/>
      </c>
    </row>
    <row r="416">
      <c r="A416" s="11" t="n"/>
      <c r="B416" s="12" t="n"/>
      <c r="C416" s="12" t="n"/>
      <c r="D416" s="12" t="n"/>
      <c r="E416" s="13" t="n"/>
      <c r="F416" s="12" t="n"/>
      <c r="G416" s="14" t="n"/>
      <c r="H416" s="15" t="n"/>
      <c r="I416" s="16">
        <f>IF(G416="","",G416*(1-N(H416)))</f>
        <v/>
      </c>
      <c r="J416" s="16">
        <f>IF(I416="","",E416*I416)</f>
        <v/>
      </c>
      <c r="K416">
        <f>IF(D416="","",IFERROR(VLOOKUP(D416,'Ürün Eşleştirme'!$A$6:$D$505,2,FALSE),D416))</f>
        <v/>
      </c>
      <c r="L416" s="17">
        <f>IF(D416="","",IFERROR(VLOOKUP(D416,'Ürün Eşleştirme'!$A$6:$D$505,4,FALSE),1))</f>
        <v/>
      </c>
      <c r="M416" s="16">
        <f>IF(I416="","",I416/L416)</f>
        <v/>
      </c>
      <c r="N416" s="16">
        <f>IF(M416="","",IFERROR(AVERAGEIFS($M$10:$M$1009,$K$10:$K$1009,K416,$A$10:$A$1009,"&lt;"&amp;A416,$A$10:$A$1009,"&gt;="&amp;(A416-$C$6)),""))</f>
        <v/>
      </c>
      <c r="O416" s="16">
        <f>IF(M416="","",_xlfn.MINIFS($M$10:$M$1009,$K$10:$K$1009,K416,$A$10:$A$1009,"&lt;="&amp;A416,$A$10:$A$1009,"&gt;="&amp;(A416-$C$6)))</f>
        <v/>
      </c>
      <c r="P416" s="18">
        <f>IF(OR(N416="",N416=0),"",M416/N416-1)</f>
        <v/>
      </c>
      <c r="Q416">
        <f>IF(D416="","",IF(COUNTIFS($B$10:$B$1009,B416,$C$10:$C$1009,C416,$D$10:$D$1009,D416,$E$10:$E$1009,E416)&gt;1,"MÜKERRER?",IF(P416="","",IF(P416&gt;=$C$5,"İNCELE",IF(P416&lt;=-$C$5,"Düşük",""))))</f>
        <v/>
      </c>
      <c r="R416" s="16">
        <f>IF(AND(P416&lt;&gt;"",N(P416)&gt;=$C$5,COUNTIFS($B$10:B416,B416,$C$10:C416,C416,$D$10:D416,D416,$E$10:E416,E416)=1),(M416-N416)*E416*L416,0)</f>
        <v/>
      </c>
      <c r="S416" s="19">
        <f>IF(D416="",0,N(E416)*L416)</f>
        <v/>
      </c>
    </row>
    <row r="417">
      <c r="A417" s="11" t="n"/>
      <c r="B417" s="12" t="n"/>
      <c r="C417" s="12" t="n"/>
      <c r="D417" s="12" t="n"/>
      <c r="E417" s="13" t="n"/>
      <c r="F417" s="12" t="n"/>
      <c r="G417" s="14" t="n"/>
      <c r="H417" s="15" t="n"/>
      <c r="I417" s="16">
        <f>IF(G417="","",G417*(1-N(H417)))</f>
        <v/>
      </c>
      <c r="J417" s="16">
        <f>IF(I417="","",E417*I417)</f>
        <v/>
      </c>
      <c r="K417">
        <f>IF(D417="","",IFERROR(VLOOKUP(D417,'Ürün Eşleştirme'!$A$6:$D$505,2,FALSE),D417))</f>
        <v/>
      </c>
      <c r="L417" s="17">
        <f>IF(D417="","",IFERROR(VLOOKUP(D417,'Ürün Eşleştirme'!$A$6:$D$505,4,FALSE),1))</f>
        <v/>
      </c>
      <c r="M417" s="16">
        <f>IF(I417="","",I417/L417)</f>
        <v/>
      </c>
      <c r="N417" s="16">
        <f>IF(M417="","",IFERROR(AVERAGEIFS($M$10:$M$1009,$K$10:$K$1009,K417,$A$10:$A$1009,"&lt;"&amp;A417,$A$10:$A$1009,"&gt;="&amp;(A417-$C$6)),""))</f>
        <v/>
      </c>
      <c r="O417" s="16">
        <f>IF(M417="","",_xlfn.MINIFS($M$10:$M$1009,$K$10:$K$1009,K417,$A$10:$A$1009,"&lt;="&amp;A417,$A$10:$A$1009,"&gt;="&amp;(A417-$C$6)))</f>
        <v/>
      </c>
      <c r="P417" s="18">
        <f>IF(OR(N417="",N417=0),"",M417/N417-1)</f>
        <v/>
      </c>
      <c r="Q417">
        <f>IF(D417="","",IF(COUNTIFS($B$10:$B$1009,B417,$C$10:$C$1009,C417,$D$10:$D$1009,D417,$E$10:$E$1009,E417)&gt;1,"MÜKERRER?",IF(P417="","",IF(P417&gt;=$C$5,"İNCELE",IF(P417&lt;=-$C$5,"Düşük",""))))</f>
        <v/>
      </c>
      <c r="R417" s="16">
        <f>IF(AND(P417&lt;&gt;"",N(P417)&gt;=$C$5,COUNTIFS($B$10:B417,B417,$C$10:C417,C417,$D$10:D417,D417,$E$10:E417,E417)=1),(M417-N417)*E417*L417,0)</f>
        <v/>
      </c>
      <c r="S417" s="19">
        <f>IF(D417="",0,N(E417)*L417)</f>
        <v/>
      </c>
    </row>
    <row r="418">
      <c r="A418" s="11" t="n"/>
      <c r="B418" s="12" t="n"/>
      <c r="C418" s="12" t="n"/>
      <c r="D418" s="12" t="n"/>
      <c r="E418" s="13" t="n"/>
      <c r="F418" s="12" t="n"/>
      <c r="G418" s="14" t="n"/>
      <c r="H418" s="15" t="n"/>
      <c r="I418" s="16">
        <f>IF(G418="","",G418*(1-N(H418)))</f>
        <v/>
      </c>
      <c r="J418" s="16">
        <f>IF(I418="","",E418*I418)</f>
        <v/>
      </c>
      <c r="K418">
        <f>IF(D418="","",IFERROR(VLOOKUP(D418,'Ürün Eşleştirme'!$A$6:$D$505,2,FALSE),D418))</f>
        <v/>
      </c>
      <c r="L418" s="17">
        <f>IF(D418="","",IFERROR(VLOOKUP(D418,'Ürün Eşleştirme'!$A$6:$D$505,4,FALSE),1))</f>
        <v/>
      </c>
      <c r="M418" s="16">
        <f>IF(I418="","",I418/L418)</f>
        <v/>
      </c>
      <c r="N418" s="16">
        <f>IF(M418="","",IFERROR(AVERAGEIFS($M$10:$M$1009,$K$10:$K$1009,K418,$A$10:$A$1009,"&lt;"&amp;A418,$A$10:$A$1009,"&gt;="&amp;(A418-$C$6)),""))</f>
        <v/>
      </c>
      <c r="O418" s="16">
        <f>IF(M418="","",_xlfn.MINIFS($M$10:$M$1009,$K$10:$K$1009,K418,$A$10:$A$1009,"&lt;="&amp;A418,$A$10:$A$1009,"&gt;="&amp;(A418-$C$6)))</f>
        <v/>
      </c>
      <c r="P418" s="18">
        <f>IF(OR(N418="",N418=0),"",M418/N418-1)</f>
        <v/>
      </c>
      <c r="Q418">
        <f>IF(D418="","",IF(COUNTIFS($B$10:$B$1009,B418,$C$10:$C$1009,C418,$D$10:$D$1009,D418,$E$10:$E$1009,E418)&gt;1,"MÜKERRER?",IF(P418="","",IF(P418&gt;=$C$5,"İNCELE",IF(P418&lt;=-$C$5,"Düşük",""))))</f>
        <v/>
      </c>
      <c r="R418" s="16">
        <f>IF(AND(P418&lt;&gt;"",N(P418)&gt;=$C$5,COUNTIFS($B$10:B418,B418,$C$10:C418,C418,$D$10:D418,D418,$E$10:E418,E418)=1),(M418-N418)*E418*L418,0)</f>
        <v/>
      </c>
      <c r="S418" s="19">
        <f>IF(D418="",0,N(E418)*L418)</f>
        <v/>
      </c>
    </row>
    <row r="419">
      <c r="A419" s="11" t="n"/>
      <c r="B419" s="12" t="n"/>
      <c r="C419" s="12" t="n"/>
      <c r="D419" s="12" t="n"/>
      <c r="E419" s="13" t="n"/>
      <c r="F419" s="12" t="n"/>
      <c r="G419" s="14" t="n"/>
      <c r="H419" s="15" t="n"/>
      <c r="I419" s="16">
        <f>IF(G419="","",G419*(1-N(H419)))</f>
        <v/>
      </c>
      <c r="J419" s="16">
        <f>IF(I419="","",E419*I419)</f>
        <v/>
      </c>
      <c r="K419">
        <f>IF(D419="","",IFERROR(VLOOKUP(D419,'Ürün Eşleştirme'!$A$6:$D$505,2,FALSE),D419))</f>
        <v/>
      </c>
      <c r="L419" s="17">
        <f>IF(D419="","",IFERROR(VLOOKUP(D419,'Ürün Eşleştirme'!$A$6:$D$505,4,FALSE),1))</f>
        <v/>
      </c>
      <c r="M419" s="16">
        <f>IF(I419="","",I419/L419)</f>
        <v/>
      </c>
      <c r="N419" s="16">
        <f>IF(M419="","",IFERROR(AVERAGEIFS($M$10:$M$1009,$K$10:$K$1009,K419,$A$10:$A$1009,"&lt;"&amp;A419,$A$10:$A$1009,"&gt;="&amp;(A419-$C$6)),""))</f>
        <v/>
      </c>
      <c r="O419" s="16">
        <f>IF(M419="","",_xlfn.MINIFS($M$10:$M$1009,$K$10:$K$1009,K419,$A$10:$A$1009,"&lt;="&amp;A419,$A$10:$A$1009,"&gt;="&amp;(A419-$C$6)))</f>
        <v/>
      </c>
      <c r="P419" s="18">
        <f>IF(OR(N419="",N419=0),"",M419/N419-1)</f>
        <v/>
      </c>
      <c r="Q419">
        <f>IF(D419="","",IF(COUNTIFS($B$10:$B$1009,B419,$C$10:$C$1009,C419,$D$10:$D$1009,D419,$E$10:$E$1009,E419)&gt;1,"MÜKERRER?",IF(P419="","",IF(P419&gt;=$C$5,"İNCELE",IF(P419&lt;=-$C$5,"Düşük",""))))</f>
        <v/>
      </c>
      <c r="R419" s="16">
        <f>IF(AND(P419&lt;&gt;"",N(P419)&gt;=$C$5,COUNTIFS($B$10:B419,B419,$C$10:C419,C419,$D$10:D419,D419,$E$10:E419,E419)=1),(M419-N419)*E419*L419,0)</f>
        <v/>
      </c>
      <c r="S419" s="19">
        <f>IF(D419="",0,N(E419)*L419)</f>
        <v/>
      </c>
    </row>
    <row r="420">
      <c r="A420" s="11" t="n"/>
      <c r="B420" s="12" t="n"/>
      <c r="C420" s="12" t="n"/>
      <c r="D420" s="12" t="n"/>
      <c r="E420" s="13" t="n"/>
      <c r="F420" s="12" t="n"/>
      <c r="G420" s="14" t="n"/>
      <c r="H420" s="15" t="n"/>
      <c r="I420" s="16">
        <f>IF(G420="","",G420*(1-N(H420)))</f>
        <v/>
      </c>
      <c r="J420" s="16">
        <f>IF(I420="","",E420*I420)</f>
        <v/>
      </c>
      <c r="K420">
        <f>IF(D420="","",IFERROR(VLOOKUP(D420,'Ürün Eşleştirme'!$A$6:$D$505,2,FALSE),D420))</f>
        <v/>
      </c>
      <c r="L420" s="17">
        <f>IF(D420="","",IFERROR(VLOOKUP(D420,'Ürün Eşleştirme'!$A$6:$D$505,4,FALSE),1))</f>
        <v/>
      </c>
      <c r="M420" s="16">
        <f>IF(I420="","",I420/L420)</f>
        <v/>
      </c>
      <c r="N420" s="16">
        <f>IF(M420="","",IFERROR(AVERAGEIFS($M$10:$M$1009,$K$10:$K$1009,K420,$A$10:$A$1009,"&lt;"&amp;A420,$A$10:$A$1009,"&gt;="&amp;(A420-$C$6)),""))</f>
        <v/>
      </c>
      <c r="O420" s="16">
        <f>IF(M420="","",_xlfn.MINIFS($M$10:$M$1009,$K$10:$K$1009,K420,$A$10:$A$1009,"&lt;="&amp;A420,$A$10:$A$1009,"&gt;="&amp;(A420-$C$6)))</f>
        <v/>
      </c>
      <c r="P420" s="18">
        <f>IF(OR(N420="",N420=0),"",M420/N420-1)</f>
        <v/>
      </c>
      <c r="Q420">
        <f>IF(D420="","",IF(COUNTIFS($B$10:$B$1009,B420,$C$10:$C$1009,C420,$D$10:$D$1009,D420,$E$10:$E$1009,E420)&gt;1,"MÜKERRER?",IF(P420="","",IF(P420&gt;=$C$5,"İNCELE",IF(P420&lt;=-$C$5,"Düşük",""))))</f>
        <v/>
      </c>
      <c r="R420" s="16">
        <f>IF(AND(P420&lt;&gt;"",N(P420)&gt;=$C$5,COUNTIFS($B$10:B420,B420,$C$10:C420,C420,$D$10:D420,D420,$E$10:E420,E420)=1),(M420-N420)*E420*L420,0)</f>
        <v/>
      </c>
      <c r="S420" s="19">
        <f>IF(D420="",0,N(E420)*L420)</f>
        <v/>
      </c>
    </row>
    <row r="421">
      <c r="A421" s="11" t="n"/>
      <c r="B421" s="12" t="n"/>
      <c r="C421" s="12" t="n"/>
      <c r="D421" s="12" t="n"/>
      <c r="E421" s="13" t="n"/>
      <c r="F421" s="12" t="n"/>
      <c r="G421" s="14" t="n"/>
      <c r="H421" s="15" t="n"/>
      <c r="I421" s="16">
        <f>IF(G421="","",G421*(1-N(H421)))</f>
        <v/>
      </c>
      <c r="J421" s="16">
        <f>IF(I421="","",E421*I421)</f>
        <v/>
      </c>
      <c r="K421">
        <f>IF(D421="","",IFERROR(VLOOKUP(D421,'Ürün Eşleştirme'!$A$6:$D$505,2,FALSE),D421))</f>
        <v/>
      </c>
      <c r="L421" s="17">
        <f>IF(D421="","",IFERROR(VLOOKUP(D421,'Ürün Eşleştirme'!$A$6:$D$505,4,FALSE),1))</f>
        <v/>
      </c>
      <c r="M421" s="16">
        <f>IF(I421="","",I421/L421)</f>
        <v/>
      </c>
      <c r="N421" s="16">
        <f>IF(M421="","",IFERROR(AVERAGEIFS($M$10:$M$1009,$K$10:$K$1009,K421,$A$10:$A$1009,"&lt;"&amp;A421,$A$10:$A$1009,"&gt;="&amp;(A421-$C$6)),""))</f>
        <v/>
      </c>
      <c r="O421" s="16">
        <f>IF(M421="","",_xlfn.MINIFS($M$10:$M$1009,$K$10:$K$1009,K421,$A$10:$A$1009,"&lt;="&amp;A421,$A$10:$A$1009,"&gt;="&amp;(A421-$C$6)))</f>
        <v/>
      </c>
      <c r="P421" s="18">
        <f>IF(OR(N421="",N421=0),"",M421/N421-1)</f>
        <v/>
      </c>
      <c r="Q421">
        <f>IF(D421="","",IF(COUNTIFS($B$10:$B$1009,B421,$C$10:$C$1009,C421,$D$10:$D$1009,D421,$E$10:$E$1009,E421)&gt;1,"MÜKERRER?",IF(P421="","",IF(P421&gt;=$C$5,"İNCELE",IF(P421&lt;=-$C$5,"Düşük",""))))</f>
        <v/>
      </c>
      <c r="R421" s="16">
        <f>IF(AND(P421&lt;&gt;"",N(P421)&gt;=$C$5,COUNTIFS($B$10:B421,B421,$C$10:C421,C421,$D$10:D421,D421,$E$10:E421,E421)=1),(M421-N421)*E421*L421,0)</f>
        <v/>
      </c>
      <c r="S421" s="19">
        <f>IF(D421="",0,N(E421)*L421)</f>
        <v/>
      </c>
    </row>
    <row r="422">
      <c r="A422" s="11" t="n"/>
      <c r="B422" s="12" t="n"/>
      <c r="C422" s="12" t="n"/>
      <c r="D422" s="12" t="n"/>
      <c r="E422" s="13" t="n"/>
      <c r="F422" s="12" t="n"/>
      <c r="G422" s="14" t="n"/>
      <c r="H422" s="15" t="n"/>
      <c r="I422" s="16">
        <f>IF(G422="","",G422*(1-N(H422)))</f>
        <v/>
      </c>
      <c r="J422" s="16">
        <f>IF(I422="","",E422*I422)</f>
        <v/>
      </c>
      <c r="K422">
        <f>IF(D422="","",IFERROR(VLOOKUP(D422,'Ürün Eşleştirme'!$A$6:$D$505,2,FALSE),D422))</f>
        <v/>
      </c>
      <c r="L422" s="17">
        <f>IF(D422="","",IFERROR(VLOOKUP(D422,'Ürün Eşleştirme'!$A$6:$D$505,4,FALSE),1))</f>
        <v/>
      </c>
      <c r="M422" s="16">
        <f>IF(I422="","",I422/L422)</f>
        <v/>
      </c>
      <c r="N422" s="16">
        <f>IF(M422="","",IFERROR(AVERAGEIFS($M$10:$M$1009,$K$10:$K$1009,K422,$A$10:$A$1009,"&lt;"&amp;A422,$A$10:$A$1009,"&gt;="&amp;(A422-$C$6)),""))</f>
        <v/>
      </c>
      <c r="O422" s="16">
        <f>IF(M422="","",_xlfn.MINIFS($M$10:$M$1009,$K$10:$K$1009,K422,$A$10:$A$1009,"&lt;="&amp;A422,$A$10:$A$1009,"&gt;="&amp;(A422-$C$6)))</f>
        <v/>
      </c>
      <c r="P422" s="18">
        <f>IF(OR(N422="",N422=0),"",M422/N422-1)</f>
        <v/>
      </c>
      <c r="Q422">
        <f>IF(D422="","",IF(COUNTIFS($B$10:$B$1009,B422,$C$10:$C$1009,C422,$D$10:$D$1009,D422,$E$10:$E$1009,E422)&gt;1,"MÜKERRER?",IF(P422="","",IF(P422&gt;=$C$5,"İNCELE",IF(P422&lt;=-$C$5,"Düşük",""))))</f>
        <v/>
      </c>
      <c r="R422" s="16">
        <f>IF(AND(P422&lt;&gt;"",N(P422)&gt;=$C$5,COUNTIFS($B$10:B422,B422,$C$10:C422,C422,$D$10:D422,D422,$E$10:E422,E422)=1),(M422-N422)*E422*L422,0)</f>
        <v/>
      </c>
      <c r="S422" s="19">
        <f>IF(D422="",0,N(E422)*L422)</f>
        <v/>
      </c>
    </row>
    <row r="423">
      <c r="A423" s="11" t="n"/>
      <c r="B423" s="12" t="n"/>
      <c r="C423" s="12" t="n"/>
      <c r="D423" s="12" t="n"/>
      <c r="E423" s="13" t="n"/>
      <c r="F423" s="12" t="n"/>
      <c r="G423" s="14" t="n"/>
      <c r="H423" s="15" t="n"/>
      <c r="I423" s="16">
        <f>IF(G423="","",G423*(1-N(H423)))</f>
        <v/>
      </c>
      <c r="J423" s="16">
        <f>IF(I423="","",E423*I423)</f>
        <v/>
      </c>
      <c r="K423">
        <f>IF(D423="","",IFERROR(VLOOKUP(D423,'Ürün Eşleştirme'!$A$6:$D$505,2,FALSE),D423))</f>
        <v/>
      </c>
      <c r="L423" s="17">
        <f>IF(D423="","",IFERROR(VLOOKUP(D423,'Ürün Eşleştirme'!$A$6:$D$505,4,FALSE),1))</f>
        <v/>
      </c>
      <c r="M423" s="16">
        <f>IF(I423="","",I423/L423)</f>
        <v/>
      </c>
      <c r="N423" s="16">
        <f>IF(M423="","",IFERROR(AVERAGEIFS($M$10:$M$1009,$K$10:$K$1009,K423,$A$10:$A$1009,"&lt;"&amp;A423,$A$10:$A$1009,"&gt;="&amp;(A423-$C$6)),""))</f>
        <v/>
      </c>
      <c r="O423" s="16">
        <f>IF(M423="","",_xlfn.MINIFS($M$10:$M$1009,$K$10:$K$1009,K423,$A$10:$A$1009,"&lt;="&amp;A423,$A$10:$A$1009,"&gt;="&amp;(A423-$C$6)))</f>
        <v/>
      </c>
      <c r="P423" s="18">
        <f>IF(OR(N423="",N423=0),"",M423/N423-1)</f>
        <v/>
      </c>
      <c r="Q423">
        <f>IF(D423="","",IF(COUNTIFS($B$10:$B$1009,B423,$C$10:$C$1009,C423,$D$10:$D$1009,D423,$E$10:$E$1009,E423)&gt;1,"MÜKERRER?",IF(P423="","",IF(P423&gt;=$C$5,"İNCELE",IF(P423&lt;=-$C$5,"Düşük",""))))</f>
        <v/>
      </c>
      <c r="R423" s="16">
        <f>IF(AND(P423&lt;&gt;"",N(P423)&gt;=$C$5,COUNTIFS($B$10:B423,B423,$C$10:C423,C423,$D$10:D423,D423,$E$10:E423,E423)=1),(M423-N423)*E423*L423,0)</f>
        <v/>
      </c>
      <c r="S423" s="19">
        <f>IF(D423="",0,N(E423)*L423)</f>
        <v/>
      </c>
    </row>
    <row r="424">
      <c r="A424" s="11" t="n"/>
      <c r="B424" s="12" t="n"/>
      <c r="C424" s="12" t="n"/>
      <c r="D424" s="12" t="n"/>
      <c r="E424" s="13" t="n"/>
      <c r="F424" s="12" t="n"/>
      <c r="G424" s="14" t="n"/>
      <c r="H424" s="15" t="n"/>
      <c r="I424" s="16">
        <f>IF(G424="","",G424*(1-N(H424)))</f>
        <v/>
      </c>
      <c r="J424" s="16">
        <f>IF(I424="","",E424*I424)</f>
        <v/>
      </c>
      <c r="K424">
        <f>IF(D424="","",IFERROR(VLOOKUP(D424,'Ürün Eşleştirme'!$A$6:$D$505,2,FALSE),D424))</f>
        <v/>
      </c>
      <c r="L424" s="17">
        <f>IF(D424="","",IFERROR(VLOOKUP(D424,'Ürün Eşleştirme'!$A$6:$D$505,4,FALSE),1))</f>
        <v/>
      </c>
      <c r="M424" s="16">
        <f>IF(I424="","",I424/L424)</f>
        <v/>
      </c>
      <c r="N424" s="16">
        <f>IF(M424="","",IFERROR(AVERAGEIFS($M$10:$M$1009,$K$10:$K$1009,K424,$A$10:$A$1009,"&lt;"&amp;A424,$A$10:$A$1009,"&gt;="&amp;(A424-$C$6)),""))</f>
        <v/>
      </c>
      <c r="O424" s="16">
        <f>IF(M424="","",_xlfn.MINIFS($M$10:$M$1009,$K$10:$K$1009,K424,$A$10:$A$1009,"&lt;="&amp;A424,$A$10:$A$1009,"&gt;="&amp;(A424-$C$6)))</f>
        <v/>
      </c>
      <c r="P424" s="18">
        <f>IF(OR(N424="",N424=0),"",M424/N424-1)</f>
        <v/>
      </c>
      <c r="Q424">
        <f>IF(D424="","",IF(COUNTIFS($B$10:$B$1009,B424,$C$10:$C$1009,C424,$D$10:$D$1009,D424,$E$10:$E$1009,E424)&gt;1,"MÜKERRER?",IF(P424="","",IF(P424&gt;=$C$5,"İNCELE",IF(P424&lt;=-$C$5,"Düşük",""))))</f>
        <v/>
      </c>
      <c r="R424" s="16">
        <f>IF(AND(P424&lt;&gt;"",N(P424)&gt;=$C$5,COUNTIFS($B$10:B424,B424,$C$10:C424,C424,$D$10:D424,D424,$E$10:E424,E424)=1),(M424-N424)*E424*L424,0)</f>
        <v/>
      </c>
      <c r="S424" s="19">
        <f>IF(D424="",0,N(E424)*L424)</f>
        <v/>
      </c>
    </row>
    <row r="425">
      <c r="A425" s="11" t="n"/>
      <c r="B425" s="12" t="n"/>
      <c r="C425" s="12" t="n"/>
      <c r="D425" s="12" t="n"/>
      <c r="E425" s="13" t="n"/>
      <c r="F425" s="12" t="n"/>
      <c r="G425" s="14" t="n"/>
      <c r="H425" s="15" t="n"/>
      <c r="I425" s="16">
        <f>IF(G425="","",G425*(1-N(H425)))</f>
        <v/>
      </c>
      <c r="J425" s="16">
        <f>IF(I425="","",E425*I425)</f>
        <v/>
      </c>
      <c r="K425">
        <f>IF(D425="","",IFERROR(VLOOKUP(D425,'Ürün Eşleştirme'!$A$6:$D$505,2,FALSE),D425))</f>
        <v/>
      </c>
      <c r="L425" s="17">
        <f>IF(D425="","",IFERROR(VLOOKUP(D425,'Ürün Eşleştirme'!$A$6:$D$505,4,FALSE),1))</f>
        <v/>
      </c>
      <c r="M425" s="16">
        <f>IF(I425="","",I425/L425)</f>
        <v/>
      </c>
      <c r="N425" s="16">
        <f>IF(M425="","",IFERROR(AVERAGEIFS($M$10:$M$1009,$K$10:$K$1009,K425,$A$10:$A$1009,"&lt;"&amp;A425,$A$10:$A$1009,"&gt;="&amp;(A425-$C$6)),""))</f>
        <v/>
      </c>
      <c r="O425" s="16">
        <f>IF(M425="","",_xlfn.MINIFS($M$10:$M$1009,$K$10:$K$1009,K425,$A$10:$A$1009,"&lt;="&amp;A425,$A$10:$A$1009,"&gt;="&amp;(A425-$C$6)))</f>
        <v/>
      </c>
      <c r="P425" s="18">
        <f>IF(OR(N425="",N425=0),"",M425/N425-1)</f>
        <v/>
      </c>
      <c r="Q425">
        <f>IF(D425="","",IF(COUNTIFS($B$10:$B$1009,B425,$C$10:$C$1009,C425,$D$10:$D$1009,D425,$E$10:$E$1009,E425)&gt;1,"MÜKERRER?",IF(P425="","",IF(P425&gt;=$C$5,"İNCELE",IF(P425&lt;=-$C$5,"Düşük",""))))</f>
        <v/>
      </c>
      <c r="R425" s="16">
        <f>IF(AND(P425&lt;&gt;"",N(P425)&gt;=$C$5,COUNTIFS($B$10:B425,B425,$C$10:C425,C425,$D$10:D425,D425,$E$10:E425,E425)=1),(M425-N425)*E425*L425,0)</f>
        <v/>
      </c>
      <c r="S425" s="19">
        <f>IF(D425="",0,N(E425)*L425)</f>
        <v/>
      </c>
    </row>
    <row r="426">
      <c r="A426" s="11" t="n"/>
      <c r="B426" s="12" t="n"/>
      <c r="C426" s="12" t="n"/>
      <c r="D426" s="12" t="n"/>
      <c r="E426" s="13" t="n"/>
      <c r="F426" s="12" t="n"/>
      <c r="G426" s="14" t="n"/>
      <c r="H426" s="15" t="n"/>
      <c r="I426" s="16">
        <f>IF(G426="","",G426*(1-N(H426)))</f>
        <v/>
      </c>
      <c r="J426" s="16">
        <f>IF(I426="","",E426*I426)</f>
        <v/>
      </c>
      <c r="K426">
        <f>IF(D426="","",IFERROR(VLOOKUP(D426,'Ürün Eşleştirme'!$A$6:$D$505,2,FALSE),D426))</f>
        <v/>
      </c>
      <c r="L426" s="17">
        <f>IF(D426="","",IFERROR(VLOOKUP(D426,'Ürün Eşleştirme'!$A$6:$D$505,4,FALSE),1))</f>
        <v/>
      </c>
      <c r="M426" s="16">
        <f>IF(I426="","",I426/L426)</f>
        <v/>
      </c>
      <c r="N426" s="16">
        <f>IF(M426="","",IFERROR(AVERAGEIFS($M$10:$M$1009,$K$10:$K$1009,K426,$A$10:$A$1009,"&lt;"&amp;A426,$A$10:$A$1009,"&gt;="&amp;(A426-$C$6)),""))</f>
        <v/>
      </c>
      <c r="O426" s="16">
        <f>IF(M426="","",_xlfn.MINIFS($M$10:$M$1009,$K$10:$K$1009,K426,$A$10:$A$1009,"&lt;="&amp;A426,$A$10:$A$1009,"&gt;="&amp;(A426-$C$6)))</f>
        <v/>
      </c>
      <c r="P426" s="18">
        <f>IF(OR(N426="",N426=0),"",M426/N426-1)</f>
        <v/>
      </c>
      <c r="Q426">
        <f>IF(D426="","",IF(COUNTIFS($B$10:$B$1009,B426,$C$10:$C$1009,C426,$D$10:$D$1009,D426,$E$10:$E$1009,E426)&gt;1,"MÜKERRER?",IF(P426="","",IF(P426&gt;=$C$5,"İNCELE",IF(P426&lt;=-$C$5,"Düşük",""))))</f>
        <v/>
      </c>
      <c r="R426" s="16">
        <f>IF(AND(P426&lt;&gt;"",N(P426)&gt;=$C$5,COUNTIFS($B$10:B426,B426,$C$10:C426,C426,$D$10:D426,D426,$E$10:E426,E426)=1),(M426-N426)*E426*L426,0)</f>
        <v/>
      </c>
      <c r="S426" s="19">
        <f>IF(D426="",0,N(E426)*L426)</f>
        <v/>
      </c>
    </row>
    <row r="427">
      <c r="A427" s="11" t="n"/>
      <c r="B427" s="12" t="n"/>
      <c r="C427" s="12" t="n"/>
      <c r="D427" s="12" t="n"/>
      <c r="E427" s="13" t="n"/>
      <c r="F427" s="12" t="n"/>
      <c r="G427" s="14" t="n"/>
      <c r="H427" s="15" t="n"/>
      <c r="I427" s="16">
        <f>IF(G427="","",G427*(1-N(H427)))</f>
        <v/>
      </c>
      <c r="J427" s="16">
        <f>IF(I427="","",E427*I427)</f>
        <v/>
      </c>
      <c r="K427">
        <f>IF(D427="","",IFERROR(VLOOKUP(D427,'Ürün Eşleştirme'!$A$6:$D$505,2,FALSE),D427))</f>
        <v/>
      </c>
      <c r="L427" s="17">
        <f>IF(D427="","",IFERROR(VLOOKUP(D427,'Ürün Eşleştirme'!$A$6:$D$505,4,FALSE),1))</f>
        <v/>
      </c>
      <c r="M427" s="16">
        <f>IF(I427="","",I427/L427)</f>
        <v/>
      </c>
      <c r="N427" s="16">
        <f>IF(M427="","",IFERROR(AVERAGEIFS($M$10:$M$1009,$K$10:$K$1009,K427,$A$10:$A$1009,"&lt;"&amp;A427,$A$10:$A$1009,"&gt;="&amp;(A427-$C$6)),""))</f>
        <v/>
      </c>
      <c r="O427" s="16">
        <f>IF(M427="","",_xlfn.MINIFS($M$10:$M$1009,$K$10:$K$1009,K427,$A$10:$A$1009,"&lt;="&amp;A427,$A$10:$A$1009,"&gt;="&amp;(A427-$C$6)))</f>
        <v/>
      </c>
      <c r="P427" s="18">
        <f>IF(OR(N427="",N427=0),"",M427/N427-1)</f>
        <v/>
      </c>
      <c r="Q427">
        <f>IF(D427="","",IF(COUNTIFS($B$10:$B$1009,B427,$C$10:$C$1009,C427,$D$10:$D$1009,D427,$E$10:$E$1009,E427)&gt;1,"MÜKERRER?",IF(P427="","",IF(P427&gt;=$C$5,"İNCELE",IF(P427&lt;=-$C$5,"Düşük",""))))</f>
        <v/>
      </c>
      <c r="R427" s="16">
        <f>IF(AND(P427&lt;&gt;"",N(P427)&gt;=$C$5,COUNTIFS($B$10:B427,B427,$C$10:C427,C427,$D$10:D427,D427,$E$10:E427,E427)=1),(M427-N427)*E427*L427,0)</f>
        <v/>
      </c>
      <c r="S427" s="19">
        <f>IF(D427="",0,N(E427)*L427)</f>
        <v/>
      </c>
    </row>
    <row r="428">
      <c r="A428" s="11" t="n"/>
      <c r="B428" s="12" t="n"/>
      <c r="C428" s="12" t="n"/>
      <c r="D428" s="12" t="n"/>
      <c r="E428" s="13" t="n"/>
      <c r="F428" s="12" t="n"/>
      <c r="G428" s="14" t="n"/>
      <c r="H428" s="15" t="n"/>
      <c r="I428" s="16">
        <f>IF(G428="","",G428*(1-N(H428)))</f>
        <v/>
      </c>
      <c r="J428" s="16">
        <f>IF(I428="","",E428*I428)</f>
        <v/>
      </c>
      <c r="K428">
        <f>IF(D428="","",IFERROR(VLOOKUP(D428,'Ürün Eşleştirme'!$A$6:$D$505,2,FALSE),D428))</f>
        <v/>
      </c>
      <c r="L428" s="17">
        <f>IF(D428="","",IFERROR(VLOOKUP(D428,'Ürün Eşleştirme'!$A$6:$D$505,4,FALSE),1))</f>
        <v/>
      </c>
      <c r="M428" s="16">
        <f>IF(I428="","",I428/L428)</f>
        <v/>
      </c>
      <c r="N428" s="16">
        <f>IF(M428="","",IFERROR(AVERAGEIFS($M$10:$M$1009,$K$10:$K$1009,K428,$A$10:$A$1009,"&lt;"&amp;A428,$A$10:$A$1009,"&gt;="&amp;(A428-$C$6)),""))</f>
        <v/>
      </c>
      <c r="O428" s="16">
        <f>IF(M428="","",_xlfn.MINIFS($M$10:$M$1009,$K$10:$K$1009,K428,$A$10:$A$1009,"&lt;="&amp;A428,$A$10:$A$1009,"&gt;="&amp;(A428-$C$6)))</f>
        <v/>
      </c>
      <c r="P428" s="18">
        <f>IF(OR(N428="",N428=0),"",M428/N428-1)</f>
        <v/>
      </c>
      <c r="Q428">
        <f>IF(D428="","",IF(COUNTIFS($B$10:$B$1009,B428,$C$10:$C$1009,C428,$D$10:$D$1009,D428,$E$10:$E$1009,E428)&gt;1,"MÜKERRER?",IF(P428="","",IF(P428&gt;=$C$5,"İNCELE",IF(P428&lt;=-$C$5,"Düşük",""))))</f>
        <v/>
      </c>
      <c r="R428" s="16">
        <f>IF(AND(P428&lt;&gt;"",N(P428)&gt;=$C$5,COUNTIFS($B$10:B428,B428,$C$10:C428,C428,$D$10:D428,D428,$E$10:E428,E428)=1),(M428-N428)*E428*L428,0)</f>
        <v/>
      </c>
      <c r="S428" s="19">
        <f>IF(D428="",0,N(E428)*L428)</f>
        <v/>
      </c>
    </row>
    <row r="429">
      <c r="A429" s="11" t="n"/>
      <c r="B429" s="12" t="n"/>
      <c r="C429" s="12" t="n"/>
      <c r="D429" s="12" t="n"/>
      <c r="E429" s="13" t="n"/>
      <c r="F429" s="12" t="n"/>
      <c r="G429" s="14" t="n"/>
      <c r="H429" s="15" t="n"/>
      <c r="I429" s="16">
        <f>IF(G429="","",G429*(1-N(H429)))</f>
        <v/>
      </c>
      <c r="J429" s="16">
        <f>IF(I429="","",E429*I429)</f>
        <v/>
      </c>
      <c r="K429">
        <f>IF(D429="","",IFERROR(VLOOKUP(D429,'Ürün Eşleştirme'!$A$6:$D$505,2,FALSE),D429))</f>
        <v/>
      </c>
      <c r="L429" s="17">
        <f>IF(D429="","",IFERROR(VLOOKUP(D429,'Ürün Eşleştirme'!$A$6:$D$505,4,FALSE),1))</f>
        <v/>
      </c>
      <c r="M429" s="16">
        <f>IF(I429="","",I429/L429)</f>
        <v/>
      </c>
      <c r="N429" s="16">
        <f>IF(M429="","",IFERROR(AVERAGEIFS($M$10:$M$1009,$K$10:$K$1009,K429,$A$10:$A$1009,"&lt;"&amp;A429,$A$10:$A$1009,"&gt;="&amp;(A429-$C$6)),""))</f>
        <v/>
      </c>
      <c r="O429" s="16">
        <f>IF(M429="","",_xlfn.MINIFS($M$10:$M$1009,$K$10:$K$1009,K429,$A$10:$A$1009,"&lt;="&amp;A429,$A$10:$A$1009,"&gt;="&amp;(A429-$C$6)))</f>
        <v/>
      </c>
      <c r="P429" s="18">
        <f>IF(OR(N429="",N429=0),"",M429/N429-1)</f>
        <v/>
      </c>
      <c r="Q429">
        <f>IF(D429="","",IF(COUNTIFS($B$10:$B$1009,B429,$C$10:$C$1009,C429,$D$10:$D$1009,D429,$E$10:$E$1009,E429)&gt;1,"MÜKERRER?",IF(P429="","",IF(P429&gt;=$C$5,"İNCELE",IF(P429&lt;=-$C$5,"Düşük",""))))</f>
        <v/>
      </c>
      <c r="R429" s="16">
        <f>IF(AND(P429&lt;&gt;"",N(P429)&gt;=$C$5,COUNTIFS($B$10:B429,B429,$C$10:C429,C429,$D$10:D429,D429,$E$10:E429,E429)=1),(M429-N429)*E429*L429,0)</f>
        <v/>
      </c>
      <c r="S429" s="19">
        <f>IF(D429="",0,N(E429)*L429)</f>
        <v/>
      </c>
    </row>
    <row r="430">
      <c r="A430" s="11" t="n"/>
      <c r="B430" s="12" t="n"/>
      <c r="C430" s="12" t="n"/>
      <c r="D430" s="12" t="n"/>
      <c r="E430" s="13" t="n"/>
      <c r="F430" s="12" t="n"/>
      <c r="G430" s="14" t="n"/>
      <c r="H430" s="15" t="n"/>
      <c r="I430" s="16">
        <f>IF(G430="","",G430*(1-N(H430)))</f>
        <v/>
      </c>
      <c r="J430" s="16">
        <f>IF(I430="","",E430*I430)</f>
        <v/>
      </c>
      <c r="K430">
        <f>IF(D430="","",IFERROR(VLOOKUP(D430,'Ürün Eşleştirme'!$A$6:$D$505,2,FALSE),D430))</f>
        <v/>
      </c>
      <c r="L430" s="17">
        <f>IF(D430="","",IFERROR(VLOOKUP(D430,'Ürün Eşleştirme'!$A$6:$D$505,4,FALSE),1))</f>
        <v/>
      </c>
      <c r="M430" s="16">
        <f>IF(I430="","",I430/L430)</f>
        <v/>
      </c>
      <c r="N430" s="16">
        <f>IF(M430="","",IFERROR(AVERAGEIFS($M$10:$M$1009,$K$10:$K$1009,K430,$A$10:$A$1009,"&lt;"&amp;A430,$A$10:$A$1009,"&gt;="&amp;(A430-$C$6)),""))</f>
        <v/>
      </c>
      <c r="O430" s="16">
        <f>IF(M430="","",_xlfn.MINIFS($M$10:$M$1009,$K$10:$K$1009,K430,$A$10:$A$1009,"&lt;="&amp;A430,$A$10:$A$1009,"&gt;="&amp;(A430-$C$6)))</f>
        <v/>
      </c>
      <c r="P430" s="18">
        <f>IF(OR(N430="",N430=0),"",M430/N430-1)</f>
        <v/>
      </c>
      <c r="Q430">
        <f>IF(D430="","",IF(COUNTIFS($B$10:$B$1009,B430,$C$10:$C$1009,C430,$D$10:$D$1009,D430,$E$10:$E$1009,E430)&gt;1,"MÜKERRER?",IF(P430="","",IF(P430&gt;=$C$5,"İNCELE",IF(P430&lt;=-$C$5,"Düşük",""))))</f>
        <v/>
      </c>
      <c r="R430" s="16">
        <f>IF(AND(P430&lt;&gt;"",N(P430)&gt;=$C$5,COUNTIFS($B$10:B430,B430,$C$10:C430,C430,$D$10:D430,D430,$E$10:E430,E430)=1),(M430-N430)*E430*L430,0)</f>
        <v/>
      </c>
      <c r="S430" s="19">
        <f>IF(D430="",0,N(E430)*L430)</f>
        <v/>
      </c>
    </row>
    <row r="431">
      <c r="A431" s="11" t="n"/>
      <c r="B431" s="12" t="n"/>
      <c r="C431" s="12" t="n"/>
      <c r="D431" s="12" t="n"/>
      <c r="E431" s="13" t="n"/>
      <c r="F431" s="12" t="n"/>
      <c r="G431" s="14" t="n"/>
      <c r="H431" s="15" t="n"/>
      <c r="I431" s="16">
        <f>IF(G431="","",G431*(1-N(H431)))</f>
        <v/>
      </c>
      <c r="J431" s="16">
        <f>IF(I431="","",E431*I431)</f>
        <v/>
      </c>
      <c r="K431">
        <f>IF(D431="","",IFERROR(VLOOKUP(D431,'Ürün Eşleştirme'!$A$6:$D$505,2,FALSE),D431))</f>
        <v/>
      </c>
      <c r="L431" s="17">
        <f>IF(D431="","",IFERROR(VLOOKUP(D431,'Ürün Eşleştirme'!$A$6:$D$505,4,FALSE),1))</f>
        <v/>
      </c>
      <c r="M431" s="16">
        <f>IF(I431="","",I431/L431)</f>
        <v/>
      </c>
      <c r="N431" s="16">
        <f>IF(M431="","",IFERROR(AVERAGEIFS($M$10:$M$1009,$K$10:$K$1009,K431,$A$10:$A$1009,"&lt;"&amp;A431,$A$10:$A$1009,"&gt;="&amp;(A431-$C$6)),""))</f>
        <v/>
      </c>
      <c r="O431" s="16">
        <f>IF(M431="","",_xlfn.MINIFS($M$10:$M$1009,$K$10:$K$1009,K431,$A$10:$A$1009,"&lt;="&amp;A431,$A$10:$A$1009,"&gt;="&amp;(A431-$C$6)))</f>
        <v/>
      </c>
      <c r="P431" s="18">
        <f>IF(OR(N431="",N431=0),"",M431/N431-1)</f>
        <v/>
      </c>
      <c r="Q431">
        <f>IF(D431="","",IF(COUNTIFS($B$10:$B$1009,B431,$C$10:$C$1009,C431,$D$10:$D$1009,D431,$E$10:$E$1009,E431)&gt;1,"MÜKERRER?",IF(P431="","",IF(P431&gt;=$C$5,"İNCELE",IF(P431&lt;=-$C$5,"Düşük",""))))</f>
        <v/>
      </c>
      <c r="R431" s="16">
        <f>IF(AND(P431&lt;&gt;"",N(P431)&gt;=$C$5,COUNTIFS($B$10:B431,B431,$C$10:C431,C431,$D$10:D431,D431,$E$10:E431,E431)=1),(M431-N431)*E431*L431,0)</f>
        <v/>
      </c>
      <c r="S431" s="19">
        <f>IF(D431="",0,N(E431)*L431)</f>
        <v/>
      </c>
    </row>
    <row r="432">
      <c r="A432" s="11" t="n"/>
      <c r="B432" s="12" t="n"/>
      <c r="C432" s="12" t="n"/>
      <c r="D432" s="12" t="n"/>
      <c r="E432" s="13" t="n"/>
      <c r="F432" s="12" t="n"/>
      <c r="G432" s="14" t="n"/>
      <c r="H432" s="15" t="n"/>
      <c r="I432" s="16">
        <f>IF(G432="","",G432*(1-N(H432)))</f>
        <v/>
      </c>
      <c r="J432" s="16">
        <f>IF(I432="","",E432*I432)</f>
        <v/>
      </c>
      <c r="K432">
        <f>IF(D432="","",IFERROR(VLOOKUP(D432,'Ürün Eşleştirme'!$A$6:$D$505,2,FALSE),D432))</f>
        <v/>
      </c>
      <c r="L432" s="17">
        <f>IF(D432="","",IFERROR(VLOOKUP(D432,'Ürün Eşleştirme'!$A$6:$D$505,4,FALSE),1))</f>
        <v/>
      </c>
      <c r="M432" s="16">
        <f>IF(I432="","",I432/L432)</f>
        <v/>
      </c>
      <c r="N432" s="16">
        <f>IF(M432="","",IFERROR(AVERAGEIFS($M$10:$M$1009,$K$10:$K$1009,K432,$A$10:$A$1009,"&lt;"&amp;A432,$A$10:$A$1009,"&gt;="&amp;(A432-$C$6)),""))</f>
        <v/>
      </c>
      <c r="O432" s="16">
        <f>IF(M432="","",_xlfn.MINIFS($M$10:$M$1009,$K$10:$K$1009,K432,$A$10:$A$1009,"&lt;="&amp;A432,$A$10:$A$1009,"&gt;="&amp;(A432-$C$6)))</f>
        <v/>
      </c>
      <c r="P432" s="18">
        <f>IF(OR(N432="",N432=0),"",M432/N432-1)</f>
        <v/>
      </c>
      <c r="Q432">
        <f>IF(D432="","",IF(COUNTIFS($B$10:$B$1009,B432,$C$10:$C$1009,C432,$D$10:$D$1009,D432,$E$10:$E$1009,E432)&gt;1,"MÜKERRER?",IF(P432="","",IF(P432&gt;=$C$5,"İNCELE",IF(P432&lt;=-$C$5,"Düşük",""))))</f>
        <v/>
      </c>
      <c r="R432" s="16">
        <f>IF(AND(P432&lt;&gt;"",N(P432)&gt;=$C$5,COUNTIFS($B$10:B432,B432,$C$10:C432,C432,$D$10:D432,D432,$E$10:E432,E432)=1),(M432-N432)*E432*L432,0)</f>
        <v/>
      </c>
      <c r="S432" s="19">
        <f>IF(D432="",0,N(E432)*L432)</f>
        <v/>
      </c>
    </row>
    <row r="433">
      <c r="A433" s="11" t="n"/>
      <c r="B433" s="12" t="n"/>
      <c r="C433" s="12" t="n"/>
      <c r="D433" s="12" t="n"/>
      <c r="E433" s="13" t="n"/>
      <c r="F433" s="12" t="n"/>
      <c r="G433" s="14" t="n"/>
      <c r="H433" s="15" t="n"/>
      <c r="I433" s="16">
        <f>IF(G433="","",G433*(1-N(H433)))</f>
        <v/>
      </c>
      <c r="J433" s="16">
        <f>IF(I433="","",E433*I433)</f>
        <v/>
      </c>
      <c r="K433">
        <f>IF(D433="","",IFERROR(VLOOKUP(D433,'Ürün Eşleştirme'!$A$6:$D$505,2,FALSE),D433))</f>
        <v/>
      </c>
      <c r="L433" s="17">
        <f>IF(D433="","",IFERROR(VLOOKUP(D433,'Ürün Eşleştirme'!$A$6:$D$505,4,FALSE),1))</f>
        <v/>
      </c>
      <c r="M433" s="16">
        <f>IF(I433="","",I433/L433)</f>
        <v/>
      </c>
      <c r="N433" s="16">
        <f>IF(M433="","",IFERROR(AVERAGEIFS($M$10:$M$1009,$K$10:$K$1009,K433,$A$10:$A$1009,"&lt;"&amp;A433,$A$10:$A$1009,"&gt;="&amp;(A433-$C$6)),""))</f>
        <v/>
      </c>
      <c r="O433" s="16">
        <f>IF(M433="","",_xlfn.MINIFS($M$10:$M$1009,$K$10:$K$1009,K433,$A$10:$A$1009,"&lt;="&amp;A433,$A$10:$A$1009,"&gt;="&amp;(A433-$C$6)))</f>
        <v/>
      </c>
      <c r="P433" s="18">
        <f>IF(OR(N433="",N433=0),"",M433/N433-1)</f>
        <v/>
      </c>
      <c r="Q433">
        <f>IF(D433="","",IF(COUNTIFS($B$10:$B$1009,B433,$C$10:$C$1009,C433,$D$10:$D$1009,D433,$E$10:$E$1009,E433)&gt;1,"MÜKERRER?",IF(P433="","",IF(P433&gt;=$C$5,"İNCELE",IF(P433&lt;=-$C$5,"Düşük",""))))</f>
        <v/>
      </c>
      <c r="R433" s="16">
        <f>IF(AND(P433&lt;&gt;"",N(P433)&gt;=$C$5,COUNTIFS($B$10:B433,B433,$C$10:C433,C433,$D$10:D433,D433,$E$10:E433,E433)=1),(M433-N433)*E433*L433,0)</f>
        <v/>
      </c>
      <c r="S433" s="19">
        <f>IF(D433="",0,N(E433)*L433)</f>
        <v/>
      </c>
    </row>
    <row r="434">
      <c r="A434" s="11" t="n"/>
      <c r="B434" s="12" t="n"/>
      <c r="C434" s="12" t="n"/>
      <c r="D434" s="12" t="n"/>
      <c r="E434" s="13" t="n"/>
      <c r="F434" s="12" t="n"/>
      <c r="G434" s="14" t="n"/>
      <c r="H434" s="15" t="n"/>
      <c r="I434" s="16">
        <f>IF(G434="","",G434*(1-N(H434)))</f>
        <v/>
      </c>
      <c r="J434" s="16">
        <f>IF(I434="","",E434*I434)</f>
        <v/>
      </c>
      <c r="K434">
        <f>IF(D434="","",IFERROR(VLOOKUP(D434,'Ürün Eşleştirme'!$A$6:$D$505,2,FALSE),D434))</f>
        <v/>
      </c>
      <c r="L434" s="17">
        <f>IF(D434="","",IFERROR(VLOOKUP(D434,'Ürün Eşleştirme'!$A$6:$D$505,4,FALSE),1))</f>
        <v/>
      </c>
      <c r="M434" s="16">
        <f>IF(I434="","",I434/L434)</f>
        <v/>
      </c>
      <c r="N434" s="16">
        <f>IF(M434="","",IFERROR(AVERAGEIFS($M$10:$M$1009,$K$10:$K$1009,K434,$A$10:$A$1009,"&lt;"&amp;A434,$A$10:$A$1009,"&gt;="&amp;(A434-$C$6)),""))</f>
        <v/>
      </c>
      <c r="O434" s="16">
        <f>IF(M434="","",_xlfn.MINIFS($M$10:$M$1009,$K$10:$K$1009,K434,$A$10:$A$1009,"&lt;="&amp;A434,$A$10:$A$1009,"&gt;="&amp;(A434-$C$6)))</f>
        <v/>
      </c>
      <c r="P434" s="18">
        <f>IF(OR(N434="",N434=0),"",M434/N434-1)</f>
        <v/>
      </c>
      <c r="Q434">
        <f>IF(D434="","",IF(COUNTIFS($B$10:$B$1009,B434,$C$10:$C$1009,C434,$D$10:$D$1009,D434,$E$10:$E$1009,E434)&gt;1,"MÜKERRER?",IF(P434="","",IF(P434&gt;=$C$5,"İNCELE",IF(P434&lt;=-$C$5,"Düşük",""))))</f>
        <v/>
      </c>
      <c r="R434" s="16">
        <f>IF(AND(P434&lt;&gt;"",N(P434)&gt;=$C$5,COUNTIFS($B$10:B434,B434,$C$10:C434,C434,$D$10:D434,D434,$E$10:E434,E434)=1),(M434-N434)*E434*L434,0)</f>
        <v/>
      </c>
      <c r="S434" s="19">
        <f>IF(D434="",0,N(E434)*L434)</f>
        <v/>
      </c>
    </row>
    <row r="435">
      <c r="A435" s="11" t="n"/>
      <c r="B435" s="12" t="n"/>
      <c r="C435" s="12" t="n"/>
      <c r="D435" s="12" t="n"/>
      <c r="E435" s="13" t="n"/>
      <c r="F435" s="12" t="n"/>
      <c r="G435" s="14" t="n"/>
      <c r="H435" s="15" t="n"/>
      <c r="I435" s="16">
        <f>IF(G435="","",G435*(1-N(H435)))</f>
        <v/>
      </c>
      <c r="J435" s="16">
        <f>IF(I435="","",E435*I435)</f>
        <v/>
      </c>
      <c r="K435">
        <f>IF(D435="","",IFERROR(VLOOKUP(D435,'Ürün Eşleştirme'!$A$6:$D$505,2,FALSE),D435))</f>
        <v/>
      </c>
      <c r="L435" s="17">
        <f>IF(D435="","",IFERROR(VLOOKUP(D435,'Ürün Eşleştirme'!$A$6:$D$505,4,FALSE),1))</f>
        <v/>
      </c>
      <c r="M435" s="16">
        <f>IF(I435="","",I435/L435)</f>
        <v/>
      </c>
      <c r="N435" s="16">
        <f>IF(M435="","",IFERROR(AVERAGEIFS($M$10:$M$1009,$K$10:$K$1009,K435,$A$10:$A$1009,"&lt;"&amp;A435,$A$10:$A$1009,"&gt;="&amp;(A435-$C$6)),""))</f>
        <v/>
      </c>
      <c r="O435" s="16">
        <f>IF(M435="","",_xlfn.MINIFS($M$10:$M$1009,$K$10:$K$1009,K435,$A$10:$A$1009,"&lt;="&amp;A435,$A$10:$A$1009,"&gt;="&amp;(A435-$C$6)))</f>
        <v/>
      </c>
      <c r="P435" s="18">
        <f>IF(OR(N435="",N435=0),"",M435/N435-1)</f>
        <v/>
      </c>
      <c r="Q435">
        <f>IF(D435="","",IF(COUNTIFS($B$10:$B$1009,B435,$C$10:$C$1009,C435,$D$10:$D$1009,D435,$E$10:$E$1009,E435)&gt;1,"MÜKERRER?",IF(P435="","",IF(P435&gt;=$C$5,"İNCELE",IF(P435&lt;=-$C$5,"Düşük",""))))</f>
        <v/>
      </c>
      <c r="R435" s="16">
        <f>IF(AND(P435&lt;&gt;"",N(P435)&gt;=$C$5,COUNTIFS($B$10:B435,B435,$C$10:C435,C435,$D$10:D435,D435,$E$10:E435,E435)=1),(M435-N435)*E435*L435,0)</f>
        <v/>
      </c>
      <c r="S435" s="19">
        <f>IF(D435="",0,N(E435)*L435)</f>
        <v/>
      </c>
    </row>
    <row r="436">
      <c r="A436" s="11" t="n"/>
      <c r="B436" s="12" t="n"/>
      <c r="C436" s="12" t="n"/>
      <c r="D436" s="12" t="n"/>
      <c r="E436" s="13" t="n"/>
      <c r="F436" s="12" t="n"/>
      <c r="G436" s="14" t="n"/>
      <c r="H436" s="15" t="n"/>
      <c r="I436" s="16">
        <f>IF(G436="","",G436*(1-N(H436)))</f>
        <v/>
      </c>
      <c r="J436" s="16">
        <f>IF(I436="","",E436*I436)</f>
        <v/>
      </c>
      <c r="K436">
        <f>IF(D436="","",IFERROR(VLOOKUP(D436,'Ürün Eşleştirme'!$A$6:$D$505,2,FALSE),D436))</f>
        <v/>
      </c>
      <c r="L436" s="17">
        <f>IF(D436="","",IFERROR(VLOOKUP(D436,'Ürün Eşleştirme'!$A$6:$D$505,4,FALSE),1))</f>
        <v/>
      </c>
      <c r="M436" s="16">
        <f>IF(I436="","",I436/L436)</f>
        <v/>
      </c>
      <c r="N436" s="16">
        <f>IF(M436="","",IFERROR(AVERAGEIFS($M$10:$M$1009,$K$10:$K$1009,K436,$A$10:$A$1009,"&lt;"&amp;A436,$A$10:$A$1009,"&gt;="&amp;(A436-$C$6)),""))</f>
        <v/>
      </c>
      <c r="O436" s="16">
        <f>IF(M436="","",_xlfn.MINIFS($M$10:$M$1009,$K$10:$K$1009,K436,$A$10:$A$1009,"&lt;="&amp;A436,$A$10:$A$1009,"&gt;="&amp;(A436-$C$6)))</f>
        <v/>
      </c>
      <c r="P436" s="18">
        <f>IF(OR(N436="",N436=0),"",M436/N436-1)</f>
        <v/>
      </c>
      <c r="Q436">
        <f>IF(D436="","",IF(COUNTIFS($B$10:$B$1009,B436,$C$10:$C$1009,C436,$D$10:$D$1009,D436,$E$10:$E$1009,E436)&gt;1,"MÜKERRER?",IF(P436="","",IF(P436&gt;=$C$5,"İNCELE",IF(P436&lt;=-$C$5,"Düşük",""))))</f>
        <v/>
      </c>
      <c r="R436" s="16">
        <f>IF(AND(P436&lt;&gt;"",N(P436)&gt;=$C$5,COUNTIFS($B$10:B436,B436,$C$10:C436,C436,$D$10:D436,D436,$E$10:E436,E436)=1),(M436-N436)*E436*L436,0)</f>
        <v/>
      </c>
      <c r="S436" s="19">
        <f>IF(D436="",0,N(E436)*L436)</f>
        <v/>
      </c>
    </row>
    <row r="437">
      <c r="A437" s="11" t="n"/>
      <c r="B437" s="12" t="n"/>
      <c r="C437" s="12" t="n"/>
      <c r="D437" s="12" t="n"/>
      <c r="E437" s="13" t="n"/>
      <c r="F437" s="12" t="n"/>
      <c r="G437" s="14" t="n"/>
      <c r="H437" s="15" t="n"/>
      <c r="I437" s="16">
        <f>IF(G437="","",G437*(1-N(H437)))</f>
        <v/>
      </c>
      <c r="J437" s="16">
        <f>IF(I437="","",E437*I437)</f>
        <v/>
      </c>
      <c r="K437">
        <f>IF(D437="","",IFERROR(VLOOKUP(D437,'Ürün Eşleştirme'!$A$6:$D$505,2,FALSE),D437))</f>
        <v/>
      </c>
      <c r="L437" s="17">
        <f>IF(D437="","",IFERROR(VLOOKUP(D437,'Ürün Eşleştirme'!$A$6:$D$505,4,FALSE),1))</f>
        <v/>
      </c>
      <c r="M437" s="16">
        <f>IF(I437="","",I437/L437)</f>
        <v/>
      </c>
      <c r="N437" s="16">
        <f>IF(M437="","",IFERROR(AVERAGEIFS($M$10:$M$1009,$K$10:$K$1009,K437,$A$10:$A$1009,"&lt;"&amp;A437,$A$10:$A$1009,"&gt;="&amp;(A437-$C$6)),""))</f>
        <v/>
      </c>
      <c r="O437" s="16">
        <f>IF(M437="","",_xlfn.MINIFS($M$10:$M$1009,$K$10:$K$1009,K437,$A$10:$A$1009,"&lt;="&amp;A437,$A$10:$A$1009,"&gt;="&amp;(A437-$C$6)))</f>
        <v/>
      </c>
      <c r="P437" s="18">
        <f>IF(OR(N437="",N437=0),"",M437/N437-1)</f>
        <v/>
      </c>
      <c r="Q437">
        <f>IF(D437="","",IF(COUNTIFS($B$10:$B$1009,B437,$C$10:$C$1009,C437,$D$10:$D$1009,D437,$E$10:$E$1009,E437)&gt;1,"MÜKERRER?",IF(P437="","",IF(P437&gt;=$C$5,"İNCELE",IF(P437&lt;=-$C$5,"Düşük",""))))</f>
        <v/>
      </c>
      <c r="R437" s="16">
        <f>IF(AND(P437&lt;&gt;"",N(P437)&gt;=$C$5,COUNTIFS($B$10:B437,B437,$C$10:C437,C437,$D$10:D437,D437,$E$10:E437,E437)=1),(M437-N437)*E437*L437,0)</f>
        <v/>
      </c>
      <c r="S437" s="19">
        <f>IF(D437="",0,N(E437)*L437)</f>
        <v/>
      </c>
    </row>
    <row r="438">
      <c r="A438" s="11" t="n"/>
      <c r="B438" s="12" t="n"/>
      <c r="C438" s="12" t="n"/>
      <c r="D438" s="12" t="n"/>
      <c r="E438" s="13" t="n"/>
      <c r="F438" s="12" t="n"/>
      <c r="G438" s="14" t="n"/>
      <c r="H438" s="15" t="n"/>
      <c r="I438" s="16">
        <f>IF(G438="","",G438*(1-N(H438)))</f>
        <v/>
      </c>
      <c r="J438" s="16">
        <f>IF(I438="","",E438*I438)</f>
        <v/>
      </c>
      <c r="K438">
        <f>IF(D438="","",IFERROR(VLOOKUP(D438,'Ürün Eşleştirme'!$A$6:$D$505,2,FALSE),D438))</f>
        <v/>
      </c>
      <c r="L438" s="17">
        <f>IF(D438="","",IFERROR(VLOOKUP(D438,'Ürün Eşleştirme'!$A$6:$D$505,4,FALSE),1))</f>
        <v/>
      </c>
      <c r="M438" s="16">
        <f>IF(I438="","",I438/L438)</f>
        <v/>
      </c>
      <c r="N438" s="16">
        <f>IF(M438="","",IFERROR(AVERAGEIFS($M$10:$M$1009,$K$10:$K$1009,K438,$A$10:$A$1009,"&lt;"&amp;A438,$A$10:$A$1009,"&gt;="&amp;(A438-$C$6)),""))</f>
        <v/>
      </c>
      <c r="O438" s="16">
        <f>IF(M438="","",_xlfn.MINIFS($M$10:$M$1009,$K$10:$K$1009,K438,$A$10:$A$1009,"&lt;="&amp;A438,$A$10:$A$1009,"&gt;="&amp;(A438-$C$6)))</f>
        <v/>
      </c>
      <c r="P438" s="18">
        <f>IF(OR(N438="",N438=0),"",M438/N438-1)</f>
        <v/>
      </c>
      <c r="Q438">
        <f>IF(D438="","",IF(COUNTIFS($B$10:$B$1009,B438,$C$10:$C$1009,C438,$D$10:$D$1009,D438,$E$10:$E$1009,E438)&gt;1,"MÜKERRER?",IF(P438="","",IF(P438&gt;=$C$5,"İNCELE",IF(P438&lt;=-$C$5,"Düşük",""))))</f>
        <v/>
      </c>
      <c r="R438" s="16">
        <f>IF(AND(P438&lt;&gt;"",N(P438)&gt;=$C$5,COUNTIFS($B$10:B438,B438,$C$10:C438,C438,$D$10:D438,D438,$E$10:E438,E438)=1),(M438-N438)*E438*L438,0)</f>
        <v/>
      </c>
      <c r="S438" s="19">
        <f>IF(D438="",0,N(E438)*L438)</f>
        <v/>
      </c>
    </row>
    <row r="439">
      <c r="A439" s="11" t="n"/>
      <c r="B439" s="12" t="n"/>
      <c r="C439" s="12" t="n"/>
      <c r="D439" s="12" t="n"/>
      <c r="E439" s="13" t="n"/>
      <c r="F439" s="12" t="n"/>
      <c r="G439" s="14" t="n"/>
      <c r="H439" s="15" t="n"/>
      <c r="I439" s="16">
        <f>IF(G439="","",G439*(1-N(H439)))</f>
        <v/>
      </c>
      <c r="J439" s="16">
        <f>IF(I439="","",E439*I439)</f>
        <v/>
      </c>
      <c r="K439">
        <f>IF(D439="","",IFERROR(VLOOKUP(D439,'Ürün Eşleştirme'!$A$6:$D$505,2,FALSE),D439))</f>
        <v/>
      </c>
      <c r="L439" s="17">
        <f>IF(D439="","",IFERROR(VLOOKUP(D439,'Ürün Eşleştirme'!$A$6:$D$505,4,FALSE),1))</f>
        <v/>
      </c>
      <c r="M439" s="16">
        <f>IF(I439="","",I439/L439)</f>
        <v/>
      </c>
      <c r="N439" s="16">
        <f>IF(M439="","",IFERROR(AVERAGEIFS($M$10:$M$1009,$K$10:$K$1009,K439,$A$10:$A$1009,"&lt;"&amp;A439,$A$10:$A$1009,"&gt;="&amp;(A439-$C$6)),""))</f>
        <v/>
      </c>
      <c r="O439" s="16">
        <f>IF(M439="","",_xlfn.MINIFS($M$10:$M$1009,$K$10:$K$1009,K439,$A$10:$A$1009,"&lt;="&amp;A439,$A$10:$A$1009,"&gt;="&amp;(A439-$C$6)))</f>
        <v/>
      </c>
      <c r="P439" s="18">
        <f>IF(OR(N439="",N439=0),"",M439/N439-1)</f>
        <v/>
      </c>
      <c r="Q439">
        <f>IF(D439="","",IF(COUNTIFS($B$10:$B$1009,B439,$C$10:$C$1009,C439,$D$10:$D$1009,D439,$E$10:$E$1009,E439)&gt;1,"MÜKERRER?",IF(P439="","",IF(P439&gt;=$C$5,"İNCELE",IF(P439&lt;=-$C$5,"Düşük",""))))</f>
        <v/>
      </c>
      <c r="R439" s="16">
        <f>IF(AND(P439&lt;&gt;"",N(P439)&gt;=$C$5,COUNTIFS($B$10:B439,B439,$C$10:C439,C439,$D$10:D439,D439,$E$10:E439,E439)=1),(M439-N439)*E439*L439,0)</f>
        <v/>
      </c>
      <c r="S439" s="19">
        <f>IF(D439="",0,N(E439)*L439)</f>
        <v/>
      </c>
    </row>
    <row r="440">
      <c r="A440" s="11" t="n"/>
      <c r="B440" s="12" t="n"/>
      <c r="C440" s="12" t="n"/>
      <c r="D440" s="12" t="n"/>
      <c r="E440" s="13" t="n"/>
      <c r="F440" s="12" t="n"/>
      <c r="G440" s="14" t="n"/>
      <c r="H440" s="15" t="n"/>
      <c r="I440" s="16">
        <f>IF(G440="","",G440*(1-N(H440)))</f>
        <v/>
      </c>
      <c r="J440" s="16">
        <f>IF(I440="","",E440*I440)</f>
        <v/>
      </c>
      <c r="K440">
        <f>IF(D440="","",IFERROR(VLOOKUP(D440,'Ürün Eşleştirme'!$A$6:$D$505,2,FALSE),D440))</f>
        <v/>
      </c>
      <c r="L440" s="17">
        <f>IF(D440="","",IFERROR(VLOOKUP(D440,'Ürün Eşleştirme'!$A$6:$D$505,4,FALSE),1))</f>
        <v/>
      </c>
      <c r="M440" s="16">
        <f>IF(I440="","",I440/L440)</f>
        <v/>
      </c>
      <c r="N440" s="16">
        <f>IF(M440="","",IFERROR(AVERAGEIFS($M$10:$M$1009,$K$10:$K$1009,K440,$A$10:$A$1009,"&lt;"&amp;A440,$A$10:$A$1009,"&gt;="&amp;(A440-$C$6)),""))</f>
        <v/>
      </c>
      <c r="O440" s="16">
        <f>IF(M440="","",_xlfn.MINIFS($M$10:$M$1009,$K$10:$K$1009,K440,$A$10:$A$1009,"&lt;="&amp;A440,$A$10:$A$1009,"&gt;="&amp;(A440-$C$6)))</f>
        <v/>
      </c>
      <c r="P440" s="18">
        <f>IF(OR(N440="",N440=0),"",M440/N440-1)</f>
        <v/>
      </c>
      <c r="Q440">
        <f>IF(D440="","",IF(COUNTIFS($B$10:$B$1009,B440,$C$10:$C$1009,C440,$D$10:$D$1009,D440,$E$10:$E$1009,E440)&gt;1,"MÜKERRER?",IF(P440="","",IF(P440&gt;=$C$5,"İNCELE",IF(P440&lt;=-$C$5,"Düşük",""))))</f>
        <v/>
      </c>
      <c r="R440" s="16">
        <f>IF(AND(P440&lt;&gt;"",N(P440)&gt;=$C$5,COUNTIFS($B$10:B440,B440,$C$10:C440,C440,$D$10:D440,D440,$E$10:E440,E440)=1),(M440-N440)*E440*L440,0)</f>
        <v/>
      </c>
      <c r="S440" s="19">
        <f>IF(D440="",0,N(E440)*L440)</f>
        <v/>
      </c>
    </row>
    <row r="441">
      <c r="A441" s="11" t="n"/>
      <c r="B441" s="12" t="n"/>
      <c r="C441" s="12" t="n"/>
      <c r="D441" s="12" t="n"/>
      <c r="E441" s="13" t="n"/>
      <c r="F441" s="12" t="n"/>
      <c r="G441" s="14" t="n"/>
      <c r="H441" s="15" t="n"/>
      <c r="I441" s="16">
        <f>IF(G441="","",G441*(1-N(H441)))</f>
        <v/>
      </c>
      <c r="J441" s="16">
        <f>IF(I441="","",E441*I441)</f>
        <v/>
      </c>
      <c r="K441">
        <f>IF(D441="","",IFERROR(VLOOKUP(D441,'Ürün Eşleştirme'!$A$6:$D$505,2,FALSE),D441))</f>
        <v/>
      </c>
      <c r="L441" s="17">
        <f>IF(D441="","",IFERROR(VLOOKUP(D441,'Ürün Eşleştirme'!$A$6:$D$505,4,FALSE),1))</f>
        <v/>
      </c>
      <c r="M441" s="16">
        <f>IF(I441="","",I441/L441)</f>
        <v/>
      </c>
      <c r="N441" s="16">
        <f>IF(M441="","",IFERROR(AVERAGEIFS($M$10:$M$1009,$K$10:$K$1009,K441,$A$10:$A$1009,"&lt;"&amp;A441,$A$10:$A$1009,"&gt;="&amp;(A441-$C$6)),""))</f>
        <v/>
      </c>
      <c r="O441" s="16">
        <f>IF(M441="","",_xlfn.MINIFS($M$10:$M$1009,$K$10:$K$1009,K441,$A$10:$A$1009,"&lt;="&amp;A441,$A$10:$A$1009,"&gt;="&amp;(A441-$C$6)))</f>
        <v/>
      </c>
      <c r="P441" s="18">
        <f>IF(OR(N441="",N441=0),"",M441/N441-1)</f>
        <v/>
      </c>
      <c r="Q441">
        <f>IF(D441="","",IF(COUNTIFS($B$10:$B$1009,B441,$C$10:$C$1009,C441,$D$10:$D$1009,D441,$E$10:$E$1009,E441)&gt;1,"MÜKERRER?",IF(P441="","",IF(P441&gt;=$C$5,"İNCELE",IF(P441&lt;=-$C$5,"Düşük",""))))</f>
        <v/>
      </c>
      <c r="R441" s="16">
        <f>IF(AND(P441&lt;&gt;"",N(P441)&gt;=$C$5,COUNTIFS($B$10:B441,B441,$C$10:C441,C441,$D$10:D441,D441,$E$10:E441,E441)=1),(M441-N441)*E441*L441,0)</f>
        <v/>
      </c>
      <c r="S441" s="19">
        <f>IF(D441="",0,N(E441)*L441)</f>
        <v/>
      </c>
    </row>
    <row r="442">
      <c r="A442" s="11" t="n"/>
      <c r="B442" s="12" t="n"/>
      <c r="C442" s="12" t="n"/>
      <c r="D442" s="12" t="n"/>
      <c r="E442" s="13" t="n"/>
      <c r="F442" s="12" t="n"/>
      <c r="G442" s="14" t="n"/>
      <c r="H442" s="15" t="n"/>
      <c r="I442" s="16">
        <f>IF(G442="","",G442*(1-N(H442)))</f>
        <v/>
      </c>
      <c r="J442" s="16">
        <f>IF(I442="","",E442*I442)</f>
        <v/>
      </c>
      <c r="K442">
        <f>IF(D442="","",IFERROR(VLOOKUP(D442,'Ürün Eşleştirme'!$A$6:$D$505,2,FALSE),D442))</f>
        <v/>
      </c>
      <c r="L442" s="17">
        <f>IF(D442="","",IFERROR(VLOOKUP(D442,'Ürün Eşleştirme'!$A$6:$D$505,4,FALSE),1))</f>
        <v/>
      </c>
      <c r="M442" s="16">
        <f>IF(I442="","",I442/L442)</f>
        <v/>
      </c>
      <c r="N442" s="16">
        <f>IF(M442="","",IFERROR(AVERAGEIFS($M$10:$M$1009,$K$10:$K$1009,K442,$A$10:$A$1009,"&lt;"&amp;A442,$A$10:$A$1009,"&gt;="&amp;(A442-$C$6)),""))</f>
        <v/>
      </c>
      <c r="O442" s="16">
        <f>IF(M442="","",_xlfn.MINIFS($M$10:$M$1009,$K$10:$K$1009,K442,$A$10:$A$1009,"&lt;="&amp;A442,$A$10:$A$1009,"&gt;="&amp;(A442-$C$6)))</f>
        <v/>
      </c>
      <c r="P442" s="18">
        <f>IF(OR(N442="",N442=0),"",M442/N442-1)</f>
        <v/>
      </c>
      <c r="Q442">
        <f>IF(D442="","",IF(COUNTIFS($B$10:$B$1009,B442,$C$10:$C$1009,C442,$D$10:$D$1009,D442,$E$10:$E$1009,E442)&gt;1,"MÜKERRER?",IF(P442="","",IF(P442&gt;=$C$5,"İNCELE",IF(P442&lt;=-$C$5,"Düşük",""))))</f>
        <v/>
      </c>
      <c r="R442" s="16">
        <f>IF(AND(P442&lt;&gt;"",N(P442)&gt;=$C$5,COUNTIFS($B$10:B442,B442,$C$10:C442,C442,$D$10:D442,D442,$E$10:E442,E442)=1),(M442-N442)*E442*L442,0)</f>
        <v/>
      </c>
      <c r="S442" s="19">
        <f>IF(D442="",0,N(E442)*L442)</f>
        <v/>
      </c>
    </row>
    <row r="443">
      <c r="A443" s="11" t="n"/>
      <c r="B443" s="12" t="n"/>
      <c r="C443" s="12" t="n"/>
      <c r="D443" s="12" t="n"/>
      <c r="E443" s="13" t="n"/>
      <c r="F443" s="12" t="n"/>
      <c r="G443" s="14" t="n"/>
      <c r="H443" s="15" t="n"/>
      <c r="I443" s="16">
        <f>IF(G443="","",G443*(1-N(H443)))</f>
        <v/>
      </c>
      <c r="J443" s="16">
        <f>IF(I443="","",E443*I443)</f>
        <v/>
      </c>
      <c r="K443">
        <f>IF(D443="","",IFERROR(VLOOKUP(D443,'Ürün Eşleştirme'!$A$6:$D$505,2,FALSE),D443))</f>
        <v/>
      </c>
      <c r="L443" s="17">
        <f>IF(D443="","",IFERROR(VLOOKUP(D443,'Ürün Eşleştirme'!$A$6:$D$505,4,FALSE),1))</f>
        <v/>
      </c>
      <c r="M443" s="16">
        <f>IF(I443="","",I443/L443)</f>
        <v/>
      </c>
      <c r="N443" s="16">
        <f>IF(M443="","",IFERROR(AVERAGEIFS($M$10:$M$1009,$K$10:$K$1009,K443,$A$10:$A$1009,"&lt;"&amp;A443,$A$10:$A$1009,"&gt;="&amp;(A443-$C$6)),""))</f>
        <v/>
      </c>
      <c r="O443" s="16">
        <f>IF(M443="","",_xlfn.MINIFS($M$10:$M$1009,$K$10:$K$1009,K443,$A$10:$A$1009,"&lt;="&amp;A443,$A$10:$A$1009,"&gt;="&amp;(A443-$C$6)))</f>
        <v/>
      </c>
      <c r="P443" s="18">
        <f>IF(OR(N443="",N443=0),"",M443/N443-1)</f>
        <v/>
      </c>
      <c r="Q443">
        <f>IF(D443="","",IF(COUNTIFS($B$10:$B$1009,B443,$C$10:$C$1009,C443,$D$10:$D$1009,D443,$E$10:$E$1009,E443)&gt;1,"MÜKERRER?",IF(P443="","",IF(P443&gt;=$C$5,"İNCELE",IF(P443&lt;=-$C$5,"Düşük",""))))</f>
        <v/>
      </c>
      <c r="R443" s="16">
        <f>IF(AND(P443&lt;&gt;"",N(P443)&gt;=$C$5,COUNTIFS($B$10:B443,B443,$C$10:C443,C443,$D$10:D443,D443,$E$10:E443,E443)=1),(M443-N443)*E443*L443,0)</f>
        <v/>
      </c>
      <c r="S443" s="19">
        <f>IF(D443="",0,N(E443)*L443)</f>
        <v/>
      </c>
    </row>
    <row r="444">
      <c r="A444" s="11" t="n"/>
      <c r="B444" s="12" t="n"/>
      <c r="C444" s="12" t="n"/>
      <c r="D444" s="12" t="n"/>
      <c r="E444" s="13" t="n"/>
      <c r="F444" s="12" t="n"/>
      <c r="G444" s="14" t="n"/>
      <c r="H444" s="15" t="n"/>
      <c r="I444" s="16">
        <f>IF(G444="","",G444*(1-N(H444)))</f>
        <v/>
      </c>
      <c r="J444" s="16">
        <f>IF(I444="","",E444*I444)</f>
        <v/>
      </c>
      <c r="K444">
        <f>IF(D444="","",IFERROR(VLOOKUP(D444,'Ürün Eşleştirme'!$A$6:$D$505,2,FALSE),D444))</f>
        <v/>
      </c>
      <c r="L444" s="17">
        <f>IF(D444="","",IFERROR(VLOOKUP(D444,'Ürün Eşleştirme'!$A$6:$D$505,4,FALSE),1))</f>
        <v/>
      </c>
      <c r="M444" s="16">
        <f>IF(I444="","",I444/L444)</f>
        <v/>
      </c>
      <c r="N444" s="16">
        <f>IF(M444="","",IFERROR(AVERAGEIFS($M$10:$M$1009,$K$10:$K$1009,K444,$A$10:$A$1009,"&lt;"&amp;A444,$A$10:$A$1009,"&gt;="&amp;(A444-$C$6)),""))</f>
        <v/>
      </c>
      <c r="O444" s="16">
        <f>IF(M444="","",_xlfn.MINIFS($M$10:$M$1009,$K$10:$K$1009,K444,$A$10:$A$1009,"&lt;="&amp;A444,$A$10:$A$1009,"&gt;="&amp;(A444-$C$6)))</f>
        <v/>
      </c>
      <c r="P444" s="18">
        <f>IF(OR(N444="",N444=0),"",M444/N444-1)</f>
        <v/>
      </c>
      <c r="Q444">
        <f>IF(D444="","",IF(COUNTIFS($B$10:$B$1009,B444,$C$10:$C$1009,C444,$D$10:$D$1009,D444,$E$10:$E$1009,E444)&gt;1,"MÜKERRER?",IF(P444="","",IF(P444&gt;=$C$5,"İNCELE",IF(P444&lt;=-$C$5,"Düşük",""))))</f>
        <v/>
      </c>
      <c r="R444" s="16">
        <f>IF(AND(P444&lt;&gt;"",N(P444)&gt;=$C$5,COUNTIFS($B$10:B444,B444,$C$10:C444,C444,$D$10:D444,D444,$E$10:E444,E444)=1),(M444-N444)*E444*L444,0)</f>
        <v/>
      </c>
      <c r="S444" s="19">
        <f>IF(D444="",0,N(E444)*L444)</f>
        <v/>
      </c>
    </row>
    <row r="445">
      <c r="A445" s="11" t="n"/>
      <c r="B445" s="12" t="n"/>
      <c r="C445" s="12" t="n"/>
      <c r="D445" s="12" t="n"/>
      <c r="E445" s="13" t="n"/>
      <c r="F445" s="12" t="n"/>
      <c r="G445" s="14" t="n"/>
      <c r="H445" s="15" t="n"/>
      <c r="I445" s="16">
        <f>IF(G445="","",G445*(1-N(H445)))</f>
        <v/>
      </c>
      <c r="J445" s="16">
        <f>IF(I445="","",E445*I445)</f>
        <v/>
      </c>
      <c r="K445">
        <f>IF(D445="","",IFERROR(VLOOKUP(D445,'Ürün Eşleştirme'!$A$6:$D$505,2,FALSE),D445))</f>
        <v/>
      </c>
      <c r="L445" s="17">
        <f>IF(D445="","",IFERROR(VLOOKUP(D445,'Ürün Eşleştirme'!$A$6:$D$505,4,FALSE),1))</f>
        <v/>
      </c>
      <c r="M445" s="16">
        <f>IF(I445="","",I445/L445)</f>
        <v/>
      </c>
      <c r="N445" s="16">
        <f>IF(M445="","",IFERROR(AVERAGEIFS($M$10:$M$1009,$K$10:$K$1009,K445,$A$10:$A$1009,"&lt;"&amp;A445,$A$10:$A$1009,"&gt;="&amp;(A445-$C$6)),""))</f>
        <v/>
      </c>
      <c r="O445" s="16">
        <f>IF(M445="","",_xlfn.MINIFS($M$10:$M$1009,$K$10:$K$1009,K445,$A$10:$A$1009,"&lt;="&amp;A445,$A$10:$A$1009,"&gt;="&amp;(A445-$C$6)))</f>
        <v/>
      </c>
      <c r="P445" s="18">
        <f>IF(OR(N445="",N445=0),"",M445/N445-1)</f>
        <v/>
      </c>
      <c r="Q445">
        <f>IF(D445="","",IF(COUNTIFS($B$10:$B$1009,B445,$C$10:$C$1009,C445,$D$10:$D$1009,D445,$E$10:$E$1009,E445)&gt;1,"MÜKERRER?",IF(P445="","",IF(P445&gt;=$C$5,"İNCELE",IF(P445&lt;=-$C$5,"Düşük",""))))</f>
        <v/>
      </c>
      <c r="R445" s="16">
        <f>IF(AND(P445&lt;&gt;"",N(P445)&gt;=$C$5,COUNTIFS($B$10:B445,B445,$C$10:C445,C445,$D$10:D445,D445,$E$10:E445,E445)=1),(M445-N445)*E445*L445,0)</f>
        <v/>
      </c>
      <c r="S445" s="19">
        <f>IF(D445="",0,N(E445)*L445)</f>
        <v/>
      </c>
    </row>
    <row r="446">
      <c r="A446" s="11" t="n"/>
      <c r="B446" s="12" t="n"/>
      <c r="C446" s="12" t="n"/>
      <c r="D446" s="12" t="n"/>
      <c r="E446" s="13" t="n"/>
      <c r="F446" s="12" t="n"/>
      <c r="G446" s="14" t="n"/>
      <c r="H446" s="15" t="n"/>
      <c r="I446" s="16">
        <f>IF(G446="","",G446*(1-N(H446)))</f>
        <v/>
      </c>
      <c r="J446" s="16">
        <f>IF(I446="","",E446*I446)</f>
        <v/>
      </c>
      <c r="K446">
        <f>IF(D446="","",IFERROR(VLOOKUP(D446,'Ürün Eşleştirme'!$A$6:$D$505,2,FALSE),D446))</f>
        <v/>
      </c>
      <c r="L446" s="17">
        <f>IF(D446="","",IFERROR(VLOOKUP(D446,'Ürün Eşleştirme'!$A$6:$D$505,4,FALSE),1))</f>
        <v/>
      </c>
      <c r="M446" s="16">
        <f>IF(I446="","",I446/L446)</f>
        <v/>
      </c>
      <c r="N446" s="16">
        <f>IF(M446="","",IFERROR(AVERAGEIFS($M$10:$M$1009,$K$10:$K$1009,K446,$A$10:$A$1009,"&lt;"&amp;A446,$A$10:$A$1009,"&gt;="&amp;(A446-$C$6)),""))</f>
        <v/>
      </c>
      <c r="O446" s="16">
        <f>IF(M446="","",_xlfn.MINIFS($M$10:$M$1009,$K$10:$K$1009,K446,$A$10:$A$1009,"&lt;="&amp;A446,$A$10:$A$1009,"&gt;="&amp;(A446-$C$6)))</f>
        <v/>
      </c>
      <c r="P446" s="18">
        <f>IF(OR(N446="",N446=0),"",M446/N446-1)</f>
        <v/>
      </c>
      <c r="Q446">
        <f>IF(D446="","",IF(COUNTIFS($B$10:$B$1009,B446,$C$10:$C$1009,C446,$D$10:$D$1009,D446,$E$10:$E$1009,E446)&gt;1,"MÜKERRER?",IF(P446="","",IF(P446&gt;=$C$5,"İNCELE",IF(P446&lt;=-$C$5,"Düşük",""))))</f>
        <v/>
      </c>
      <c r="R446" s="16">
        <f>IF(AND(P446&lt;&gt;"",N(P446)&gt;=$C$5,COUNTIFS($B$10:B446,B446,$C$10:C446,C446,$D$10:D446,D446,$E$10:E446,E446)=1),(M446-N446)*E446*L446,0)</f>
        <v/>
      </c>
      <c r="S446" s="19">
        <f>IF(D446="",0,N(E446)*L446)</f>
        <v/>
      </c>
    </row>
    <row r="447">
      <c r="A447" s="11" t="n"/>
      <c r="B447" s="12" t="n"/>
      <c r="C447" s="12" t="n"/>
      <c r="D447" s="12" t="n"/>
      <c r="E447" s="13" t="n"/>
      <c r="F447" s="12" t="n"/>
      <c r="G447" s="14" t="n"/>
      <c r="H447" s="15" t="n"/>
      <c r="I447" s="16">
        <f>IF(G447="","",G447*(1-N(H447)))</f>
        <v/>
      </c>
      <c r="J447" s="16">
        <f>IF(I447="","",E447*I447)</f>
        <v/>
      </c>
      <c r="K447">
        <f>IF(D447="","",IFERROR(VLOOKUP(D447,'Ürün Eşleştirme'!$A$6:$D$505,2,FALSE),D447))</f>
        <v/>
      </c>
      <c r="L447" s="17">
        <f>IF(D447="","",IFERROR(VLOOKUP(D447,'Ürün Eşleştirme'!$A$6:$D$505,4,FALSE),1))</f>
        <v/>
      </c>
      <c r="M447" s="16">
        <f>IF(I447="","",I447/L447)</f>
        <v/>
      </c>
      <c r="N447" s="16">
        <f>IF(M447="","",IFERROR(AVERAGEIFS($M$10:$M$1009,$K$10:$K$1009,K447,$A$10:$A$1009,"&lt;"&amp;A447,$A$10:$A$1009,"&gt;="&amp;(A447-$C$6)),""))</f>
        <v/>
      </c>
      <c r="O447" s="16">
        <f>IF(M447="","",_xlfn.MINIFS($M$10:$M$1009,$K$10:$K$1009,K447,$A$10:$A$1009,"&lt;="&amp;A447,$A$10:$A$1009,"&gt;="&amp;(A447-$C$6)))</f>
        <v/>
      </c>
      <c r="P447" s="18">
        <f>IF(OR(N447="",N447=0),"",M447/N447-1)</f>
        <v/>
      </c>
      <c r="Q447">
        <f>IF(D447="","",IF(COUNTIFS($B$10:$B$1009,B447,$C$10:$C$1009,C447,$D$10:$D$1009,D447,$E$10:$E$1009,E447)&gt;1,"MÜKERRER?",IF(P447="","",IF(P447&gt;=$C$5,"İNCELE",IF(P447&lt;=-$C$5,"Düşük",""))))</f>
        <v/>
      </c>
      <c r="R447" s="16">
        <f>IF(AND(P447&lt;&gt;"",N(P447)&gt;=$C$5,COUNTIFS($B$10:B447,B447,$C$10:C447,C447,$D$10:D447,D447,$E$10:E447,E447)=1),(M447-N447)*E447*L447,0)</f>
        <v/>
      </c>
      <c r="S447" s="19">
        <f>IF(D447="",0,N(E447)*L447)</f>
        <v/>
      </c>
    </row>
    <row r="448">
      <c r="A448" s="11" t="n"/>
      <c r="B448" s="12" t="n"/>
      <c r="C448" s="12" t="n"/>
      <c r="D448" s="12" t="n"/>
      <c r="E448" s="13" t="n"/>
      <c r="F448" s="12" t="n"/>
      <c r="G448" s="14" t="n"/>
      <c r="H448" s="15" t="n"/>
      <c r="I448" s="16">
        <f>IF(G448="","",G448*(1-N(H448)))</f>
        <v/>
      </c>
      <c r="J448" s="16">
        <f>IF(I448="","",E448*I448)</f>
        <v/>
      </c>
      <c r="K448">
        <f>IF(D448="","",IFERROR(VLOOKUP(D448,'Ürün Eşleştirme'!$A$6:$D$505,2,FALSE),D448))</f>
        <v/>
      </c>
      <c r="L448" s="17">
        <f>IF(D448="","",IFERROR(VLOOKUP(D448,'Ürün Eşleştirme'!$A$6:$D$505,4,FALSE),1))</f>
        <v/>
      </c>
      <c r="M448" s="16">
        <f>IF(I448="","",I448/L448)</f>
        <v/>
      </c>
      <c r="N448" s="16">
        <f>IF(M448="","",IFERROR(AVERAGEIFS($M$10:$M$1009,$K$10:$K$1009,K448,$A$10:$A$1009,"&lt;"&amp;A448,$A$10:$A$1009,"&gt;="&amp;(A448-$C$6)),""))</f>
        <v/>
      </c>
      <c r="O448" s="16">
        <f>IF(M448="","",_xlfn.MINIFS($M$10:$M$1009,$K$10:$K$1009,K448,$A$10:$A$1009,"&lt;="&amp;A448,$A$10:$A$1009,"&gt;="&amp;(A448-$C$6)))</f>
        <v/>
      </c>
      <c r="P448" s="18">
        <f>IF(OR(N448="",N448=0),"",M448/N448-1)</f>
        <v/>
      </c>
      <c r="Q448">
        <f>IF(D448="","",IF(COUNTIFS($B$10:$B$1009,B448,$C$10:$C$1009,C448,$D$10:$D$1009,D448,$E$10:$E$1009,E448)&gt;1,"MÜKERRER?",IF(P448="","",IF(P448&gt;=$C$5,"İNCELE",IF(P448&lt;=-$C$5,"Düşük",""))))</f>
        <v/>
      </c>
      <c r="R448" s="16">
        <f>IF(AND(P448&lt;&gt;"",N(P448)&gt;=$C$5,COUNTIFS($B$10:B448,B448,$C$10:C448,C448,$D$10:D448,D448,$E$10:E448,E448)=1),(M448-N448)*E448*L448,0)</f>
        <v/>
      </c>
      <c r="S448" s="19">
        <f>IF(D448="",0,N(E448)*L448)</f>
        <v/>
      </c>
    </row>
    <row r="449">
      <c r="A449" s="11" t="n"/>
      <c r="B449" s="12" t="n"/>
      <c r="C449" s="12" t="n"/>
      <c r="D449" s="12" t="n"/>
      <c r="E449" s="13" t="n"/>
      <c r="F449" s="12" t="n"/>
      <c r="G449" s="14" t="n"/>
      <c r="H449" s="15" t="n"/>
      <c r="I449" s="16">
        <f>IF(G449="","",G449*(1-N(H449)))</f>
        <v/>
      </c>
      <c r="J449" s="16">
        <f>IF(I449="","",E449*I449)</f>
        <v/>
      </c>
      <c r="K449">
        <f>IF(D449="","",IFERROR(VLOOKUP(D449,'Ürün Eşleştirme'!$A$6:$D$505,2,FALSE),D449))</f>
        <v/>
      </c>
      <c r="L449" s="17">
        <f>IF(D449="","",IFERROR(VLOOKUP(D449,'Ürün Eşleştirme'!$A$6:$D$505,4,FALSE),1))</f>
        <v/>
      </c>
      <c r="M449" s="16">
        <f>IF(I449="","",I449/L449)</f>
        <v/>
      </c>
      <c r="N449" s="16">
        <f>IF(M449="","",IFERROR(AVERAGEIFS($M$10:$M$1009,$K$10:$K$1009,K449,$A$10:$A$1009,"&lt;"&amp;A449,$A$10:$A$1009,"&gt;="&amp;(A449-$C$6)),""))</f>
        <v/>
      </c>
      <c r="O449" s="16">
        <f>IF(M449="","",_xlfn.MINIFS($M$10:$M$1009,$K$10:$K$1009,K449,$A$10:$A$1009,"&lt;="&amp;A449,$A$10:$A$1009,"&gt;="&amp;(A449-$C$6)))</f>
        <v/>
      </c>
      <c r="P449" s="18">
        <f>IF(OR(N449="",N449=0),"",M449/N449-1)</f>
        <v/>
      </c>
      <c r="Q449">
        <f>IF(D449="","",IF(COUNTIFS($B$10:$B$1009,B449,$C$10:$C$1009,C449,$D$10:$D$1009,D449,$E$10:$E$1009,E449)&gt;1,"MÜKERRER?",IF(P449="","",IF(P449&gt;=$C$5,"İNCELE",IF(P449&lt;=-$C$5,"Düşük",""))))</f>
        <v/>
      </c>
      <c r="R449" s="16">
        <f>IF(AND(P449&lt;&gt;"",N(P449)&gt;=$C$5,COUNTIFS($B$10:B449,B449,$C$10:C449,C449,$D$10:D449,D449,$E$10:E449,E449)=1),(M449-N449)*E449*L449,0)</f>
        <v/>
      </c>
      <c r="S449" s="19">
        <f>IF(D449="",0,N(E449)*L449)</f>
        <v/>
      </c>
    </row>
    <row r="450">
      <c r="A450" s="11" t="n"/>
      <c r="B450" s="12" t="n"/>
      <c r="C450" s="12" t="n"/>
      <c r="D450" s="12" t="n"/>
      <c r="E450" s="13" t="n"/>
      <c r="F450" s="12" t="n"/>
      <c r="G450" s="14" t="n"/>
      <c r="H450" s="15" t="n"/>
      <c r="I450" s="16">
        <f>IF(G450="","",G450*(1-N(H450)))</f>
        <v/>
      </c>
      <c r="J450" s="16">
        <f>IF(I450="","",E450*I450)</f>
        <v/>
      </c>
      <c r="K450">
        <f>IF(D450="","",IFERROR(VLOOKUP(D450,'Ürün Eşleştirme'!$A$6:$D$505,2,FALSE),D450))</f>
        <v/>
      </c>
      <c r="L450" s="17">
        <f>IF(D450="","",IFERROR(VLOOKUP(D450,'Ürün Eşleştirme'!$A$6:$D$505,4,FALSE),1))</f>
        <v/>
      </c>
      <c r="M450" s="16">
        <f>IF(I450="","",I450/L450)</f>
        <v/>
      </c>
      <c r="N450" s="16">
        <f>IF(M450="","",IFERROR(AVERAGEIFS($M$10:$M$1009,$K$10:$K$1009,K450,$A$10:$A$1009,"&lt;"&amp;A450,$A$10:$A$1009,"&gt;="&amp;(A450-$C$6)),""))</f>
        <v/>
      </c>
      <c r="O450" s="16">
        <f>IF(M450="","",_xlfn.MINIFS($M$10:$M$1009,$K$10:$K$1009,K450,$A$10:$A$1009,"&lt;="&amp;A450,$A$10:$A$1009,"&gt;="&amp;(A450-$C$6)))</f>
        <v/>
      </c>
      <c r="P450" s="18">
        <f>IF(OR(N450="",N450=0),"",M450/N450-1)</f>
        <v/>
      </c>
      <c r="Q450">
        <f>IF(D450="","",IF(COUNTIFS($B$10:$B$1009,B450,$C$10:$C$1009,C450,$D$10:$D$1009,D450,$E$10:$E$1009,E450)&gt;1,"MÜKERRER?",IF(P450="","",IF(P450&gt;=$C$5,"İNCELE",IF(P450&lt;=-$C$5,"Düşük",""))))</f>
        <v/>
      </c>
      <c r="R450" s="16">
        <f>IF(AND(P450&lt;&gt;"",N(P450)&gt;=$C$5,COUNTIFS($B$10:B450,B450,$C$10:C450,C450,$D$10:D450,D450,$E$10:E450,E450)=1),(M450-N450)*E450*L450,0)</f>
        <v/>
      </c>
      <c r="S450" s="19">
        <f>IF(D450="",0,N(E450)*L450)</f>
        <v/>
      </c>
    </row>
    <row r="451">
      <c r="A451" s="11" t="n"/>
      <c r="B451" s="12" t="n"/>
      <c r="C451" s="12" t="n"/>
      <c r="D451" s="12" t="n"/>
      <c r="E451" s="13" t="n"/>
      <c r="F451" s="12" t="n"/>
      <c r="G451" s="14" t="n"/>
      <c r="H451" s="15" t="n"/>
      <c r="I451" s="16">
        <f>IF(G451="","",G451*(1-N(H451)))</f>
        <v/>
      </c>
      <c r="J451" s="16">
        <f>IF(I451="","",E451*I451)</f>
        <v/>
      </c>
      <c r="K451">
        <f>IF(D451="","",IFERROR(VLOOKUP(D451,'Ürün Eşleştirme'!$A$6:$D$505,2,FALSE),D451))</f>
        <v/>
      </c>
      <c r="L451" s="17">
        <f>IF(D451="","",IFERROR(VLOOKUP(D451,'Ürün Eşleştirme'!$A$6:$D$505,4,FALSE),1))</f>
        <v/>
      </c>
      <c r="M451" s="16">
        <f>IF(I451="","",I451/L451)</f>
        <v/>
      </c>
      <c r="N451" s="16">
        <f>IF(M451="","",IFERROR(AVERAGEIFS($M$10:$M$1009,$K$10:$K$1009,K451,$A$10:$A$1009,"&lt;"&amp;A451,$A$10:$A$1009,"&gt;="&amp;(A451-$C$6)),""))</f>
        <v/>
      </c>
      <c r="O451" s="16">
        <f>IF(M451="","",_xlfn.MINIFS($M$10:$M$1009,$K$10:$K$1009,K451,$A$10:$A$1009,"&lt;="&amp;A451,$A$10:$A$1009,"&gt;="&amp;(A451-$C$6)))</f>
        <v/>
      </c>
      <c r="P451" s="18">
        <f>IF(OR(N451="",N451=0),"",M451/N451-1)</f>
        <v/>
      </c>
      <c r="Q451">
        <f>IF(D451="","",IF(COUNTIFS($B$10:$B$1009,B451,$C$10:$C$1009,C451,$D$10:$D$1009,D451,$E$10:$E$1009,E451)&gt;1,"MÜKERRER?",IF(P451="","",IF(P451&gt;=$C$5,"İNCELE",IF(P451&lt;=-$C$5,"Düşük",""))))</f>
        <v/>
      </c>
      <c r="R451" s="16">
        <f>IF(AND(P451&lt;&gt;"",N(P451)&gt;=$C$5,COUNTIFS($B$10:B451,B451,$C$10:C451,C451,$D$10:D451,D451,$E$10:E451,E451)=1),(M451-N451)*E451*L451,0)</f>
        <v/>
      </c>
      <c r="S451" s="19">
        <f>IF(D451="",0,N(E451)*L451)</f>
        <v/>
      </c>
    </row>
    <row r="452">
      <c r="A452" s="11" t="n"/>
      <c r="B452" s="12" t="n"/>
      <c r="C452" s="12" t="n"/>
      <c r="D452" s="12" t="n"/>
      <c r="E452" s="13" t="n"/>
      <c r="F452" s="12" t="n"/>
      <c r="G452" s="14" t="n"/>
      <c r="H452" s="15" t="n"/>
      <c r="I452" s="16">
        <f>IF(G452="","",G452*(1-N(H452)))</f>
        <v/>
      </c>
      <c r="J452" s="16">
        <f>IF(I452="","",E452*I452)</f>
        <v/>
      </c>
      <c r="K452">
        <f>IF(D452="","",IFERROR(VLOOKUP(D452,'Ürün Eşleştirme'!$A$6:$D$505,2,FALSE),D452))</f>
        <v/>
      </c>
      <c r="L452" s="17">
        <f>IF(D452="","",IFERROR(VLOOKUP(D452,'Ürün Eşleştirme'!$A$6:$D$505,4,FALSE),1))</f>
        <v/>
      </c>
      <c r="M452" s="16">
        <f>IF(I452="","",I452/L452)</f>
        <v/>
      </c>
      <c r="N452" s="16">
        <f>IF(M452="","",IFERROR(AVERAGEIFS($M$10:$M$1009,$K$10:$K$1009,K452,$A$10:$A$1009,"&lt;"&amp;A452,$A$10:$A$1009,"&gt;="&amp;(A452-$C$6)),""))</f>
        <v/>
      </c>
      <c r="O452" s="16">
        <f>IF(M452="","",_xlfn.MINIFS($M$10:$M$1009,$K$10:$K$1009,K452,$A$10:$A$1009,"&lt;="&amp;A452,$A$10:$A$1009,"&gt;="&amp;(A452-$C$6)))</f>
        <v/>
      </c>
      <c r="P452" s="18">
        <f>IF(OR(N452="",N452=0),"",M452/N452-1)</f>
        <v/>
      </c>
      <c r="Q452">
        <f>IF(D452="","",IF(COUNTIFS($B$10:$B$1009,B452,$C$10:$C$1009,C452,$D$10:$D$1009,D452,$E$10:$E$1009,E452)&gt;1,"MÜKERRER?",IF(P452="","",IF(P452&gt;=$C$5,"İNCELE",IF(P452&lt;=-$C$5,"Düşük",""))))</f>
        <v/>
      </c>
      <c r="R452" s="16">
        <f>IF(AND(P452&lt;&gt;"",N(P452)&gt;=$C$5,COUNTIFS($B$10:B452,B452,$C$10:C452,C452,$D$10:D452,D452,$E$10:E452,E452)=1),(M452-N452)*E452*L452,0)</f>
        <v/>
      </c>
      <c r="S452" s="19">
        <f>IF(D452="",0,N(E452)*L452)</f>
        <v/>
      </c>
    </row>
    <row r="453">
      <c r="A453" s="11" t="n"/>
      <c r="B453" s="12" t="n"/>
      <c r="C453" s="12" t="n"/>
      <c r="D453" s="12" t="n"/>
      <c r="E453" s="13" t="n"/>
      <c r="F453" s="12" t="n"/>
      <c r="G453" s="14" t="n"/>
      <c r="H453" s="15" t="n"/>
      <c r="I453" s="16">
        <f>IF(G453="","",G453*(1-N(H453)))</f>
        <v/>
      </c>
      <c r="J453" s="16">
        <f>IF(I453="","",E453*I453)</f>
        <v/>
      </c>
      <c r="K453">
        <f>IF(D453="","",IFERROR(VLOOKUP(D453,'Ürün Eşleştirme'!$A$6:$D$505,2,FALSE),D453))</f>
        <v/>
      </c>
      <c r="L453" s="17">
        <f>IF(D453="","",IFERROR(VLOOKUP(D453,'Ürün Eşleştirme'!$A$6:$D$505,4,FALSE),1))</f>
        <v/>
      </c>
      <c r="M453" s="16">
        <f>IF(I453="","",I453/L453)</f>
        <v/>
      </c>
      <c r="N453" s="16">
        <f>IF(M453="","",IFERROR(AVERAGEIFS($M$10:$M$1009,$K$10:$K$1009,K453,$A$10:$A$1009,"&lt;"&amp;A453,$A$10:$A$1009,"&gt;="&amp;(A453-$C$6)),""))</f>
        <v/>
      </c>
      <c r="O453" s="16">
        <f>IF(M453="","",_xlfn.MINIFS($M$10:$M$1009,$K$10:$K$1009,K453,$A$10:$A$1009,"&lt;="&amp;A453,$A$10:$A$1009,"&gt;="&amp;(A453-$C$6)))</f>
        <v/>
      </c>
      <c r="P453" s="18">
        <f>IF(OR(N453="",N453=0),"",M453/N453-1)</f>
        <v/>
      </c>
      <c r="Q453">
        <f>IF(D453="","",IF(COUNTIFS($B$10:$B$1009,B453,$C$10:$C$1009,C453,$D$10:$D$1009,D453,$E$10:$E$1009,E453)&gt;1,"MÜKERRER?",IF(P453="","",IF(P453&gt;=$C$5,"İNCELE",IF(P453&lt;=-$C$5,"Düşük",""))))</f>
        <v/>
      </c>
      <c r="R453" s="16">
        <f>IF(AND(P453&lt;&gt;"",N(P453)&gt;=$C$5,COUNTIFS($B$10:B453,B453,$C$10:C453,C453,$D$10:D453,D453,$E$10:E453,E453)=1),(M453-N453)*E453*L453,0)</f>
        <v/>
      </c>
      <c r="S453" s="19">
        <f>IF(D453="",0,N(E453)*L453)</f>
        <v/>
      </c>
    </row>
    <row r="454">
      <c r="A454" s="11" t="n"/>
      <c r="B454" s="12" t="n"/>
      <c r="C454" s="12" t="n"/>
      <c r="D454" s="12" t="n"/>
      <c r="E454" s="13" t="n"/>
      <c r="F454" s="12" t="n"/>
      <c r="G454" s="14" t="n"/>
      <c r="H454" s="15" t="n"/>
      <c r="I454" s="16">
        <f>IF(G454="","",G454*(1-N(H454)))</f>
        <v/>
      </c>
      <c r="J454" s="16">
        <f>IF(I454="","",E454*I454)</f>
        <v/>
      </c>
      <c r="K454">
        <f>IF(D454="","",IFERROR(VLOOKUP(D454,'Ürün Eşleştirme'!$A$6:$D$505,2,FALSE),D454))</f>
        <v/>
      </c>
      <c r="L454" s="17">
        <f>IF(D454="","",IFERROR(VLOOKUP(D454,'Ürün Eşleştirme'!$A$6:$D$505,4,FALSE),1))</f>
        <v/>
      </c>
      <c r="M454" s="16">
        <f>IF(I454="","",I454/L454)</f>
        <v/>
      </c>
      <c r="N454" s="16">
        <f>IF(M454="","",IFERROR(AVERAGEIFS($M$10:$M$1009,$K$10:$K$1009,K454,$A$10:$A$1009,"&lt;"&amp;A454,$A$10:$A$1009,"&gt;="&amp;(A454-$C$6)),""))</f>
        <v/>
      </c>
      <c r="O454" s="16">
        <f>IF(M454="","",_xlfn.MINIFS($M$10:$M$1009,$K$10:$K$1009,K454,$A$10:$A$1009,"&lt;="&amp;A454,$A$10:$A$1009,"&gt;="&amp;(A454-$C$6)))</f>
        <v/>
      </c>
      <c r="P454" s="18">
        <f>IF(OR(N454="",N454=0),"",M454/N454-1)</f>
        <v/>
      </c>
      <c r="Q454">
        <f>IF(D454="","",IF(COUNTIFS($B$10:$B$1009,B454,$C$10:$C$1009,C454,$D$10:$D$1009,D454,$E$10:$E$1009,E454)&gt;1,"MÜKERRER?",IF(P454="","",IF(P454&gt;=$C$5,"İNCELE",IF(P454&lt;=-$C$5,"Düşük",""))))</f>
        <v/>
      </c>
      <c r="R454" s="16">
        <f>IF(AND(P454&lt;&gt;"",N(P454)&gt;=$C$5,COUNTIFS($B$10:B454,B454,$C$10:C454,C454,$D$10:D454,D454,$E$10:E454,E454)=1),(M454-N454)*E454*L454,0)</f>
        <v/>
      </c>
      <c r="S454" s="19">
        <f>IF(D454="",0,N(E454)*L454)</f>
        <v/>
      </c>
    </row>
    <row r="455">
      <c r="A455" s="11" t="n"/>
      <c r="B455" s="12" t="n"/>
      <c r="C455" s="12" t="n"/>
      <c r="D455" s="12" t="n"/>
      <c r="E455" s="13" t="n"/>
      <c r="F455" s="12" t="n"/>
      <c r="G455" s="14" t="n"/>
      <c r="H455" s="15" t="n"/>
      <c r="I455" s="16">
        <f>IF(G455="","",G455*(1-N(H455)))</f>
        <v/>
      </c>
      <c r="J455" s="16">
        <f>IF(I455="","",E455*I455)</f>
        <v/>
      </c>
      <c r="K455">
        <f>IF(D455="","",IFERROR(VLOOKUP(D455,'Ürün Eşleştirme'!$A$6:$D$505,2,FALSE),D455))</f>
        <v/>
      </c>
      <c r="L455" s="17">
        <f>IF(D455="","",IFERROR(VLOOKUP(D455,'Ürün Eşleştirme'!$A$6:$D$505,4,FALSE),1))</f>
        <v/>
      </c>
      <c r="M455" s="16">
        <f>IF(I455="","",I455/L455)</f>
        <v/>
      </c>
      <c r="N455" s="16">
        <f>IF(M455="","",IFERROR(AVERAGEIFS($M$10:$M$1009,$K$10:$K$1009,K455,$A$10:$A$1009,"&lt;"&amp;A455,$A$10:$A$1009,"&gt;="&amp;(A455-$C$6)),""))</f>
        <v/>
      </c>
      <c r="O455" s="16">
        <f>IF(M455="","",_xlfn.MINIFS($M$10:$M$1009,$K$10:$K$1009,K455,$A$10:$A$1009,"&lt;="&amp;A455,$A$10:$A$1009,"&gt;="&amp;(A455-$C$6)))</f>
        <v/>
      </c>
      <c r="P455" s="18">
        <f>IF(OR(N455="",N455=0),"",M455/N455-1)</f>
        <v/>
      </c>
      <c r="Q455">
        <f>IF(D455="","",IF(COUNTIFS($B$10:$B$1009,B455,$C$10:$C$1009,C455,$D$10:$D$1009,D455,$E$10:$E$1009,E455)&gt;1,"MÜKERRER?",IF(P455="","",IF(P455&gt;=$C$5,"İNCELE",IF(P455&lt;=-$C$5,"Düşük",""))))</f>
        <v/>
      </c>
      <c r="R455" s="16">
        <f>IF(AND(P455&lt;&gt;"",N(P455)&gt;=$C$5,COUNTIFS($B$10:B455,B455,$C$10:C455,C455,$D$10:D455,D455,$E$10:E455,E455)=1),(M455-N455)*E455*L455,0)</f>
        <v/>
      </c>
      <c r="S455" s="19">
        <f>IF(D455="",0,N(E455)*L455)</f>
        <v/>
      </c>
    </row>
    <row r="456">
      <c r="A456" s="11" t="n"/>
      <c r="B456" s="12" t="n"/>
      <c r="C456" s="12" t="n"/>
      <c r="D456" s="12" t="n"/>
      <c r="E456" s="13" t="n"/>
      <c r="F456" s="12" t="n"/>
      <c r="G456" s="14" t="n"/>
      <c r="H456" s="15" t="n"/>
      <c r="I456" s="16">
        <f>IF(G456="","",G456*(1-N(H456)))</f>
        <v/>
      </c>
      <c r="J456" s="16">
        <f>IF(I456="","",E456*I456)</f>
        <v/>
      </c>
      <c r="K456">
        <f>IF(D456="","",IFERROR(VLOOKUP(D456,'Ürün Eşleştirme'!$A$6:$D$505,2,FALSE),D456))</f>
        <v/>
      </c>
      <c r="L456" s="17">
        <f>IF(D456="","",IFERROR(VLOOKUP(D456,'Ürün Eşleştirme'!$A$6:$D$505,4,FALSE),1))</f>
        <v/>
      </c>
      <c r="M456" s="16">
        <f>IF(I456="","",I456/L456)</f>
        <v/>
      </c>
      <c r="N456" s="16">
        <f>IF(M456="","",IFERROR(AVERAGEIFS($M$10:$M$1009,$K$10:$K$1009,K456,$A$10:$A$1009,"&lt;"&amp;A456,$A$10:$A$1009,"&gt;="&amp;(A456-$C$6)),""))</f>
        <v/>
      </c>
      <c r="O456" s="16">
        <f>IF(M456="","",_xlfn.MINIFS($M$10:$M$1009,$K$10:$K$1009,K456,$A$10:$A$1009,"&lt;="&amp;A456,$A$10:$A$1009,"&gt;="&amp;(A456-$C$6)))</f>
        <v/>
      </c>
      <c r="P456" s="18">
        <f>IF(OR(N456="",N456=0),"",M456/N456-1)</f>
        <v/>
      </c>
      <c r="Q456">
        <f>IF(D456="","",IF(COUNTIFS($B$10:$B$1009,B456,$C$10:$C$1009,C456,$D$10:$D$1009,D456,$E$10:$E$1009,E456)&gt;1,"MÜKERRER?",IF(P456="","",IF(P456&gt;=$C$5,"İNCELE",IF(P456&lt;=-$C$5,"Düşük",""))))</f>
        <v/>
      </c>
      <c r="R456" s="16">
        <f>IF(AND(P456&lt;&gt;"",N(P456)&gt;=$C$5,COUNTIFS($B$10:B456,B456,$C$10:C456,C456,$D$10:D456,D456,$E$10:E456,E456)=1),(M456-N456)*E456*L456,0)</f>
        <v/>
      </c>
      <c r="S456" s="19">
        <f>IF(D456="",0,N(E456)*L456)</f>
        <v/>
      </c>
    </row>
    <row r="457">
      <c r="A457" s="11" t="n"/>
      <c r="B457" s="12" t="n"/>
      <c r="C457" s="12" t="n"/>
      <c r="D457" s="12" t="n"/>
      <c r="E457" s="13" t="n"/>
      <c r="F457" s="12" t="n"/>
      <c r="G457" s="14" t="n"/>
      <c r="H457" s="15" t="n"/>
      <c r="I457" s="16">
        <f>IF(G457="","",G457*(1-N(H457)))</f>
        <v/>
      </c>
      <c r="J457" s="16">
        <f>IF(I457="","",E457*I457)</f>
        <v/>
      </c>
      <c r="K457">
        <f>IF(D457="","",IFERROR(VLOOKUP(D457,'Ürün Eşleştirme'!$A$6:$D$505,2,FALSE),D457))</f>
        <v/>
      </c>
      <c r="L457" s="17">
        <f>IF(D457="","",IFERROR(VLOOKUP(D457,'Ürün Eşleştirme'!$A$6:$D$505,4,FALSE),1))</f>
        <v/>
      </c>
      <c r="M457" s="16">
        <f>IF(I457="","",I457/L457)</f>
        <v/>
      </c>
      <c r="N457" s="16">
        <f>IF(M457="","",IFERROR(AVERAGEIFS($M$10:$M$1009,$K$10:$K$1009,K457,$A$10:$A$1009,"&lt;"&amp;A457,$A$10:$A$1009,"&gt;="&amp;(A457-$C$6)),""))</f>
        <v/>
      </c>
      <c r="O457" s="16">
        <f>IF(M457="","",_xlfn.MINIFS($M$10:$M$1009,$K$10:$K$1009,K457,$A$10:$A$1009,"&lt;="&amp;A457,$A$10:$A$1009,"&gt;="&amp;(A457-$C$6)))</f>
        <v/>
      </c>
      <c r="P457" s="18">
        <f>IF(OR(N457="",N457=0),"",M457/N457-1)</f>
        <v/>
      </c>
      <c r="Q457">
        <f>IF(D457="","",IF(COUNTIFS($B$10:$B$1009,B457,$C$10:$C$1009,C457,$D$10:$D$1009,D457,$E$10:$E$1009,E457)&gt;1,"MÜKERRER?",IF(P457="","",IF(P457&gt;=$C$5,"İNCELE",IF(P457&lt;=-$C$5,"Düşük",""))))</f>
        <v/>
      </c>
      <c r="R457" s="16">
        <f>IF(AND(P457&lt;&gt;"",N(P457)&gt;=$C$5,COUNTIFS($B$10:B457,B457,$C$10:C457,C457,$D$10:D457,D457,$E$10:E457,E457)=1),(M457-N457)*E457*L457,0)</f>
        <v/>
      </c>
      <c r="S457" s="19">
        <f>IF(D457="",0,N(E457)*L457)</f>
        <v/>
      </c>
    </row>
    <row r="458">
      <c r="A458" s="11" t="n"/>
      <c r="B458" s="12" t="n"/>
      <c r="C458" s="12" t="n"/>
      <c r="D458" s="12" t="n"/>
      <c r="E458" s="13" t="n"/>
      <c r="F458" s="12" t="n"/>
      <c r="G458" s="14" t="n"/>
      <c r="H458" s="15" t="n"/>
      <c r="I458" s="16">
        <f>IF(G458="","",G458*(1-N(H458)))</f>
        <v/>
      </c>
      <c r="J458" s="16">
        <f>IF(I458="","",E458*I458)</f>
        <v/>
      </c>
      <c r="K458">
        <f>IF(D458="","",IFERROR(VLOOKUP(D458,'Ürün Eşleştirme'!$A$6:$D$505,2,FALSE),D458))</f>
        <v/>
      </c>
      <c r="L458" s="17">
        <f>IF(D458="","",IFERROR(VLOOKUP(D458,'Ürün Eşleştirme'!$A$6:$D$505,4,FALSE),1))</f>
        <v/>
      </c>
      <c r="M458" s="16">
        <f>IF(I458="","",I458/L458)</f>
        <v/>
      </c>
      <c r="N458" s="16">
        <f>IF(M458="","",IFERROR(AVERAGEIFS($M$10:$M$1009,$K$10:$K$1009,K458,$A$10:$A$1009,"&lt;"&amp;A458,$A$10:$A$1009,"&gt;="&amp;(A458-$C$6)),""))</f>
        <v/>
      </c>
      <c r="O458" s="16">
        <f>IF(M458="","",_xlfn.MINIFS($M$10:$M$1009,$K$10:$K$1009,K458,$A$10:$A$1009,"&lt;="&amp;A458,$A$10:$A$1009,"&gt;="&amp;(A458-$C$6)))</f>
        <v/>
      </c>
      <c r="P458" s="18">
        <f>IF(OR(N458="",N458=0),"",M458/N458-1)</f>
        <v/>
      </c>
      <c r="Q458">
        <f>IF(D458="","",IF(COUNTIFS($B$10:$B$1009,B458,$C$10:$C$1009,C458,$D$10:$D$1009,D458,$E$10:$E$1009,E458)&gt;1,"MÜKERRER?",IF(P458="","",IF(P458&gt;=$C$5,"İNCELE",IF(P458&lt;=-$C$5,"Düşük",""))))</f>
        <v/>
      </c>
      <c r="R458" s="16">
        <f>IF(AND(P458&lt;&gt;"",N(P458)&gt;=$C$5,COUNTIFS($B$10:B458,B458,$C$10:C458,C458,$D$10:D458,D458,$E$10:E458,E458)=1),(M458-N458)*E458*L458,0)</f>
        <v/>
      </c>
      <c r="S458" s="19">
        <f>IF(D458="",0,N(E458)*L458)</f>
        <v/>
      </c>
    </row>
    <row r="459">
      <c r="A459" s="11" t="n"/>
      <c r="B459" s="12" t="n"/>
      <c r="C459" s="12" t="n"/>
      <c r="D459" s="12" t="n"/>
      <c r="E459" s="13" t="n"/>
      <c r="F459" s="12" t="n"/>
      <c r="G459" s="14" t="n"/>
      <c r="H459" s="15" t="n"/>
      <c r="I459" s="16">
        <f>IF(G459="","",G459*(1-N(H459)))</f>
        <v/>
      </c>
      <c r="J459" s="16">
        <f>IF(I459="","",E459*I459)</f>
        <v/>
      </c>
      <c r="K459">
        <f>IF(D459="","",IFERROR(VLOOKUP(D459,'Ürün Eşleştirme'!$A$6:$D$505,2,FALSE),D459))</f>
        <v/>
      </c>
      <c r="L459" s="17">
        <f>IF(D459="","",IFERROR(VLOOKUP(D459,'Ürün Eşleştirme'!$A$6:$D$505,4,FALSE),1))</f>
        <v/>
      </c>
      <c r="M459" s="16">
        <f>IF(I459="","",I459/L459)</f>
        <v/>
      </c>
      <c r="N459" s="16">
        <f>IF(M459="","",IFERROR(AVERAGEIFS($M$10:$M$1009,$K$10:$K$1009,K459,$A$10:$A$1009,"&lt;"&amp;A459,$A$10:$A$1009,"&gt;="&amp;(A459-$C$6)),""))</f>
        <v/>
      </c>
      <c r="O459" s="16">
        <f>IF(M459="","",_xlfn.MINIFS($M$10:$M$1009,$K$10:$K$1009,K459,$A$10:$A$1009,"&lt;="&amp;A459,$A$10:$A$1009,"&gt;="&amp;(A459-$C$6)))</f>
        <v/>
      </c>
      <c r="P459" s="18">
        <f>IF(OR(N459="",N459=0),"",M459/N459-1)</f>
        <v/>
      </c>
      <c r="Q459">
        <f>IF(D459="","",IF(COUNTIFS($B$10:$B$1009,B459,$C$10:$C$1009,C459,$D$10:$D$1009,D459,$E$10:$E$1009,E459)&gt;1,"MÜKERRER?",IF(P459="","",IF(P459&gt;=$C$5,"İNCELE",IF(P459&lt;=-$C$5,"Düşük",""))))</f>
        <v/>
      </c>
      <c r="R459" s="16">
        <f>IF(AND(P459&lt;&gt;"",N(P459)&gt;=$C$5,COUNTIFS($B$10:B459,B459,$C$10:C459,C459,$D$10:D459,D459,$E$10:E459,E459)=1),(M459-N459)*E459*L459,0)</f>
        <v/>
      </c>
      <c r="S459" s="19">
        <f>IF(D459="",0,N(E459)*L459)</f>
        <v/>
      </c>
    </row>
    <row r="460">
      <c r="A460" s="11" t="n"/>
      <c r="B460" s="12" t="n"/>
      <c r="C460" s="12" t="n"/>
      <c r="D460" s="12" t="n"/>
      <c r="E460" s="13" t="n"/>
      <c r="F460" s="12" t="n"/>
      <c r="G460" s="14" t="n"/>
      <c r="H460" s="15" t="n"/>
      <c r="I460" s="16">
        <f>IF(G460="","",G460*(1-N(H460)))</f>
        <v/>
      </c>
      <c r="J460" s="16">
        <f>IF(I460="","",E460*I460)</f>
        <v/>
      </c>
      <c r="K460">
        <f>IF(D460="","",IFERROR(VLOOKUP(D460,'Ürün Eşleştirme'!$A$6:$D$505,2,FALSE),D460))</f>
        <v/>
      </c>
      <c r="L460" s="17">
        <f>IF(D460="","",IFERROR(VLOOKUP(D460,'Ürün Eşleştirme'!$A$6:$D$505,4,FALSE),1))</f>
        <v/>
      </c>
      <c r="M460" s="16">
        <f>IF(I460="","",I460/L460)</f>
        <v/>
      </c>
      <c r="N460" s="16">
        <f>IF(M460="","",IFERROR(AVERAGEIFS($M$10:$M$1009,$K$10:$K$1009,K460,$A$10:$A$1009,"&lt;"&amp;A460,$A$10:$A$1009,"&gt;="&amp;(A460-$C$6)),""))</f>
        <v/>
      </c>
      <c r="O460" s="16">
        <f>IF(M460="","",_xlfn.MINIFS($M$10:$M$1009,$K$10:$K$1009,K460,$A$10:$A$1009,"&lt;="&amp;A460,$A$10:$A$1009,"&gt;="&amp;(A460-$C$6)))</f>
        <v/>
      </c>
      <c r="P460" s="18">
        <f>IF(OR(N460="",N460=0),"",M460/N460-1)</f>
        <v/>
      </c>
      <c r="Q460">
        <f>IF(D460="","",IF(COUNTIFS($B$10:$B$1009,B460,$C$10:$C$1009,C460,$D$10:$D$1009,D460,$E$10:$E$1009,E460)&gt;1,"MÜKERRER?",IF(P460="","",IF(P460&gt;=$C$5,"İNCELE",IF(P460&lt;=-$C$5,"Düşük",""))))</f>
        <v/>
      </c>
      <c r="R460" s="16">
        <f>IF(AND(P460&lt;&gt;"",N(P460)&gt;=$C$5,COUNTIFS($B$10:B460,B460,$C$10:C460,C460,$D$10:D460,D460,$E$10:E460,E460)=1),(M460-N460)*E460*L460,0)</f>
        <v/>
      </c>
      <c r="S460" s="19">
        <f>IF(D460="",0,N(E460)*L460)</f>
        <v/>
      </c>
    </row>
    <row r="461">
      <c r="A461" s="11" t="n"/>
      <c r="B461" s="12" t="n"/>
      <c r="C461" s="12" t="n"/>
      <c r="D461" s="12" t="n"/>
      <c r="E461" s="13" t="n"/>
      <c r="F461" s="12" t="n"/>
      <c r="G461" s="14" t="n"/>
      <c r="H461" s="15" t="n"/>
      <c r="I461" s="16">
        <f>IF(G461="","",G461*(1-N(H461)))</f>
        <v/>
      </c>
      <c r="J461" s="16">
        <f>IF(I461="","",E461*I461)</f>
        <v/>
      </c>
      <c r="K461">
        <f>IF(D461="","",IFERROR(VLOOKUP(D461,'Ürün Eşleştirme'!$A$6:$D$505,2,FALSE),D461))</f>
        <v/>
      </c>
      <c r="L461" s="17">
        <f>IF(D461="","",IFERROR(VLOOKUP(D461,'Ürün Eşleştirme'!$A$6:$D$505,4,FALSE),1))</f>
        <v/>
      </c>
      <c r="M461" s="16">
        <f>IF(I461="","",I461/L461)</f>
        <v/>
      </c>
      <c r="N461" s="16">
        <f>IF(M461="","",IFERROR(AVERAGEIFS($M$10:$M$1009,$K$10:$K$1009,K461,$A$10:$A$1009,"&lt;"&amp;A461,$A$10:$A$1009,"&gt;="&amp;(A461-$C$6)),""))</f>
        <v/>
      </c>
      <c r="O461" s="16">
        <f>IF(M461="","",_xlfn.MINIFS($M$10:$M$1009,$K$10:$K$1009,K461,$A$10:$A$1009,"&lt;="&amp;A461,$A$10:$A$1009,"&gt;="&amp;(A461-$C$6)))</f>
        <v/>
      </c>
      <c r="P461" s="18">
        <f>IF(OR(N461="",N461=0),"",M461/N461-1)</f>
        <v/>
      </c>
      <c r="Q461">
        <f>IF(D461="","",IF(COUNTIFS($B$10:$B$1009,B461,$C$10:$C$1009,C461,$D$10:$D$1009,D461,$E$10:$E$1009,E461)&gt;1,"MÜKERRER?",IF(P461="","",IF(P461&gt;=$C$5,"İNCELE",IF(P461&lt;=-$C$5,"Düşük",""))))</f>
        <v/>
      </c>
      <c r="R461" s="16">
        <f>IF(AND(P461&lt;&gt;"",N(P461)&gt;=$C$5,COUNTIFS($B$10:B461,B461,$C$10:C461,C461,$D$10:D461,D461,$E$10:E461,E461)=1),(M461-N461)*E461*L461,0)</f>
        <v/>
      </c>
      <c r="S461" s="19">
        <f>IF(D461="",0,N(E461)*L461)</f>
        <v/>
      </c>
    </row>
    <row r="462">
      <c r="A462" s="11" t="n"/>
      <c r="B462" s="12" t="n"/>
      <c r="C462" s="12" t="n"/>
      <c r="D462" s="12" t="n"/>
      <c r="E462" s="13" t="n"/>
      <c r="F462" s="12" t="n"/>
      <c r="G462" s="14" t="n"/>
      <c r="H462" s="15" t="n"/>
      <c r="I462" s="16">
        <f>IF(G462="","",G462*(1-N(H462)))</f>
        <v/>
      </c>
      <c r="J462" s="16">
        <f>IF(I462="","",E462*I462)</f>
        <v/>
      </c>
      <c r="K462">
        <f>IF(D462="","",IFERROR(VLOOKUP(D462,'Ürün Eşleştirme'!$A$6:$D$505,2,FALSE),D462))</f>
        <v/>
      </c>
      <c r="L462" s="17">
        <f>IF(D462="","",IFERROR(VLOOKUP(D462,'Ürün Eşleştirme'!$A$6:$D$505,4,FALSE),1))</f>
        <v/>
      </c>
      <c r="M462" s="16">
        <f>IF(I462="","",I462/L462)</f>
        <v/>
      </c>
      <c r="N462" s="16">
        <f>IF(M462="","",IFERROR(AVERAGEIFS($M$10:$M$1009,$K$10:$K$1009,K462,$A$10:$A$1009,"&lt;"&amp;A462,$A$10:$A$1009,"&gt;="&amp;(A462-$C$6)),""))</f>
        <v/>
      </c>
      <c r="O462" s="16">
        <f>IF(M462="","",_xlfn.MINIFS($M$10:$M$1009,$K$10:$K$1009,K462,$A$10:$A$1009,"&lt;="&amp;A462,$A$10:$A$1009,"&gt;="&amp;(A462-$C$6)))</f>
        <v/>
      </c>
      <c r="P462" s="18">
        <f>IF(OR(N462="",N462=0),"",M462/N462-1)</f>
        <v/>
      </c>
      <c r="Q462">
        <f>IF(D462="","",IF(COUNTIFS($B$10:$B$1009,B462,$C$10:$C$1009,C462,$D$10:$D$1009,D462,$E$10:$E$1009,E462)&gt;1,"MÜKERRER?",IF(P462="","",IF(P462&gt;=$C$5,"İNCELE",IF(P462&lt;=-$C$5,"Düşük",""))))</f>
        <v/>
      </c>
      <c r="R462" s="16">
        <f>IF(AND(P462&lt;&gt;"",N(P462)&gt;=$C$5,COUNTIFS($B$10:B462,B462,$C$10:C462,C462,$D$10:D462,D462,$E$10:E462,E462)=1),(M462-N462)*E462*L462,0)</f>
        <v/>
      </c>
      <c r="S462" s="19">
        <f>IF(D462="",0,N(E462)*L462)</f>
        <v/>
      </c>
    </row>
    <row r="463">
      <c r="A463" s="11" t="n"/>
      <c r="B463" s="12" t="n"/>
      <c r="C463" s="12" t="n"/>
      <c r="D463" s="12" t="n"/>
      <c r="E463" s="13" t="n"/>
      <c r="F463" s="12" t="n"/>
      <c r="G463" s="14" t="n"/>
      <c r="H463" s="15" t="n"/>
      <c r="I463" s="16">
        <f>IF(G463="","",G463*(1-N(H463)))</f>
        <v/>
      </c>
      <c r="J463" s="16">
        <f>IF(I463="","",E463*I463)</f>
        <v/>
      </c>
      <c r="K463">
        <f>IF(D463="","",IFERROR(VLOOKUP(D463,'Ürün Eşleştirme'!$A$6:$D$505,2,FALSE),D463))</f>
        <v/>
      </c>
      <c r="L463" s="17">
        <f>IF(D463="","",IFERROR(VLOOKUP(D463,'Ürün Eşleştirme'!$A$6:$D$505,4,FALSE),1))</f>
        <v/>
      </c>
      <c r="M463" s="16">
        <f>IF(I463="","",I463/L463)</f>
        <v/>
      </c>
      <c r="N463" s="16">
        <f>IF(M463="","",IFERROR(AVERAGEIFS($M$10:$M$1009,$K$10:$K$1009,K463,$A$10:$A$1009,"&lt;"&amp;A463,$A$10:$A$1009,"&gt;="&amp;(A463-$C$6)),""))</f>
        <v/>
      </c>
      <c r="O463" s="16">
        <f>IF(M463="","",_xlfn.MINIFS($M$10:$M$1009,$K$10:$K$1009,K463,$A$10:$A$1009,"&lt;="&amp;A463,$A$10:$A$1009,"&gt;="&amp;(A463-$C$6)))</f>
        <v/>
      </c>
      <c r="P463" s="18">
        <f>IF(OR(N463="",N463=0),"",M463/N463-1)</f>
        <v/>
      </c>
      <c r="Q463">
        <f>IF(D463="","",IF(COUNTIFS($B$10:$B$1009,B463,$C$10:$C$1009,C463,$D$10:$D$1009,D463,$E$10:$E$1009,E463)&gt;1,"MÜKERRER?",IF(P463="","",IF(P463&gt;=$C$5,"İNCELE",IF(P463&lt;=-$C$5,"Düşük",""))))</f>
        <v/>
      </c>
      <c r="R463" s="16">
        <f>IF(AND(P463&lt;&gt;"",N(P463)&gt;=$C$5,COUNTIFS($B$10:B463,B463,$C$10:C463,C463,$D$10:D463,D463,$E$10:E463,E463)=1),(M463-N463)*E463*L463,0)</f>
        <v/>
      </c>
      <c r="S463" s="19">
        <f>IF(D463="",0,N(E463)*L463)</f>
        <v/>
      </c>
    </row>
    <row r="464">
      <c r="A464" s="11" t="n"/>
      <c r="B464" s="12" t="n"/>
      <c r="C464" s="12" t="n"/>
      <c r="D464" s="12" t="n"/>
      <c r="E464" s="13" t="n"/>
      <c r="F464" s="12" t="n"/>
      <c r="G464" s="14" t="n"/>
      <c r="H464" s="15" t="n"/>
      <c r="I464" s="16">
        <f>IF(G464="","",G464*(1-N(H464)))</f>
        <v/>
      </c>
      <c r="J464" s="16">
        <f>IF(I464="","",E464*I464)</f>
        <v/>
      </c>
      <c r="K464">
        <f>IF(D464="","",IFERROR(VLOOKUP(D464,'Ürün Eşleştirme'!$A$6:$D$505,2,FALSE),D464))</f>
        <v/>
      </c>
      <c r="L464" s="17">
        <f>IF(D464="","",IFERROR(VLOOKUP(D464,'Ürün Eşleştirme'!$A$6:$D$505,4,FALSE),1))</f>
        <v/>
      </c>
      <c r="M464" s="16">
        <f>IF(I464="","",I464/L464)</f>
        <v/>
      </c>
      <c r="N464" s="16">
        <f>IF(M464="","",IFERROR(AVERAGEIFS($M$10:$M$1009,$K$10:$K$1009,K464,$A$10:$A$1009,"&lt;"&amp;A464,$A$10:$A$1009,"&gt;="&amp;(A464-$C$6)),""))</f>
        <v/>
      </c>
      <c r="O464" s="16">
        <f>IF(M464="","",_xlfn.MINIFS($M$10:$M$1009,$K$10:$K$1009,K464,$A$10:$A$1009,"&lt;="&amp;A464,$A$10:$A$1009,"&gt;="&amp;(A464-$C$6)))</f>
        <v/>
      </c>
      <c r="P464" s="18">
        <f>IF(OR(N464="",N464=0),"",M464/N464-1)</f>
        <v/>
      </c>
      <c r="Q464">
        <f>IF(D464="","",IF(COUNTIFS($B$10:$B$1009,B464,$C$10:$C$1009,C464,$D$10:$D$1009,D464,$E$10:$E$1009,E464)&gt;1,"MÜKERRER?",IF(P464="","",IF(P464&gt;=$C$5,"İNCELE",IF(P464&lt;=-$C$5,"Düşük",""))))</f>
        <v/>
      </c>
      <c r="R464" s="16">
        <f>IF(AND(P464&lt;&gt;"",N(P464)&gt;=$C$5,COUNTIFS($B$10:B464,B464,$C$10:C464,C464,$D$10:D464,D464,$E$10:E464,E464)=1),(M464-N464)*E464*L464,0)</f>
        <v/>
      </c>
      <c r="S464" s="19">
        <f>IF(D464="",0,N(E464)*L464)</f>
        <v/>
      </c>
    </row>
    <row r="465">
      <c r="A465" s="11" t="n"/>
      <c r="B465" s="12" t="n"/>
      <c r="C465" s="12" t="n"/>
      <c r="D465" s="12" t="n"/>
      <c r="E465" s="13" t="n"/>
      <c r="F465" s="12" t="n"/>
      <c r="G465" s="14" t="n"/>
      <c r="H465" s="15" t="n"/>
      <c r="I465" s="16">
        <f>IF(G465="","",G465*(1-N(H465)))</f>
        <v/>
      </c>
      <c r="J465" s="16">
        <f>IF(I465="","",E465*I465)</f>
        <v/>
      </c>
      <c r="K465">
        <f>IF(D465="","",IFERROR(VLOOKUP(D465,'Ürün Eşleştirme'!$A$6:$D$505,2,FALSE),D465))</f>
        <v/>
      </c>
      <c r="L465" s="17">
        <f>IF(D465="","",IFERROR(VLOOKUP(D465,'Ürün Eşleştirme'!$A$6:$D$505,4,FALSE),1))</f>
        <v/>
      </c>
      <c r="M465" s="16">
        <f>IF(I465="","",I465/L465)</f>
        <v/>
      </c>
      <c r="N465" s="16">
        <f>IF(M465="","",IFERROR(AVERAGEIFS($M$10:$M$1009,$K$10:$K$1009,K465,$A$10:$A$1009,"&lt;"&amp;A465,$A$10:$A$1009,"&gt;="&amp;(A465-$C$6)),""))</f>
        <v/>
      </c>
      <c r="O465" s="16">
        <f>IF(M465="","",_xlfn.MINIFS($M$10:$M$1009,$K$10:$K$1009,K465,$A$10:$A$1009,"&lt;="&amp;A465,$A$10:$A$1009,"&gt;="&amp;(A465-$C$6)))</f>
        <v/>
      </c>
      <c r="P465" s="18">
        <f>IF(OR(N465="",N465=0),"",M465/N465-1)</f>
        <v/>
      </c>
      <c r="Q465">
        <f>IF(D465="","",IF(COUNTIFS($B$10:$B$1009,B465,$C$10:$C$1009,C465,$D$10:$D$1009,D465,$E$10:$E$1009,E465)&gt;1,"MÜKERRER?",IF(P465="","",IF(P465&gt;=$C$5,"İNCELE",IF(P465&lt;=-$C$5,"Düşük",""))))</f>
        <v/>
      </c>
      <c r="R465" s="16">
        <f>IF(AND(P465&lt;&gt;"",N(P465)&gt;=$C$5,COUNTIFS($B$10:B465,B465,$C$10:C465,C465,$D$10:D465,D465,$E$10:E465,E465)=1),(M465-N465)*E465*L465,0)</f>
        <v/>
      </c>
      <c r="S465" s="19">
        <f>IF(D465="",0,N(E465)*L465)</f>
        <v/>
      </c>
    </row>
    <row r="466">
      <c r="A466" s="11" t="n"/>
      <c r="B466" s="12" t="n"/>
      <c r="C466" s="12" t="n"/>
      <c r="D466" s="12" t="n"/>
      <c r="E466" s="13" t="n"/>
      <c r="F466" s="12" t="n"/>
      <c r="G466" s="14" t="n"/>
      <c r="H466" s="15" t="n"/>
      <c r="I466" s="16">
        <f>IF(G466="","",G466*(1-N(H466)))</f>
        <v/>
      </c>
      <c r="J466" s="16">
        <f>IF(I466="","",E466*I466)</f>
        <v/>
      </c>
      <c r="K466">
        <f>IF(D466="","",IFERROR(VLOOKUP(D466,'Ürün Eşleştirme'!$A$6:$D$505,2,FALSE),D466))</f>
        <v/>
      </c>
      <c r="L466" s="17">
        <f>IF(D466="","",IFERROR(VLOOKUP(D466,'Ürün Eşleştirme'!$A$6:$D$505,4,FALSE),1))</f>
        <v/>
      </c>
      <c r="M466" s="16">
        <f>IF(I466="","",I466/L466)</f>
        <v/>
      </c>
      <c r="N466" s="16">
        <f>IF(M466="","",IFERROR(AVERAGEIFS($M$10:$M$1009,$K$10:$K$1009,K466,$A$10:$A$1009,"&lt;"&amp;A466,$A$10:$A$1009,"&gt;="&amp;(A466-$C$6)),""))</f>
        <v/>
      </c>
      <c r="O466" s="16">
        <f>IF(M466="","",_xlfn.MINIFS($M$10:$M$1009,$K$10:$K$1009,K466,$A$10:$A$1009,"&lt;="&amp;A466,$A$10:$A$1009,"&gt;="&amp;(A466-$C$6)))</f>
        <v/>
      </c>
      <c r="P466" s="18">
        <f>IF(OR(N466="",N466=0),"",M466/N466-1)</f>
        <v/>
      </c>
      <c r="Q466">
        <f>IF(D466="","",IF(COUNTIFS($B$10:$B$1009,B466,$C$10:$C$1009,C466,$D$10:$D$1009,D466,$E$10:$E$1009,E466)&gt;1,"MÜKERRER?",IF(P466="","",IF(P466&gt;=$C$5,"İNCELE",IF(P466&lt;=-$C$5,"Düşük",""))))</f>
        <v/>
      </c>
      <c r="R466" s="16">
        <f>IF(AND(P466&lt;&gt;"",N(P466)&gt;=$C$5,COUNTIFS($B$10:B466,B466,$C$10:C466,C466,$D$10:D466,D466,$E$10:E466,E466)=1),(M466-N466)*E466*L466,0)</f>
        <v/>
      </c>
      <c r="S466" s="19">
        <f>IF(D466="",0,N(E466)*L466)</f>
        <v/>
      </c>
    </row>
    <row r="467">
      <c r="A467" s="11" t="n"/>
      <c r="B467" s="12" t="n"/>
      <c r="C467" s="12" t="n"/>
      <c r="D467" s="12" t="n"/>
      <c r="E467" s="13" t="n"/>
      <c r="F467" s="12" t="n"/>
      <c r="G467" s="14" t="n"/>
      <c r="H467" s="15" t="n"/>
      <c r="I467" s="16">
        <f>IF(G467="","",G467*(1-N(H467)))</f>
        <v/>
      </c>
      <c r="J467" s="16">
        <f>IF(I467="","",E467*I467)</f>
        <v/>
      </c>
      <c r="K467">
        <f>IF(D467="","",IFERROR(VLOOKUP(D467,'Ürün Eşleştirme'!$A$6:$D$505,2,FALSE),D467))</f>
        <v/>
      </c>
      <c r="L467" s="17">
        <f>IF(D467="","",IFERROR(VLOOKUP(D467,'Ürün Eşleştirme'!$A$6:$D$505,4,FALSE),1))</f>
        <v/>
      </c>
      <c r="M467" s="16">
        <f>IF(I467="","",I467/L467)</f>
        <v/>
      </c>
      <c r="N467" s="16">
        <f>IF(M467="","",IFERROR(AVERAGEIFS($M$10:$M$1009,$K$10:$K$1009,K467,$A$10:$A$1009,"&lt;"&amp;A467,$A$10:$A$1009,"&gt;="&amp;(A467-$C$6)),""))</f>
        <v/>
      </c>
      <c r="O467" s="16">
        <f>IF(M467="","",_xlfn.MINIFS($M$10:$M$1009,$K$10:$K$1009,K467,$A$10:$A$1009,"&lt;="&amp;A467,$A$10:$A$1009,"&gt;="&amp;(A467-$C$6)))</f>
        <v/>
      </c>
      <c r="P467" s="18">
        <f>IF(OR(N467="",N467=0),"",M467/N467-1)</f>
        <v/>
      </c>
      <c r="Q467">
        <f>IF(D467="","",IF(COUNTIFS($B$10:$B$1009,B467,$C$10:$C$1009,C467,$D$10:$D$1009,D467,$E$10:$E$1009,E467)&gt;1,"MÜKERRER?",IF(P467="","",IF(P467&gt;=$C$5,"İNCELE",IF(P467&lt;=-$C$5,"Düşük",""))))</f>
        <v/>
      </c>
      <c r="R467" s="16">
        <f>IF(AND(P467&lt;&gt;"",N(P467)&gt;=$C$5,COUNTIFS($B$10:B467,B467,$C$10:C467,C467,$D$10:D467,D467,$E$10:E467,E467)=1),(M467-N467)*E467*L467,0)</f>
        <v/>
      </c>
      <c r="S467" s="19">
        <f>IF(D467="",0,N(E467)*L467)</f>
        <v/>
      </c>
    </row>
    <row r="468">
      <c r="A468" s="11" t="n"/>
      <c r="B468" s="12" t="n"/>
      <c r="C468" s="12" t="n"/>
      <c r="D468" s="12" t="n"/>
      <c r="E468" s="13" t="n"/>
      <c r="F468" s="12" t="n"/>
      <c r="G468" s="14" t="n"/>
      <c r="H468" s="15" t="n"/>
      <c r="I468" s="16">
        <f>IF(G468="","",G468*(1-N(H468)))</f>
        <v/>
      </c>
      <c r="J468" s="16">
        <f>IF(I468="","",E468*I468)</f>
        <v/>
      </c>
      <c r="K468">
        <f>IF(D468="","",IFERROR(VLOOKUP(D468,'Ürün Eşleştirme'!$A$6:$D$505,2,FALSE),D468))</f>
        <v/>
      </c>
      <c r="L468" s="17">
        <f>IF(D468="","",IFERROR(VLOOKUP(D468,'Ürün Eşleştirme'!$A$6:$D$505,4,FALSE),1))</f>
        <v/>
      </c>
      <c r="M468" s="16">
        <f>IF(I468="","",I468/L468)</f>
        <v/>
      </c>
      <c r="N468" s="16">
        <f>IF(M468="","",IFERROR(AVERAGEIFS($M$10:$M$1009,$K$10:$K$1009,K468,$A$10:$A$1009,"&lt;"&amp;A468,$A$10:$A$1009,"&gt;="&amp;(A468-$C$6)),""))</f>
        <v/>
      </c>
      <c r="O468" s="16">
        <f>IF(M468="","",_xlfn.MINIFS($M$10:$M$1009,$K$10:$K$1009,K468,$A$10:$A$1009,"&lt;="&amp;A468,$A$10:$A$1009,"&gt;="&amp;(A468-$C$6)))</f>
        <v/>
      </c>
      <c r="P468" s="18">
        <f>IF(OR(N468="",N468=0),"",M468/N468-1)</f>
        <v/>
      </c>
      <c r="Q468">
        <f>IF(D468="","",IF(COUNTIFS($B$10:$B$1009,B468,$C$10:$C$1009,C468,$D$10:$D$1009,D468,$E$10:$E$1009,E468)&gt;1,"MÜKERRER?",IF(P468="","",IF(P468&gt;=$C$5,"İNCELE",IF(P468&lt;=-$C$5,"Düşük",""))))</f>
        <v/>
      </c>
      <c r="R468" s="16">
        <f>IF(AND(P468&lt;&gt;"",N(P468)&gt;=$C$5,COUNTIFS($B$10:B468,B468,$C$10:C468,C468,$D$10:D468,D468,$E$10:E468,E468)=1),(M468-N468)*E468*L468,0)</f>
        <v/>
      </c>
      <c r="S468" s="19">
        <f>IF(D468="",0,N(E468)*L468)</f>
        <v/>
      </c>
    </row>
    <row r="469">
      <c r="A469" s="11" t="n"/>
      <c r="B469" s="12" t="n"/>
      <c r="C469" s="12" t="n"/>
      <c r="D469" s="12" t="n"/>
      <c r="E469" s="13" t="n"/>
      <c r="F469" s="12" t="n"/>
      <c r="G469" s="14" t="n"/>
      <c r="H469" s="15" t="n"/>
      <c r="I469" s="16">
        <f>IF(G469="","",G469*(1-N(H469)))</f>
        <v/>
      </c>
      <c r="J469" s="16">
        <f>IF(I469="","",E469*I469)</f>
        <v/>
      </c>
      <c r="K469">
        <f>IF(D469="","",IFERROR(VLOOKUP(D469,'Ürün Eşleştirme'!$A$6:$D$505,2,FALSE),D469))</f>
        <v/>
      </c>
      <c r="L469" s="17">
        <f>IF(D469="","",IFERROR(VLOOKUP(D469,'Ürün Eşleştirme'!$A$6:$D$505,4,FALSE),1))</f>
        <v/>
      </c>
      <c r="M469" s="16">
        <f>IF(I469="","",I469/L469)</f>
        <v/>
      </c>
      <c r="N469" s="16">
        <f>IF(M469="","",IFERROR(AVERAGEIFS($M$10:$M$1009,$K$10:$K$1009,K469,$A$10:$A$1009,"&lt;"&amp;A469,$A$10:$A$1009,"&gt;="&amp;(A469-$C$6)),""))</f>
        <v/>
      </c>
      <c r="O469" s="16">
        <f>IF(M469="","",_xlfn.MINIFS($M$10:$M$1009,$K$10:$K$1009,K469,$A$10:$A$1009,"&lt;="&amp;A469,$A$10:$A$1009,"&gt;="&amp;(A469-$C$6)))</f>
        <v/>
      </c>
      <c r="P469" s="18">
        <f>IF(OR(N469="",N469=0),"",M469/N469-1)</f>
        <v/>
      </c>
      <c r="Q469">
        <f>IF(D469="","",IF(COUNTIFS($B$10:$B$1009,B469,$C$10:$C$1009,C469,$D$10:$D$1009,D469,$E$10:$E$1009,E469)&gt;1,"MÜKERRER?",IF(P469="","",IF(P469&gt;=$C$5,"İNCELE",IF(P469&lt;=-$C$5,"Düşük",""))))</f>
        <v/>
      </c>
      <c r="R469" s="16">
        <f>IF(AND(P469&lt;&gt;"",N(P469)&gt;=$C$5,COUNTIFS($B$10:B469,B469,$C$10:C469,C469,$D$10:D469,D469,$E$10:E469,E469)=1),(M469-N469)*E469*L469,0)</f>
        <v/>
      </c>
      <c r="S469" s="19">
        <f>IF(D469="",0,N(E469)*L469)</f>
        <v/>
      </c>
    </row>
    <row r="470">
      <c r="A470" s="11" t="n"/>
      <c r="B470" s="12" t="n"/>
      <c r="C470" s="12" t="n"/>
      <c r="D470" s="12" t="n"/>
      <c r="E470" s="13" t="n"/>
      <c r="F470" s="12" t="n"/>
      <c r="G470" s="14" t="n"/>
      <c r="H470" s="15" t="n"/>
      <c r="I470" s="16">
        <f>IF(G470="","",G470*(1-N(H470)))</f>
        <v/>
      </c>
      <c r="J470" s="16">
        <f>IF(I470="","",E470*I470)</f>
        <v/>
      </c>
      <c r="K470">
        <f>IF(D470="","",IFERROR(VLOOKUP(D470,'Ürün Eşleştirme'!$A$6:$D$505,2,FALSE),D470))</f>
        <v/>
      </c>
      <c r="L470" s="17">
        <f>IF(D470="","",IFERROR(VLOOKUP(D470,'Ürün Eşleştirme'!$A$6:$D$505,4,FALSE),1))</f>
        <v/>
      </c>
      <c r="M470" s="16">
        <f>IF(I470="","",I470/L470)</f>
        <v/>
      </c>
      <c r="N470" s="16">
        <f>IF(M470="","",IFERROR(AVERAGEIFS($M$10:$M$1009,$K$10:$K$1009,K470,$A$10:$A$1009,"&lt;"&amp;A470,$A$10:$A$1009,"&gt;="&amp;(A470-$C$6)),""))</f>
        <v/>
      </c>
      <c r="O470" s="16">
        <f>IF(M470="","",_xlfn.MINIFS($M$10:$M$1009,$K$10:$K$1009,K470,$A$10:$A$1009,"&lt;="&amp;A470,$A$10:$A$1009,"&gt;="&amp;(A470-$C$6)))</f>
        <v/>
      </c>
      <c r="P470" s="18">
        <f>IF(OR(N470="",N470=0),"",M470/N470-1)</f>
        <v/>
      </c>
      <c r="Q470">
        <f>IF(D470="","",IF(COUNTIFS($B$10:$B$1009,B470,$C$10:$C$1009,C470,$D$10:$D$1009,D470,$E$10:$E$1009,E470)&gt;1,"MÜKERRER?",IF(P470="","",IF(P470&gt;=$C$5,"İNCELE",IF(P470&lt;=-$C$5,"Düşük",""))))</f>
        <v/>
      </c>
      <c r="R470" s="16">
        <f>IF(AND(P470&lt;&gt;"",N(P470)&gt;=$C$5,COUNTIFS($B$10:B470,B470,$C$10:C470,C470,$D$10:D470,D470,$E$10:E470,E470)=1),(M470-N470)*E470*L470,0)</f>
        <v/>
      </c>
      <c r="S470" s="19">
        <f>IF(D470="",0,N(E470)*L470)</f>
        <v/>
      </c>
    </row>
    <row r="471">
      <c r="A471" s="11" t="n"/>
      <c r="B471" s="12" t="n"/>
      <c r="C471" s="12" t="n"/>
      <c r="D471" s="12" t="n"/>
      <c r="E471" s="13" t="n"/>
      <c r="F471" s="12" t="n"/>
      <c r="G471" s="14" t="n"/>
      <c r="H471" s="15" t="n"/>
      <c r="I471" s="16">
        <f>IF(G471="","",G471*(1-N(H471)))</f>
        <v/>
      </c>
      <c r="J471" s="16">
        <f>IF(I471="","",E471*I471)</f>
        <v/>
      </c>
      <c r="K471">
        <f>IF(D471="","",IFERROR(VLOOKUP(D471,'Ürün Eşleştirme'!$A$6:$D$505,2,FALSE),D471))</f>
        <v/>
      </c>
      <c r="L471" s="17">
        <f>IF(D471="","",IFERROR(VLOOKUP(D471,'Ürün Eşleştirme'!$A$6:$D$505,4,FALSE),1))</f>
        <v/>
      </c>
      <c r="M471" s="16">
        <f>IF(I471="","",I471/L471)</f>
        <v/>
      </c>
      <c r="N471" s="16">
        <f>IF(M471="","",IFERROR(AVERAGEIFS($M$10:$M$1009,$K$10:$K$1009,K471,$A$10:$A$1009,"&lt;"&amp;A471,$A$10:$A$1009,"&gt;="&amp;(A471-$C$6)),""))</f>
        <v/>
      </c>
      <c r="O471" s="16">
        <f>IF(M471="","",_xlfn.MINIFS($M$10:$M$1009,$K$10:$K$1009,K471,$A$10:$A$1009,"&lt;="&amp;A471,$A$10:$A$1009,"&gt;="&amp;(A471-$C$6)))</f>
        <v/>
      </c>
      <c r="P471" s="18">
        <f>IF(OR(N471="",N471=0),"",M471/N471-1)</f>
        <v/>
      </c>
      <c r="Q471">
        <f>IF(D471="","",IF(COUNTIFS($B$10:$B$1009,B471,$C$10:$C$1009,C471,$D$10:$D$1009,D471,$E$10:$E$1009,E471)&gt;1,"MÜKERRER?",IF(P471="","",IF(P471&gt;=$C$5,"İNCELE",IF(P471&lt;=-$C$5,"Düşük",""))))</f>
        <v/>
      </c>
      <c r="R471" s="16">
        <f>IF(AND(P471&lt;&gt;"",N(P471)&gt;=$C$5,COUNTIFS($B$10:B471,B471,$C$10:C471,C471,$D$10:D471,D471,$E$10:E471,E471)=1),(M471-N471)*E471*L471,0)</f>
        <v/>
      </c>
      <c r="S471" s="19">
        <f>IF(D471="",0,N(E471)*L471)</f>
        <v/>
      </c>
    </row>
    <row r="472">
      <c r="A472" s="11" t="n"/>
      <c r="B472" s="12" t="n"/>
      <c r="C472" s="12" t="n"/>
      <c r="D472" s="12" t="n"/>
      <c r="E472" s="13" t="n"/>
      <c r="F472" s="12" t="n"/>
      <c r="G472" s="14" t="n"/>
      <c r="H472" s="15" t="n"/>
      <c r="I472" s="16">
        <f>IF(G472="","",G472*(1-N(H472)))</f>
        <v/>
      </c>
      <c r="J472" s="16">
        <f>IF(I472="","",E472*I472)</f>
        <v/>
      </c>
      <c r="K472">
        <f>IF(D472="","",IFERROR(VLOOKUP(D472,'Ürün Eşleştirme'!$A$6:$D$505,2,FALSE),D472))</f>
        <v/>
      </c>
      <c r="L472" s="17">
        <f>IF(D472="","",IFERROR(VLOOKUP(D472,'Ürün Eşleştirme'!$A$6:$D$505,4,FALSE),1))</f>
        <v/>
      </c>
      <c r="M472" s="16">
        <f>IF(I472="","",I472/L472)</f>
        <v/>
      </c>
      <c r="N472" s="16">
        <f>IF(M472="","",IFERROR(AVERAGEIFS($M$10:$M$1009,$K$10:$K$1009,K472,$A$10:$A$1009,"&lt;"&amp;A472,$A$10:$A$1009,"&gt;="&amp;(A472-$C$6)),""))</f>
        <v/>
      </c>
      <c r="O472" s="16">
        <f>IF(M472="","",_xlfn.MINIFS($M$10:$M$1009,$K$10:$K$1009,K472,$A$10:$A$1009,"&lt;="&amp;A472,$A$10:$A$1009,"&gt;="&amp;(A472-$C$6)))</f>
        <v/>
      </c>
      <c r="P472" s="18">
        <f>IF(OR(N472="",N472=0),"",M472/N472-1)</f>
        <v/>
      </c>
      <c r="Q472">
        <f>IF(D472="","",IF(COUNTIFS($B$10:$B$1009,B472,$C$10:$C$1009,C472,$D$10:$D$1009,D472,$E$10:$E$1009,E472)&gt;1,"MÜKERRER?",IF(P472="","",IF(P472&gt;=$C$5,"İNCELE",IF(P472&lt;=-$C$5,"Düşük",""))))</f>
        <v/>
      </c>
      <c r="R472" s="16">
        <f>IF(AND(P472&lt;&gt;"",N(P472)&gt;=$C$5,COUNTIFS($B$10:B472,B472,$C$10:C472,C472,$D$10:D472,D472,$E$10:E472,E472)=1),(M472-N472)*E472*L472,0)</f>
        <v/>
      </c>
      <c r="S472" s="19">
        <f>IF(D472="",0,N(E472)*L472)</f>
        <v/>
      </c>
    </row>
    <row r="473">
      <c r="A473" s="11" t="n"/>
      <c r="B473" s="12" t="n"/>
      <c r="C473" s="12" t="n"/>
      <c r="D473" s="12" t="n"/>
      <c r="E473" s="13" t="n"/>
      <c r="F473" s="12" t="n"/>
      <c r="G473" s="14" t="n"/>
      <c r="H473" s="15" t="n"/>
      <c r="I473" s="16">
        <f>IF(G473="","",G473*(1-N(H473)))</f>
        <v/>
      </c>
      <c r="J473" s="16">
        <f>IF(I473="","",E473*I473)</f>
        <v/>
      </c>
      <c r="K473">
        <f>IF(D473="","",IFERROR(VLOOKUP(D473,'Ürün Eşleştirme'!$A$6:$D$505,2,FALSE),D473))</f>
        <v/>
      </c>
      <c r="L473" s="17">
        <f>IF(D473="","",IFERROR(VLOOKUP(D473,'Ürün Eşleştirme'!$A$6:$D$505,4,FALSE),1))</f>
        <v/>
      </c>
      <c r="M473" s="16">
        <f>IF(I473="","",I473/L473)</f>
        <v/>
      </c>
      <c r="N473" s="16">
        <f>IF(M473="","",IFERROR(AVERAGEIFS($M$10:$M$1009,$K$10:$K$1009,K473,$A$10:$A$1009,"&lt;"&amp;A473,$A$10:$A$1009,"&gt;="&amp;(A473-$C$6)),""))</f>
        <v/>
      </c>
      <c r="O473" s="16">
        <f>IF(M473="","",_xlfn.MINIFS($M$10:$M$1009,$K$10:$K$1009,K473,$A$10:$A$1009,"&lt;="&amp;A473,$A$10:$A$1009,"&gt;="&amp;(A473-$C$6)))</f>
        <v/>
      </c>
      <c r="P473" s="18">
        <f>IF(OR(N473="",N473=0),"",M473/N473-1)</f>
        <v/>
      </c>
      <c r="Q473">
        <f>IF(D473="","",IF(COUNTIFS($B$10:$B$1009,B473,$C$10:$C$1009,C473,$D$10:$D$1009,D473,$E$10:$E$1009,E473)&gt;1,"MÜKERRER?",IF(P473="","",IF(P473&gt;=$C$5,"İNCELE",IF(P473&lt;=-$C$5,"Düşük",""))))</f>
        <v/>
      </c>
      <c r="R473" s="16">
        <f>IF(AND(P473&lt;&gt;"",N(P473)&gt;=$C$5,COUNTIFS($B$10:B473,B473,$C$10:C473,C473,$D$10:D473,D473,$E$10:E473,E473)=1),(M473-N473)*E473*L473,0)</f>
        <v/>
      </c>
      <c r="S473" s="19">
        <f>IF(D473="",0,N(E473)*L473)</f>
        <v/>
      </c>
    </row>
    <row r="474">
      <c r="A474" s="11" t="n"/>
      <c r="B474" s="12" t="n"/>
      <c r="C474" s="12" t="n"/>
      <c r="D474" s="12" t="n"/>
      <c r="E474" s="13" t="n"/>
      <c r="F474" s="12" t="n"/>
      <c r="G474" s="14" t="n"/>
      <c r="H474" s="15" t="n"/>
      <c r="I474" s="16">
        <f>IF(G474="","",G474*(1-N(H474)))</f>
        <v/>
      </c>
      <c r="J474" s="16">
        <f>IF(I474="","",E474*I474)</f>
        <v/>
      </c>
      <c r="K474">
        <f>IF(D474="","",IFERROR(VLOOKUP(D474,'Ürün Eşleştirme'!$A$6:$D$505,2,FALSE),D474))</f>
        <v/>
      </c>
      <c r="L474" s="17">
        <f>IF(D474="","",IFERROR(VLOOKUP(D474,'Ürün Eşleştirme'!$A$6:$D$505,4,FALSE),1))</f>
        <v/>
      </c>
      <c r="M474" s="16">
        <f>IF(I474="","",I474/L474)</f>
        <v/>
      </c>
      <c r="N474" s="16">
        <f>IF(M474="","",IFERROR(AVERAGEIFS($M$10:$M$1009,$K$10:$K$1009,K474,$A$10:$A$1009,"&lt;"&amp;A474,$A$10:$A$1009,"&gt;="&amp;(A474-$C$6)),""))</f>
        <v/>
      </c>
      <c r="O474" s="16">
        <f>IF(M474="","",_xlfn.MINIFS($M$10:$M$1009,$K$10:$K$1009,K474,$A$10:$A$1009,"&lt;="&amp;A474,$A$10:$A$1009,"&gt;="&amp;(A474-$C$6)))</f>
        <v/>
      </c>
      <c r="P474" s="18">
        <f>IF(OR(N474="",N474=0),"",M474/N474-1)</f>
        <v/>
      </c>
      <c r="Q474">
        <f>IF(D474="","",IF(COUNTIFS($B$10:$B$1009,B474,$C$10:$C$1009,C474,$D$10:$D$1009,D474,$E$10:$E$1009,E474)&gt;1,"MÜKERRER?",IF(P474="","",IF(P474&gt;=$C$5,"İNCELE",IF(P474&lt;=-$C$5,"Düşük",""))))</f>
        <v/>
      </c>
      <c r="R474" s="16">
        <f>IF(AND(P474&lt;&gt;"",N(P474)&gt;=$C$5,COUNTIFS($B$10:B474,B474,$C$10:C474,C474,$D$10:D474,D474,$E$10:E474,E474)=1),(M474-N474)*E474*L474,0)</f>
        <v/>
      </c>
      <c r="S474" s="19">
        <f>IF(D474="",0,N(E474)*L474)</f>
        <v/>
      </c>
    </row>
    <row r="475">
      <c r="A475" s="11" t="n"/>
      <c r="B475" s="12" t="n"/>
      <c r="C475" s="12" t="n"/>
      <c r="D475" s="12" t="n"/>
      <c r="E475" s="13" t="n"/>
      <c r="F475" s="12" t="n"/>
      <c r="G475" s="14" t="n"/>
      <c r="H475" s="15" t="n"/>
      <c r="I475" s="16">
        <f>IF(G475="","",G475*(1-N(H475)))</f>
        <v/>
      </c>
      <c r="J475" s="16">
        <f>IF(I475="","",E475*I475)</f>
        <v/>
      </c>
      <c r="K475">
        <f>IF(D475="","",IFERROR(VLOOKUP(D475,'Ürün Eşleştirme'!$A$6:$D$505,2,FALSE),D475))</f>
        <v/>
      </c>
      <c r="L475" s="17">
        <f>IF(D475="","",IFERROR(VLOOKUP(D475,'Ürün Eşleştirme'!$A$6:$D$505,4,FALSE),1))</f>
        <v/>
      </c>
      <c r="M475" s="16">
        <f>IF(I475="","",I475/L475)</f>
        <v/>
      </c>
      <c r="N475" s="16">
        <f>IF(M475="","",IFERROR(AVERAGEIFS($M$10:$M$1009,$K$10:$K$1009,K475,$A$10:$A$1009,"&lt;"&amp;A475,$A$10:$A$1009,"&gt;="&amp;(A475-$C$6)),""))</f>
        <v/>
      </c>
      <c r="O475" s="16">
        <f>IF(M475="","",_xlfn.MINIFS($M$10:$M$1009,$K$10:$K$1009,K475,$A$10:$A$1009,"&lt;="&amp;A475,$A$10:$A$1009,"&gt;="&amp;(A475-$C$6)))</f>
        <v/>
      </c>
      <c r="P475" s="18">
        <f>IF(OR(N475="",N475=0),"",M475/N475-1)</f>
        <v/>
      </c>
      <c r="Q475">
        <f>IF(D475="","",IF(COUNTIFS($B$10:$B$1009,B475,$C$10:$C$1009,C475,$D$10:$D$1009,D475,$E$10:$E$1009,E475)&gt;1,"MÜKERRER?",IF(P475="","",IF(P475&gt;=$C$5,"İNCELE",IF(P475&lt;=-$C$5,"Düşük",""))))</f>
        <v/>
      </c>
      <c r="R475" s="16">
        <f>IF(AND(P475&lt;&gt;"",N(P475)&gt;=$C$5,COUNTIFS($B$10:B475,B475,$C$10:C475,C475,$D$10:D475,D475,$E$10:E475,E475)=1),(M475-N475)*E475*L475,0)</f>
        <v/>
      </c>
      <c r="S475" s="19">
        <f>IF(D475="",0,N(E475)*L475)</f>
        <v/>
      </c>
    </row>
    <row r="476">
      <c r="A476" s="11" t="n"/>
      <c r="B476" s="12" t="n"/>
      <c r="C476" s="12" t="n"/>
      <c r="D476" s="12" t="n"/>
      <c r="E476" s="13" t="n"/>
      <c r="F476" s="12" t="n"/>
      <c r="G476" s="14" t="n"/>
      <c r="H476" s="15" t="n"/>
      <c r="I476" s="16">
        <f>IF(G476="","",G476*(1-N(H476)))</f>
        <v/>
      </c>
      <c r="J476" s="16">
        <f>IF(I476="","",E476*I476)</f>
        <v/>
      </c>
      <c r="K476">
        <f>IF(D476="","",IFERROR(VLOOKUP(D476,'Ürün Eşleştirme'!$A$6:$D$505,2,FALSE),D476))</f>
        <v/>
      </c>
      <c r="L476" s="17">
        <f>IF(D476="","",IFERROR(VLOOKUP(D476,'Ürün Eşleştirme'!$A$6:$D$505,4,FALSE),1))</f>
        <v/>
      </c>
      <c r="M476" s="16">
        <f>IF(I476="","",I476/L476)</f>
        <v/>
      </c>
      <c r="N476" s="16">
        <f>IF(M476="","",IFERROR(AVERAGEIFS($M$10:$M$1009,$K$10:$K$1009,K476,$A$10:$A$1009,"&lt;"&amp;A476,$A$10:$A$1009,"&gt;="&amp;(A476-$C$6)),""))</f>
        <v/>
      </c>
      <c r="O476" s="16">
        <f>IF(M476="","",_xlfn.MINIFS($M$10:$M$1009,$K$10:$K$1009,K476,$A$10:$A$1009,"&lt;="&amp;A476,$A$10:$A$1009,"&gt;="&amp;(A476-$C$6)))</f>
        <v/>
      </c>
      <c r="P476" s="18">
        <f>IF(OR(N476="",N476=0),"",M476/N476-1)</f>
        <v/>
      </c>
      <c r="Q476">
        <f>IF(D476="","",IF(COUNTIFS($B$10:$B$1009,B476,$C$10:$C$1009,C476,$D$10:$D$1009,D476,$E$10:$E$1009,E476)&gt;1,"MÜKERRER?",IF(P476="","",IF(P476&gt;=$C$5,"İNCELE",IF(P476&lt;=-$C$5,"Düşük",""))))</f>
        <v/>
      </c>
      <c r="R476" s="16">
        <f>IF(AND(P476&lt;&gt;"",N(P476)&gt;=$C$5,COUNTIFS($B$10:B476,B476,$C$10:C476,C476,$D$10:D476,D476,$E$10:E476,E476)=1),(M476-N476)*E476*L476,0)</f>
        <v/>
      </c>
      <c r="S476" s="19">
        <f>IF(D476="",0,N(E476)*L476)</f>
        <v/>
      </c>
    </row>
    <row r="477">
      <c r="A477" s="11" t="n"/>
      <c r="B477" s="12" t="n"/>
      <c r="C477" s="12" t="n"/>
      <c r="D477" s="12" t="n"/>
      <c r="E477" s="13" t="n"/>
      <c r="F477" s="12" t="n"/>
      <c r="G477" s="14" t="n"/>
      <c r="H477" s="15" t="n"/>
      <c r="I477" s="16">
        <f>IF(G477="","",G477*(1-N(H477)))</f>
        <v/>
      </c>
      <c r="J477" s="16">
        <f>IF(I477="","",E477*I477)</f>
        <v/>
      </c>
      <c r="K477">
        <f>IF(D477="","",IFERROR(VLOOKUP(D477,'Ürün Eşleştirme'!$A$6:$D$505,2,FALSE),D477))</f>
        <v/>
      </c>
      <c r="L477" s="17">
        <f>IF(D477="","",IFERROR(VLOOKUP(D477,'Ürün Eşleştirme'!$A$6:$D$505,4,FALSE),1))</f>
        <v/>
      </c>
      <c r="M477" s="16">
        <f>IF(I477="","",I477/L477)</f>
        <v/>
      </c>
      <c r="N477" s="16">
        <f>IF(M477="","",IFERROR(AVERAGEIFS($M$10:$M$1009,$K$10:$K$1009,K477,$A$10:$A$1009,"&lt;"&amp;A477,$A$10:$A$1009,"&gt;="&amp;(A477-$C$6)),""))</f>
        <v/>
      </c>
      <c r="O477" s="16">
        <f>IF(M477="","",_xlfn.MINIFS($M$10:$M$1009,$K$10:$K$1009,K477,$A$10:$A$1009,"&lt;="&amp;A477,$A$10:$A$1009,"&gt;="&amp;(A477-$C$6)))</f>
        <v/>
      </c>
      <c r="P477" s="18">
        <f>IF(OR(N477="",N477=0),"",M477/N477-1)</f>
        <v/>
      </c>
      <c r="Q477">
        <f>IF(D477="","",IF(COUNTIFS($B$10:$B$1009,B477,$C$10:$C$1009,C477,$D$10:$D$1009,D477,$E$10:$E$1009,E477)&gt;1,"MÜKERRER?",IF(P477="","",IF(P477&gt;=$C$5,"İNCELE",IF(P477&lt;=-$C$5,"Düşük",""))))</f>
        <v/>
      </c>
      <c r="R477" s="16">
        <f>IF(AND(P477&lt;&gt;"",N(P477)&gt;=$C$5,COUNTIFS($B$10:B477,B477,$C$10:C477,C477,$D$10:D477,D477,$E$10:E477,E477)=1),(M477-N477)*E477*L477,0)</f>
        <v/>
      </c>
      <c r="S477" s="19">
        <f>IF(D477="",0,N(E477)*L477)</f>
        <v/>
      </c>
    </row>
    <row r="478">
      <c r="A478" s="11" t="n"/>
      <c r="B478" s="12" t="n"/>
      <c r="C478" s="12" t="n"/>
      <c r="D478" s="12" t="n"/>
      <c r="E478" s="13" t="n"/>
      <c r="F478" s="12" t="n"/>
      <c r="G478" s="14" t="n"/>
      <c r="H478" s="15" t="n"/>
      <c r="I478" s="16">
        <f>IF(G478="","",G478*(1-N(H478)))</f>
        <v/>
      </c>
      <c r="J478" s="16">
        <f>IF(I478="","",E478*I478)</f>
        <v/>
      </c>
      <c r="K478">
        <f>IF(D478="","",IFERROR(VLOOKUP(D478,'Ürün Eşleştirme'!$A$6:$D$505,2,FALSE),D478))</f>
        <v/>
      </c>
      <c r="L478" s="17">
        <f>IF(D478="","",IFERROR(VLOOKUP(D478,'Ürün Eşleştirme'!$A$6:$D$505,4,FALSE),1))</f>
        <v/>
      </c>
      <c r="M478" s="16">
        <f>IF(I478="","",I478/L478)</f>
        <v/>
      </c>
      <c r="N478" s="16">
        <f>IF(M478="","",IFERROR(AVERAGEIFS($M$10:$M$1009,$K$10:$K$1009,K478,$A$10:$A$1009,"&lt;"&amp;A478,$A$10:$A$1009,"&gt;="&amp;(A478-$C$6)),""))</f>
        <v/>
      </c>
      <c r="O478" s="16">
        <f>IF(M478="","",_xlfn.MINIFS($M$10:$M$1009,$K$10:$K$1009,K478,$A$10:$A$1009,"&lt;="&amp;A478,$A$10:$A$1009,"&gt;="&amp;(A478-$C$6)))</f>
        <v/>
      </c>
      <c r="P478" s="18">
        <f>IF(OR(N478="",N478=0),"",M478/N478-1)</f>
        <v/>
      </c>
      <c r="Q478">
        <f>IF(D478="","",IF(COUNTIFS($B$10:$B$1009,B478,$C$10:$C$1009,C478,$D$10:$D$1009,D478,$E$10:$E$1009,E478)&gt;1,"MÜKERRER?",IF(P478="","",IF(P478&gt;=$C$5,"İNCELE",IF(P478&lt;=-$C$5,"Düşük",""))))</f>
        <v/>
      </c>
      <c r="R478" s="16">
        <f>IF(AND(P478&lt;&gt;"",N(P478)&gt;=$C$5,COUNTIFS($B$10:B478,B478,$C$10:C478,C478,$D$10:D478,D478,$E$10:E478,E478)=1),(M478-N478)*E478*L478,0)</f>
        <v/>
      </c>
      <c r="S478" s="19">
        <f>IF(D478="",0,N(E478)*L478)</f>
        <v/>
      </c>
    </row>
    <row r="479">
      <c r="A479" s="11" t="n"/>
      <c r="B479" s="12" t="n"/>
      <c r="C479" s="12" t="n"/>
      <c r="D479" s="12" t="n"/>
      <c r="E479" s="13" t="n"/>
      <c r="F479" s="12" t="n"/>
      <c r="G479" s="14" t="n"/>
      <c r="H479" s="15" t="n"/>
      <c r="I479" s="16">
        <f>IF(G479="","",G479*(1-N(H479)))</f>
        <v/>
      </c>
      <c r="J479" s="16">
        <f>IF(I479="","",E479*I479)</f>
        <v/>
      </c>
      <c r="K479">
        <f>IF(D479="","",IFERROR(VLOOKUP(D479,'Ürün Eşleştirme'!$A$6:$D$505,2,FALSE),D479))</f>
        <v/>
      </c>
      <c r="L479" s="17">
        <f>IF(D479="","",IFERROR(VLOOKUP(D479,'Ürün Eşleştirme'!$A$6:$D$505,4,FALSE),1))</f>
        <v/>
      </c>
      <c r="M479" s="16">
        <f>IF(I479="","",I479/L479)</f>
        <v/>
      </c>
      <c r="N479" s="16">
        <f>IF(M479="","",IFERROR(AVERAGEIFS($M$10:$M$1009,$K$10:$K$1009,K479,$A$10:$A$1009,"&lt;"&amp;A479,$A$10:$A$1009,"&gt;="&amp;(A479-$C$6)),""))</f>
        <v/>
      </c>
      <c r="O479" s="16">
        <f>IF(M479="","",_xlfn.MINIFS($M$10:$M$1009,$K$10:$K$1009,K479,$A$10:$A$1009,"&lt;="&amp;A479,$A$10:$A$1009,"&gt;="&amp;(A479-$C$6)))</f>
        <v/>
      </c>
      <c r="P479" s="18">
        <f>IF(OR(N479="",N479=0),"",M479/N479-1)</f>
        <v/>
      </c>
      <c r="Q479">
        <f>IF(D479="","",IF(COUNTIFS($B$10:$B$1009,B479,$C$10:$C$1009,C479,$D$10:$D$1009,D479,$E$10:$E$1009,E479)&gt;1,"MÜKERRER?",IF(P479="","",IF(P479&gt;=$C$5,"İNCELE",IF(P479&lt;=-$C$5,"Düşük",""))))</f>
        <v/>
      </c>
      <c r="R479" s="16">
        <f>IF(AND(P479&lt;&gt;"",N(P479)&gt;=$C$5,COUNTIFS($B$10:B479,B479,$C$10:C479,C479,$D$10:D479,D479,$E$10:E479,E479)=1),(M479-N479)*E479*L479,0)</f>
        <v/>
      </c>
      <c r="S479" s="19">
        <f>IF(D479="",0,N(E479)*L479)</f>
        <v/>
      </c>
    </row>
    <row r="480">
      <c r="A480" s="11" t="n"/>
      <c r="B480" s="12" t="n"/>
      <c r="C480" s="12" t="n"/>
      <c r="D480" s="12" t="n"/>
      <c r="E480" s="13" t="n"/>
      <c r="F480" s="12" t="n"/>
      <c r="G480" s="14" t="n"/>
      <c r="H480" s="15" t="n"/>
      <c r="I480" s="16">
        <f>IF(G480="","",G480*(1-N(H480)))</f>
        <v/>
      </c>
      <c r="J480" s="16">
        <f>IF(I480="","",E480*I480)</f>
        <v/>
      </c>
      <c r="K480">
        <f>IF(D480="","",IFERROR(VLOOKUP(D480,'Ürün Eşleştirme'!$A$6:$D$505,2,FALSE),D480))</f>
        <v/>
      </c>
      <c r="L480" s="17">
        <f>IF(D480="","",IFERROR(VLOOKUP(D480,'Ürün Eşleştirme'!$A$6:$D$505,4,FALSE),1))</f>
        <v/>
      </c>
      <c r="M480" s="16">
        <f>IF(I480="","",I480/L480)</f>
        <v/>
      </c>
      <c r="N480" s="16">
        <f>IF(M480="","",IFERROR(AVERAGEIFS($M$10:$M$1009,$K$10:$K$1009,K480,$A$10:$A$1009,"&lt;"&amp;A480,$A$10:$A$1009,"&gt;="&amp;(A480-$C$6)),""))</f>
        <v/>
      </c>
      <c r="O480" s="16">
        <f>IF(M480="","",_xlfn.MINIFS($M$10:$M$1009,$K$10:$K$1009,K480,$A$10:$A$1009,"&lt;="&amp;A480,$A$10:$A$1009,"&gt;="&amp;(A480-$C$6)))</f>
        <v/>
      </c>
      <c r="P480" s="18">
        <f>IF(OR(N480="",N480=0),"",M480/N480-1)</f>
        <v/>
      </c>
      <c r="Q480">
        <f>IF(D480="","",IF(COUNTIFS($B$10:$B$1009,B480,$C$10:$C$1009,C480,$D$10:$D$1009,D480,$E$10:$E$1009,E480)&gt;1,"MÜKERRER?",IF(P480="","",IF(P480&gt;=$C$5,"İNCELE",IF(P480&lt;=-$C$5,"Düşük",""))))</f>
        <v/>
      </c>
      <c r="R480" s="16">
        <f>IF(AND(P480&lt;&gt;"",N(P480)&gt;=$C$5,COUNTIFS($B$10:B480,B480,$C$10:C480,C480,$D$10:D480,D480,$E$10:E480,E480)=1),(M480-N480)*E480*L480,0)</f>
        <v/>
      </c>
      <c r="S480" s="19">
        <f>IF(D480="",0,N(E480)*L480)</f>
        <v/>
      </c>
    </row>
    <row r="481">
      <c r="A481" s="11" t="n"/>
      <c r="B481" s="12" t="n"/>
      <c r="C481" s="12" t="n"/>
      <c r="D481" s="12" t="n"/>
      <c r="E481" s="13" t="n"/>
      <c r="F481" s="12" t="n"/>
      <c r="G481" s="14" t="n"/>
      <c r="H481" s="15" t="n"/>
      <c r="I481" s="16">
        <f>IF(G481="","",G481*(1-N(H481)))</f>
        <v/>
      </c>
      <c r="J481" s="16">
        <f>IF(I481="","",E481*I481)</f>
        <v/>
      </c>
      <c r="K481">
        <f>IF(D481="","",IFERROR(VLOOKUP(D481,'Ürün Eşleştirme'!$A$6:$D$505,2,FALSE),D481))</f>
        <v/>
      </c>
      <c r="L481" s="17">
        <f>IF(D481="","",IFERROR(VLOOKUP(D481,'Ürün Eşleştirme'!$A$6:$D$505,4,FALSE),1))</f>
        <v/>
      </c>
      <c r="M481" s="16">
        <f>IF(I481="","",I481/L481)</f>
        <v/>
      </c>
      <c r="N481" s="16">
        <f>IF(M481="","",IFERROR(AVERAGEIFS($M$10:$M$1009,$K$10:$K$1009,K481,$A$10:$A$1009,"&lt;"&amp;A481,$A$10:$A$1009,"&gt;="&amp;(A481-$C$6)),""))</f>
        <v/>
      </c>
      <c r="O481" s="16">
        <f>IF(M481="","",_xlfn.MINIFS($M$10:$M$1009,$K$10:$K$1009,K481,$A$10:$A$1009,"&lt;="&amp;A481,$A$10:$A$1009,"&gt;="&amp;(A481-$C$6)))</f>
        <v/>
      </c>
      <c r="P481" s="18">
        <f>IF(OR(N481="",N481=0),"",M481/N481-1)</f>
        <v/>
      </c>
      <c r="Q481">
        <f>IF(D481="","",IF(COUNTIFS($B$10:$B$1009,B481,$C$10:$C$1009,C481,$D$10:$D$1009,D481,$E$10:$E$1009,E481)&gt;1,"MÜKERRER?",IF(P481="","",IF(P481&gt;=$C$5,"İNCELE",IF(P481&lt;=-$C$5,"Düşük",""))))</f>
        <v/>
      </c>
      <c r="R481" s="16">
        <f>IF(AND(P481&lt;&gt;"",N(P481)&gt;=$C$5,COUNTIFS($B$10:B481,B481,$C$10:C481,C481,$D$10:D481,D481,$E$10:E481,E481)=1),(M481-N481)*E481*L481,0)</f>
        <v/>
      </c>
      <c r="S481" s="19">
        <f>IF(D481="",0,N(E481)*L481)</f>
        <v/>
      </c>
    </row>
    <row r="482">
      <c r="A482" s="11" t="n"/>
      <c r="B482" s="12" t="n"/>
      <c r="C482" s="12" t="n"/>
      <c r="D482" s="12" t="n"/>
      <c r="E482" s="13" t="n"/>
      <c r="F482" s="12" t="n"/>
      <c r="G482" s="14" t="n"/>
      <c r="H482" s="15" t="n"/>
      <c r="I482" s="16">
        <f>IF(G482="","",G482*(1-N(H482)))</f>
        <v/>
      </c>
      <c r="J482" s="16">
        <f>IF(I482="","",E482*I482)</f>
        <v/>
      </c>
      <c r="K482">
        <f>IF(D482="","",IFERROR(VLOOKUP(D482,'Ürün Eşleştirme'!$A$6:$D$505,2,FALSE),D482))</f>
        <v/>
      </c>
      <c r="L482" s="17">
        <f>IF(D482="","",IFERROR(VLOOKUP(D482,'Ürün Eşleştirme'!$A$6:$D$505,4,FALSE),1))</f>
        <v/>
      </c>
      <c r="M482" s="16">
        <f>IF(I482="","",I482/L482)</f>
        <v/>
      </c>
      <c r="N482" s="16">
        <f>IF(M482="","",IFERROR(AVERAGEIFS($M$10:$M$1009,$K$10:$K$1009,K482,$A$10:$A$1009,"&lt;"&amp;A482,$A$10:$A$1009,"&gt;="&amp;(A482-$C$6)),""))</f>
        <v/>
      </c>
      <c r="O482" s="16">
        <f>IF(M482="","",_xlfn.MINIFS($M$10:$M$1009,$K$10:$K$1009,K482,$A$10:$A$1009,"&lt;="&amp;A482,$A$10:$A$1009,"&gt;="&amp;(A482-$C$6)))</f>
        <v/>
      </c>
      <c r="P482" s="18">
        <f>IF(OR(N482="",N482=0),"",M482/N482-1)</f>
        <v/>
      </c>
      <c r="Q482">
        <f>IF(D482="","",IF(COUNTIFS($B$10:$B$1009,B482,$C$10:$C$1009,C482,$D$10:$D$1009,D482,$E$10:$E$1009,E482)&gt;1,"MÜKERRER?",IF(P482="","",IF(P482&gt;=$C$5,"İNCELE",IF(P482&lt;=-$C$5,"Düşük",""))))</f>
        <v/>
      </c>
      <c r="R482" s="16">
        <f>IF(AND(P482&lt;&gt;"",N(P482)&gt;=$C$5,COUNTIFS($B$10:B482,B482,$C$10:C482,C482,$D$10:D482,D482,$E$10:E482,E482)=1),(M482-N482)*E482*L482,0)</f>
        <v/>
      </c>
      <c r="S482" s="19">
        <f>IF(D482="",0,N(E482)*L482)</f>
        <v/>
      </c>
    </row>
    <row r="483">
      <c r="A483" s="11" t="n"/>
      <c r="B483" s="12" t="n"/>
      <c r="C483" s="12" t="n"/>
      <c r="D483" s="12" t="n"/>
      <c r="E483" s="13" t="n"/>
      <c r="F483" s="12" t="n"/>
      <c r="G483" s="14" t="n"/>
      <c r="H483" s="15" t="n"/>
      <c r="I483" s="16">
        <f>IF(G483="","",G483*(1-N(H483)))</f>
        <v/>
      </c>
      <c r="J483" s="16">
        <f>IF(I483="","",E483*I483)</f>
        <v/>
      </c>
      <c r="K483">
        <f>IF(D483="","",IFERROR(VLOOKUP(D483,'Ürün Eşleştirme'!$A$6:$D$505,2,FALSE),D483))</f>
        <v/>
      </c>
      <c r="L483" s="17">
        <f>IF(D483="","",IFERROR(VLOOKUP(D483,'Ürün Eşleştirme'!$A$6:$D$505,4,FALSE),1))</f>
        <v/>
      </c>
      <c r="M483" s="16">
        <f>IF(I483="","",I483/L483)</f>
        <v/>
      </c>
      <c r="N483" s="16">
        <f>IF(M483="","",IFERROR(AVERAGEIFS($M$10:$M$1009,$K$10:$K$1009,K483,$A$10:$A$1009,"&lt;"&amp;A483,$A$10:$A$1009,"&gt;="&amp;(A483-$C$6)),""))</f>
        <v/>
      </c>
      <c r="O483" s="16">
        <f>IF(M483="","",_xlfn.MINIFS($M$10:$M$1009,$K$10:$K$1009,K483,$A$10:$A$1009,"&lt;="&amp;A483,$A$10:$A$1009,"&gt;="&amp;(A483-$C$6)))</f>
        <v/>
      </c>
      <c r="P483" s="18">
        <f>IF(OR(N483="",N483=0),"",M483/N483-1)</f>
        <v/>
      </c>
      <c r="Q483">
        <f>IF(D483="","",IF(COUNTIFS($B$10:$B$1009,B483,$C$10:$C$1009,C483,$D$10:$D$1009,D483,$E$10:$E$1009,E483)&gt;1,"MÜKERRER?",IF(P483="","",IF(P483&gt;=$C$5,"İNCELE",IF(P483&lt;=-$C$5,"Düşük",""))))</f>
        <v/>
      </c>
      <c r="R483" s="16">
        <f>IF(AND(P483&lt;&gt;"",N(P483)&gt;=$C$5,COUNTIFS($B$10:B483,B483,$C$10:C483,C483,$D$10:D483,D483,$E$10:E483,E483)=1),(M483-N483)*E483*L483,0)</f>
        <v/>
      </c>
      <c r="S483" s="19">
        <f>IF(D483="",0,N(E483)*L483)</f>
        <v/>
      </c>
    </row>
    <row r="484">
      <c r="A484" s="11" t="n"/>
      <c r="B484" s="12" t="n"/>
      <c r="C484" s="12" t="n"/>
      <c r="D484" s="12" t="n"/>
      <c r="E484" s="13" t="n"/>
      <c r="F484" s="12" t="n"/>
      <c r="G484" s="14" t="n"/>
      <c r="H484" s="15" t="n"/>
      <c r="I484" s="16">
        <f>IF(G484="","",G484*(1-N(H484)))</f>
        <v/>
      </c>
      <c r="J484" s="16">
        <f>IF(I484="","",E484*I484)</f>
        <v/>
      </c>
      <c r="K484">
        <f>IF(D484="","",IFERROR(VLOOKUP(D484,'Ürün Eşleştirme'!$A$6:$D$505,2,FALSE),D484))</f>
        <v/>
      </c>
      <c r="L484" s="17">
        <f>IF(D484="","",IFERROR(VLOOKUP(D484,'Ürün Eşleştirme'!$A$6:$D$505,4,FALSE),1))</f>
        <v/>
      </c>
      <c r="M484" s="16">
        <f>IF(I484="","",I484/L484)</f>
        <v/>
      </c>
      <c r="N484" s="16">
        <f>IF(M484="","",IFERROR(AVERAGEIFS($M$10:$M$1009,$K$10:$K$1009,K484,$A$10:$A$1009,"&lt;"&amp;A484,$A$10:$A$1009,"&gt;="&amp;(A484-$C$6)),""))</f>
        <v/>
      </c>
      <c r="O484" s="16">
        <f>IF(M484="","",_xlfn.MINIFS($M$10:$M$1009,$K$10:$K$1009,K484,$A$10:$A$1009,"&lt;="&amp;A484,$A$10:$A$1009,"&gt;="&amp;(A484-$C$6)))</f>
        <v/>
      </c>
      <c r="P484" s="18">
        <f>IF(OR(N484="",N484=0),"",M484/N484-1)</f>
        <v/>
      </c>
      <c r="Q484">
        <f>IF(D484="","",IF(COUNTIFS($B$10:$B$1009,B484,$C$10:$C$1009,C484,$D$10:$D$1009,D484,$E$10:$E$1009,E484)&gt;1,"MÜKERRER?",IF(P484="","",IF(P484&gt;=$C$5,"İNCELE",IF(P484&lt;=-$C$5,"Düşük",""))))</f>
        <v/>
      </c>
      <c r="R484" s="16">
        <f>IF(AND(P484&lt;&gt;"",N(P484)&gt;=$C$5,COUNTIFS($B$10:B484,B484,$C$10:C484,C484,$D$10:D484,D484,$E$10:E484,E484)=1),(M484-N484)*E484*L484,0)</f>
        <v/>
      </c>
      <c r="S484" s="19">
        <f>IF(D484="",0,N(E484)*L484)</f>
        <v/>
      </c>
    </row>
    <row r="485">
      <c r="A485" s="11" t="n"/>
      <c r="B485" s="12" t="n"/>
      <c r="C485" s="12" t="n"/>
      <c r="D485" s="12" t="n"/>
      <c r="E485" s="13" t="n"/>
      <c r="F485" s="12" t="n"/>
      <c r="G485" s="14" t="n"/>
      <c r="H485" s="15" t="n"/>
      <c r="I485" s="16">
        <f>IF(G485="","",G485*(1-N(H485)))</f>
        <v/>
      </c>
      <c r="J485" s="16">
        <f>IF(I485="","",E485*I485)</f>
        <v/>
      </c>
      <c r="K485">
        <f>IF(D485="","",IFERROR(VLOOKUP(D485,'Ürün Eşleştirme'!$A$6:$D$505,2,FALSE),D485))</f>
        <v/>
      </c>
      <c r="L485" s="17">
        <f>IF(D485="","",IFERROR(VLOOKUP(D485,'Ürün Eşleştirme'!$A$6:$D$505,4,FALSE),1))</f>
        <v/>
      </c>
      <c r="M485" s="16">
        <f>IF(I485="","",I485/L485)</f>
        <v/>
      </c>
      <c r="N485" s="16">
        <f>IF(M485="","",IFERROR(AVERAGEIFS($M$10:$M$1009,$K$10:$K$1009,K485,$A$10:$A$1009,"&lt;"&amp;A485,$A$10:$A$1009,"&gt;="&amp;(A485-$C$6)),""))</f>
        <v/>
      </c>
      <c r="O485" s="16">
        <f>IF(M485="","",_xlfn.MINIFS($M$10:$M$1009,$K$10:$K$1009,K485,$A$10:$A$1009,"&lt;="&amp;A485,$A$10:$A$1009,"&gt;="&amp;(A485-$C$6)))</f>
        <v/>
      </c>
      <c r="P485" s="18">
        <f>IF(OR(N485="",N485=0),"",M485/N485-1)</f>
        <v/>
      </c>
      <c r="Q485">
        <f>IF(D485="","",IF(COUNTIFS($B$10:$B$1009,B485,$C$10:$C$1009,C485,$D$10:$D$1009,D485,$E$10:$E$1009,E485)&gt;1,"MÜKERRER?",IF(P485="","",IF(P485&gt;=$C$5,"İNCELE",IF(P485&lt;=-$C$5,"Düşük",""))))</f>
        <v/>
      </c>
      <c r="R485" s="16">
        <f>IF(AND(P485&lt;&gt;"",N(P485)&gt;=$C$5,COUNTIFS($B$10:B485,B485,$C$10:C485,C485,$D$10:D485,D485,$E$10:E485,E485)=1),(M485-N485)*E485*L485,0)</f>
        <v/>
      </c>
      <c r="S485" s="19">
        <f>IF(D485="",0,N(E485)*L485)</f>
        <v/>
      </c>
    </row>
    <row r="486">
      <c r="A486" s="11" t="n"/>
      <c r="B486" s="12" t="n"/>
      <c r="C486" s="12" t="n"/>
      <c r="D486" s="12" t="n"/>
      <c r="E486" s="13" t="n"/>
      <c r="F486" s="12" t="n"/>
      <c r="G486" s="14" t="n"/>
      <c r="H486" s="15" t="n"/>
      <c r="I486" s="16">
        <f>IF(G486="","",G486*(1-N(H486)))</f>
        <v/>
      </c>
      <c r="J486" s="16">
        <f>IF(I486="","",E486*I486)</f>
        <v/>
      </c>
      <c r="K486">
        <f>IF(D486="","",IFERROR(VLOOKUP(D486,'Ürün Eşleştirme'!$A$6:$D$505,2,FALSE),D486))</f>
        <v/>
      </c>
      <c r="L486" s="17">
        <f>IF(D486="","",IFERROR(VLOOKUP(D486,'Ürün Eşleştirme'!$A$6:$D$505,4,FALSE),1))</f>
        <v/>
      </c>
      <c r="M486" s="16">
        <f>IF(I486="","",I486/L486)</f>
        <v/>
      </c>
      <c r="N486" s="16">
        <f>IF(M486="","",IFERROR(AVERAGEIFS($M$10:$M$1009,$K$10:$K$1009,K486,$A$10:$A$1009,"&lt;"&amp;A486,$A$10:$A$1009,"&gt;="&amp;(A486-$C$6)),""))</f>
        <v/>
      </c>
      <c r="O486" s="16">
        <f>IF(M486="","",_xlfn.MINIFS($M$10:$M$1009,$K$10:$K$1009,K486,$A$10:$A$1009,"&lt;="&amp;A486,$A$10:$A$1009,"&gt;="&amp;(A486-$C$6)))</f>
        <v/>
      </c>
      <c r="P486" s="18">
        <f>IF(OR(N486="",N486=0),"",M486/N486-1)</f>
        <v/>
      </c>
      <c r="Q486">
        <f>IF(D486="","",IF(COUNTIFS($B$10:$B$1009,B486,$C$10:$C$1009,C486,$D$10:$D$1009,D486,$E$10:$E$1009,E486)&gt;1,"MÜKERRER?",IF(P486="","",IF(P486&gt;=$C$5,"İNCELE",IF(P486&lt;=-$C$5,"Düşük",""))))</f>
        <v/>
      </c>
      <c r="R486" s="16">
        <f>IF(AND(P486&lt;&gt;"",N(P486)&gt;=$C$5,COUNTIFS($B$10:B486,B486,$C$10:C486,C486,$D$10:D486,D486,$E$10:E486,E486)=1),(M486-N486)*E486*L486,0)</f>
        <v/>
      </c>
      <c r="S486" s="19">
        <f>IF(D486="",0,N(E486)*L486)</f>
        <v/>
      </c>
    </row>
    <row r="487">
      <c r="A487" s="11" t="n"/>
      <c r="B487" s="12" t="n"/>
      <c r="C487" s="12" t="n"/>
      <c r="D487" s="12" t="n"/>
      <c r="E487" s="13" t="n"/>
      <c r="F487" s="12" t="n"/>
      <c r="G487" s="14" t="n"/>
      <c r="H487" s="15" t="n"/>
      <c r="I487" s="16">
        <f>IF(G487="","",G487*(1-N(H487)))</f>
        <v/>
      </c>
      <c r="J487" s="16">
        <f>IF(I487="","",E487*I487)</f>
        <v/>
      </c>
      <c r="K487">
        <f>IF(D487="","",IFERROR(VLOOKUP(D487,'Ürün Eşleştirme'!$A$6:$D$505,2,FALSE),D487))</f>
        <v/>
      </c>
      <c r="L487" s="17">
        <f>IF(D487="","",IFERROR(VLOOKUP(D487,'Ürün Eşleştirme'!$A$6:$D$505,4,FALSE),1))</f>
        <v/>
      </c>
      <c r="M487" s="16">
        <f>IF(I487="","",I487/L487)</f>
        <v/>
      </c>
      <c r="N487" s="16">
        <f>IF(M487="","",IFERROR(AVERAGEIFS($M$10:$M$1009,$K$10:$K$1009,K487,$A$10:$A$1009,"&lt;"&amp;A487,$A$10:$A$1009,"&gt;="&amp;(A487-$C$6)),""))</f>
        <v/>
      </c>
      <c r="O487" s="16">
        <f>IF(M487="","",_xlfn.MINIFS($M$10:$M$1009,$K$10:$K$1009,K487,$A$10:$A$1009,"&lt;="&amp;A487,$A$10:$A$1009,"&gt;="&amp;(A487-$C$6)))</f>
        <v/>
      </c>
      <c r="P487" s="18">
        <f>IF(OR(N487="",N487=0),"",M487/N487-1)</f>
        <v/>
      </c>
      <c r="Q487">
        <f>IF(D487="","",IF(COUNTIFS($B$10:$B$1009,B487,$C$10:$C$1009,C487,$D$10:$D$1009,D487,$E$10:$E$1009,E487)&gt;1,"MÜKERRER?",IF(P487="","",IF(P487&gt;=$C$5,"İNCELE",IF(P487&lt;=-$C$5,"Düşük",""))))</f>
        <v/>
      </c>
      <c r="R487" s="16">
        <f>IF(AND(P487&lt;&gt;"",N(P487)&gt;=$C$5,COUNTIFS($B$10:B487,B487,$C$10:C487,C487,$D$10:D487,D487,$E$10:E487,E487)=1),(M487-N487)*E487*L487,0)</f>
        <v/>
      </c>
      <c r="S487" s="19">
        <f>IF(D487="",0,N(E487)*L487)</f>
        <v/>
      </c>
    </row>
    <row r="488">
      <c r="A488" s="11" t="n"/>
      <c r="B488" s="12" t="n"/>
      <c r="C488" s="12" t="n"/>
      <c r="D488" s="12" t="n"/>
      <c r="E488" s="13" t="n"/>
      <c r="F488" s="12" t="n"/>
      <c r="G488" s="14" t="n"/>
      <c r="H488" s="15" t="n"/>
      <c r="I488" s="16">
        <f>IF(G488="","",G488*(1-N(H488)))</f>
        <v/>
      </c>
      <c r="J488" s="16">
        <f>IF(I488="","",E488*I488)</f>
        <v/>
      </c>
      <c r="K488">
        <f>IF(D488="","",IFERROR(VLOOKUP(D488,'Ürün Eşleştirme'!$A$6:$D$505,2,FALSE),D488))</f>
        <v/>
      </c>
      <c r="L488" s="17">
        <f>IF(D488="","",IFERROR(VLOOKUP(D488,'Ürün Eşleştirme'!$A$6:$D$505,4,FALSE),1))</f>
        <v/>
      </c>
      <c r="M488" s="16">
        <f>IF(I488="","",I488/L488)</f>
        <v/>
      </c>
      <c r="N488" s="16">
        <f>IF(M488="","",IFERROR(AVERAGEIFS($M$10:$M$1009,$K$10:$K$1009,K488,$A$10:$A$1009,"&lt;"&amp;A488,$A$10:$A$1009,"&gt;="&amp;(A488-$C$6)),""))</f>
        <v/>
      </c>
      <c r="O488" s="16">
        <f>IF(M488="","",_xlfn.MINIFS($M$10:$M$1009,$K$10:$K$1009,K488,$A$10:$A$1009,"&lt;="&amp;A488,$A$10:$A$1009,"&gt;="&amp;(A488-$C$6)))</f>
        <v/>
      </c>
      <c r="P488" s="18">
        <f>IF(OR(N488="",N488=0),"",M488/N488-1)</f>
        <v/>
      </c>
      <c r="Q488">
        <f>IF(D488="","",IF(COUNTIFS($B$10:$B$1009,B488,$C$10:$C$1009,C488,$D$10:$D$1009,D488,$E$10:$E$1009,E488)&gt;1,"MÜKERRER?",IF(P488="","",IF(P488&gt;=$C$5,"İNCELE",IF(P488&lt;=-$C$5,"Düşük",""))))</f>
        <v/>
      </c>
      <c r="R488" s="16">
        <f>IF(AND(P488&lt;&gt;"",N(P488)&gt;=$C$5,COUNTIFS($B$10:B488,B488,$C$10:C488,C488,$D$10:D488,D488,$E$10:E488,E488)=1),(M488-N488)*E488*L488,0)</f>
        <v/>
      </c>
      <c r="S488" s="19">
        <f>IF(D488="",0,N(E488)*L488)</f>
        <v/>
      </c>
    </row>
    <row r="489">
      <c r="A489" s="11" t="n"/>
      <c r="B489" s="12" t="n"/>
      <c r="C489" s="12" t="n"/>
      <c r="D489" s="12" t="n"/>
      <c r="E489" s="13" t="n"/>
      <c r="F489" s="12" t="n"/>
      <c r="G489" s="14" t="n"/>
      <c r="H489" s="15" t="n"/>
      <c r="I489" s="16">
        <f>IF(G489="","",G489*(1-N(H489)))</f>
        <v/>
      </c>
      <c r="J489" s="16">
        <f>IF(I489="","",E489*I489)</f>
        <v/>
      </c>
      <c r="K489">
        <f>IF(D489="","",IFERROR(VLOOKUP(D489,'Ürün Eşleştirme'!$A$6:$D$505,2,FALSE),D489))</f>
        <v/>
      </c>
      <c r="L489" s="17">
        <f>IF(D489="","",IFERROR(VLOOKUP(D489,'Ürün Eşleştirme'!$A$6:$D$505,4,FALSE),1))</f>
        <v/>
      </c>
      <c r="M489" s="16">
        <f>IF(I489="","",I489/L489)</f>
        <v/>
      </c>
      <c r="N489" s="16">
        <f>IF(M489="","",IFERROR(AVERAGEIFS($M$10:$M$1009,$K$10:$K$1009,K489,$A$10:$A$1009,"&lt;"&amp;A489,$A$10:$A$1009,"&gt;="&amp;(A489-$C$6)),""))</f>
        <v/>
      </c>
      <c r="O489" s="16">
        <f>IF(M489="","",_xlfn.MINIFS($M$10:$M$1009,$K$10:$K$1009,K489,$A$10:$A$1009,"&lt;="&amp;A489,$A$10:$A$1009,"&gt;="&amp;(A489-$C$6)))</f>
        <v/>
      </c>
      <c r="P489" s="18">
        <f>IF(OR(N489="",N489=0),"",M489/N489-1)</f>
        <v/>
      </c>
      <c r="Q489">
        <f>IF(D489="","",IF(COUNTIFS($B$10:$B$1009,B489,$C$10:$C$1009,C489,$D$10:$D$1009,D489,$E$10:$E$1009,E489)&gt;1,"MÜKERRER?",IF(P489="","",IF(P489&gt;=$C$5,"İNCELE",IF(P489&lt;=-$C$5,"Düşük",""))))</f>
        <v/>
      </c>
      <c r="R489" s="16">
        <f>IF(AND(P489&lt;&gt;"",N(P489)&gt;=$C$5,COUNTIFS($B$10:B489,B489,$C$10:C489,C489,$D$10:D489,D489,$E$10:E489,E489)=1),(M489-N489)*E489*L489,0)</f>
        <v/>
      </c>
      <c r="S489" s="19">
        <f>IF(D489="",0,N(E489)*L489)</f>
        <v/>
      </c>
    </row>
    <row r="490">
      <c r="A490" s="11" t="n"/>
      <c r="B490" s="12" t="n"/>
      <c r="C490" s="12" t="n"/>
      <c r="D490" s="12" t="n"/>
      <c r="E490" s="13" t="n"/>
      <c r="F490" s="12" t="n"/>
      <c r="G490" s="14" t="n"/>
      <c r="H490" s="15" t="n"/>
      <c r="I490" s="16">
        <f>IF(G490="","",G490*(1-N(H490)))</f>
        <v/>
      </c>
      <c r="J490" s="16">
        <f>IF(I490="","",E490*I490)</f>
        <v/>
      </c>
      <c r="K490">
        <f>IF(D490="","",IFERROR(VLOOKUP(D490,'Ürün Eşleştirme'!$A$6:$D$505,2,FALSE),D490))</f>
        <v/>
      </c>
      <c r="L490" s="17">
        <f>IF(D490="","",IFERROR(VLOOKUP(D490,'Ürün Eşleştirme'!$A$6:$D$505,4,FALSE),1))</f>
        <v/>
      </c>
      <c r="M490" s="16">
        <f>IF(I490="","",I490/L490)</f>
        <v/>
      </c>
      <c r="N490" s="16">
        <f>IF(M490="","",IFERROR(AVERAGEIFS($M$10:$M$1009,$K$10:$K$1009,K490,$A$10:$A$1009,"&lt;"&amp;A490,$A$10:$A$1009,"&gt;="&amp;(A490-$C$6)),""))</f>
        <v/>
      </c>
      <c r="O490" s="16">
        <f>IF(M490="","",_xlfn.MINIFS($M$10:$M$1009,$K$10:$K$1009,K490,$A$10:$A$1009,"&lt;="&amp;A490,$A$10:$A$1009,"&gt;="&amp;(A490-$C$6)))</f>
        <v/>
      </c>
      <c r="P490" s="18">
        <f>IF(OR(N490="",N490=0),"",M490/N490-1)</f>
        <v/>
      </c>
      <c r="Q490">
        <f>IF(D490="","",IF(COUNTIFS($B$10:$B$1009,B490,$C$10:$C$1009,C490,$D$10:$D$1009,D490,$E$10:$E$1009,E490)&gt;1,"MÜKERRER?",IF(P490="","",IF(P490&gt;=$C$5,"İNCELE",IF(P490&lt;=-$C$5,"Düşük",""))))</f>
        <v/>
      </c>
      <c r="R490" s="16">
        <f>IF(AND(P490&lt;&gt;"",N(P490)&gt;=$C$5,COUNTIFS($B$10:B490,B490,$C$10:C490,C490,$D$10:D490,D490,$E$10:E490,E490)=1),(M490-N490)*E490*L490,0)</f>
        <v/>
      </c>
      <c r="S490" s="19">
        <f>IF(D490="",0,N(E490)*L490)</f>
        <v/>
      </c>
    </row>
    <row r="491">
      <c r="A491" s="11" t="n"/>
      <c r="B491" s="12" t="n"/>
      <c r="C491" s="12" t="n"/>
      <c r="D491" s="12" t="n"/>
      <c r="E491" s="13" t="n"/>
      <c r="F491" s="12" t="n"/>
      <c r="G491" s="14" t="n"/>
      <c r="H491" s="15" t="n"/>
      <c r="I491" s="16">
        <f>IF(G491="","",G491*(1-N(H491)))</f>
        <v/>
      </c>
      <c r="J491" s="16">
        <f>IF(I491="","",E491*I491)</f>
        <v/>
      </c>
      <c r="K491">
        <f>IF(D491="","",IFERROR(VLOOKUP(D491,'Ürün Eşleştirme'!$A$6:$D$505,2,FALSE),D491))</f>
        <v/>
      </c>
      <c r="L491" s="17">
        <f>IF(D491="","",IFERROR(VLOOKUP(D491,'Ürün Eşleştirme'!$A$6:$D$505,4,FALSE),1))</f>
        <v/>
      </c>
      <c r="M491" s="16">
        <f>IF(I491="","",I491/L491)</f>
        <v/>
      </c>
      <c r="N491" s="16">
        <f>IF(M491="","",IFERROR(AVERAGEIFS($M$10:$M$1009,$K$10:$K$1009,K491,$A$10:$A$1009,"&lt;"&amp;A491,$A$10:$A$1009,"&gt;="&amp;(A491-$C$6)),""))</f>
        <v/>
      </c>
      <c r="O491" s="16">
        <f>IF(M491="","",_xlfn.MINIFS($M$10:$M$1009,$K$10:$K$1009,K491,$A$10:$A$1009,"&lt;="&amp;A491,$A$10:$A$1009,"&gt;="&amp;(A491-$C$6)))</f>
        <v/>
      </c>
      <c r="P491" s="18">
        <f>IF(OR(N491="",N491=0),"",M491/N491-1)</f>
        <v/>
      </c>
      <c r="Q491">
        <f>IF(D491="","",IF(COUNTIFS($B$10:$B$1009,B491,$C$10:$C$1009,C491,$D$10:$D$1009,D491,$E$10:$E$1009,E491)&gt;1,"MÜKERRER?",IF(P491="","",IF(P491&gt;=$C$5,"İNCELE",IF(P491&lt;=-$C$5,"Düşük",""))))</f>
        <v/>
      </c>
      <c r="R491" s="16">
        <f>IF(AND(P491&lt;&gt;"",N(P491)&gt;=$C$5,COUNTIFS($B$10:B491,B491,$C$10:C491,C491,$D$10:D491,D491,$E$10:E491,E491)=1),(M491-N491)*E491*L491,0)</f>
        <v/>
      </c>
      <c r="S491" s="19">
        <f>IF(D491="",0,N(E491)*L491)</f>
        <v/>
      </c>
    </row>
    <row r="492">
      <c r="A492" s="11" t="n"/>
      <c r="B492" s="12" t="n"/>
      <c r="C492" s="12" t="n"/>
      <c r="D492" s="12" t="n"/>
      <c r="E492" s="13" t="n"/>
      <c r="F492" s="12" t="n"/>
      <c r="G492" s="14" t="n"/>
      <c r="H492" s="15" t="n"/>
      <c r="I492" s="16">
        <f>IF(G492="","",G492*(1-N(H492)))</f>
        <v/>
      </c>
      <c r="J492" s="16">
        <f>IF(I492="","",E492*I492)</f>
        <v/>
      </c>
      <c r="K492">
        <f>IF(D492="","",IFERROR(VLOOKUP(D492,'Ürün Eşleştirme'!$A$6:$D$505,2,FALSE),D492))</f>
        <v/>
      </c>
      <c r="L492" s="17">
        <f>IF(D492="","",IFERROR(VLOOKUP(D492,'Ürün Eşleştirme'!$A$6:$D$505,4,FALSE),1))</f>
        <v/>
      </c>
      <c r="M492" s="16">
        <f>IF(I492="","",I492/L492)</f>
        <v/>
      </c>
      <c r="N492" s="16">
        <f>IF(M492="","",IFERROR(AVERAGEIFS($M$10:$M$1009,$K$10:$K$1009,K492,$A$10:$A$1009,"&lt;"&amp;A492,$A$10:$A$1009,"&gt;="&amp;(A492-$C$6)),""))</f>
        <v/>
      </c>
      <c r="O492" s="16">
        <f>IF(M492="","",_xlfn.MINIFS($M$10:$M$1009,$K$10:$K$1009,K492,$A$10:$A$1009,"&lt;="&amp;A492,$A$10:$A$1009,"&gt;="&amp;(A492-$C$6)))</f>
        <v/>
      </c>
      <c r="P492" s="18">
        <f>IF(OR(N492="",N492=0),"",M492/N492-1)</f>
        <v/>
      </c>
      <c r="Q492">
        <f>IF(D492="","",IF(COUNTIFS($B$10:$B$1009,B492,$C$10:$C$1009,C492,$D$10:$D$1009,D492,$E$10:$E$1009,E492)&gt;1,"MÜKERRER?",IF(P492="","",IF(P492&gt;=$C$5,"İNCELE",IF(P492&lt;=-$C$5,"Düşük",""))))</f>
        <v/>
      </c>
      <c r="R492" s="16">
        <f>IF(AND(P492&lt;&gt;"",N(P492)&gt;=$C$5,COUNTIFS($B$10:B492,B492,$C$10:C492,C492,$D$10:D492,D492,$E$10:E492,E492)=1),(M492-N492)*E492*L492,0)</f>
        <v/>
      </c>
      <c r="S492" s="19">
        <f>IF(D492="",0,N(E492)*L492)</f>
        <v/>
      </c>
    </row>
    <row r="493">
      <c r="A493" s="11" t="n"/>
      <c r="B493" s="12" t="n"/>
      <c r="C493" s="12" t="n"/>
      <c r="D493" s="12" t="n"/>
      <c r="E493" s="13" t="n"/>
      <c r="F493" s="12" t="n"/>
      <c r="G493" s="14" t="n"/>
      <c r="H493" s="15" t="n"/>
      <c r="I493" s="16">
        <f>IF(G493="","",G493*(1-N(H493)))</f>
        <v/>
      </c>
      <c r="J493" s="16">
        <f>IF(I493="","",E493*I493)</f>
        <v/>
      </c>
      <c r="K493">
        <f>IF(D493="","",IFERROR(VLOOKUP(D493,'Ürün Eşleştirme'!$A$6:$D$505,2,FALSE),D493))</f>
        <v/>
      </c>
      <c r="L493" s="17">
        <f>IF(D493="","",IFERROR(VLOOKUP(D493,'Ürün Eşleştirme'!$A$6:$D$505,4,FALSE),1))</f>
        <v/>
      </c>
      <c r="M493" s="16">
        <f>IF(I493="","",I493/L493)</f>
        <v/>
      </c>
      <c r="N493" s="16">
        <f>IF(M493="","",IFERROR(AVERAGEIFS($M$10:$M$1009,$K$10:$K$1009,K493,$A$10:$A$1009,"&lt;"&amp;A493,$A$10:$A$1009,"&gt;="&amp;(A493-$C$6)),""))</f>
        <v/>
      </c>
      <c r="O493" s="16">
        <f>IF(M493="","",_xlfn.MINIFS($M$10:$M$1009,$K$10:$K$1009,K493,$A$10:$A$1009,"&lt;="&amp;A493,$A$10:$A$1009,"&gt;="&amp;(A493-$C$6)))</f>
        <v/>
      </c>
      <c r="P493" s="18">
        <f>IF(OR(N493="",N493=0),"",M493/N493-1)</f>
        <v/>
      </c>
      <c r="Q493">
        <f>IF(D493="","",IF(COUNTIFS($B$10:$B$1009,B493,$C$10:$C$1009,C493,$D$10:$D$1009,D493,$E$10:$E$1009,E493)&gt;1,"MÜKERRER?",IF(P493="","",IF(P493&gt;=$C$5,"İNCELE",IF(P493&lt;=-$C$5,"Düşük",""))))</f>
        <v/>
      </c>
      <c r="R493" s="16">
        <f>IF(AND(P493&lt;&gt;"",N(P493)&gt;=$C$5,COUNTIFS($B$10:B493,B493,$C$10:C493,C493,$D$10:D493,D493,$E$10:E493,E493)=1),(M493-N493)*E493*L493,0)</f>
        <v/>
      </c>
      <c r="S493" s="19">
        <f>IF(D493="",0,N(E493)*L493)</f>
        <v/>
      </c>
    </row>
    <row r="494">
      <c r="A494" s="11" t="n"/>
      <c r="B494" s="12" t="n"/>
      <c r="C494" s="12" t="n"/>
      <c r="D494" s="12" t="n"/>
      <c r="E494" s="13" t="n"/>
      <c r="F494" s="12" t="n"/>
      <c r="G494" s="14" t="n"/>
      <c r="H494" s="15" t="n"/>
      <c r="I494" s="16">
        <f>IF(G494="","",G494*(1-N(H494)))</f>
        <v/>
      </c>
      <c r="J494" s="16">
        <f>IF(I494="","",E494*I494)</f>
        <v/>
      </c>
      <c r="K494">
        <f>IF(D494="","",IFERROR(VLOOKUP(D494,'Ürün Eşleştirme'!$A$6:$D$505,2,FALSE),D494))</f>
        <v/>
      </c>
      <c r="L494" s="17">
        <f>IF(D494="","",IFERROR(VLOOKUP(D494,'Ürün Eşleştirme'!$A$6:$D$505,4,FALSE),1))</f>
        <v/>
      </c>
      <c r="M494" s="16">
        <f>IF(I494="","",I494/L494)</f>
        <v/>
      </c>
      <c r="N494" s="16">
        <f>IF(M494="","",IFERROR(AVERAGEIFS($M$10:$M$1009,$K$10:$K$1009,K494,$A$10:$A$1009,"&lt;"&amp;A494,$A$10:$A$1009,"&gt;="&amp;(A494-$C$6)),""))</f>
        <v/>
      </c>
      <c r="O494" s="16">
        <f>IF(M494="","",_xlfn.MINIFS($M$10:$M$1009,$K$10:$K$1009,K494,$A$10:$A$1009,"&lt;="&amp;A494,$A$10:$A$1009,"&gt;="&amp;(A494-$C$6)))</f>
        <v/>
      </c>
      <c r="P494" s="18">
        <f>IF(OR(N494="",N494=0),"",M494/N494-1)</f>
        <v/>
      </c>
      <c r="Q494">
        <f>IF(D494="","",IF(COUNTIFS($B$10:$B$1009,B494,$C$10:$C$1009,C494,$D$10:$D$1009,D494,$E$10:$E$1009,E494)&gt;1,"MÜKERRER?",IF(P494="","",IF(P494&gt;=$C$5,"İNCELE",IF(P494&lt;=-$C$5,"Düşük",""))))</f>
        <v/>
      </c>
      <c r="R494" s="16">
        <f>IF(AND(P494&lt;&gt;"",N(P494)&gt;=$C$5,COUNTIFS($B$10:B494,B494,$C$10:C494,C494,$D$10:D494,D494,$E$10:E494,E494)=1),(M494-N494)*E494*L494,0)</f>
        <v/>
      </c>
      <c r="S494" s="19">
        <f>IF(D494="",0,N(E494)*L494)</f>
        <v/>
      </c>
    </row>
    <row r="495">
      <c r="A495" s="11" t="n"/>
      <c r="B495" s="12" t="n"/>
      <c r="C495" s="12" t="n"/>
      <c r="D495" s="12" t="n"/>
      <c r="E495" s="13" t="n"/>
      <c r="F495" s="12" t="n"/>
      <c r="G495" s="14" t="n"/>
      <c r="H495" s="15" t="n"/>
      <c r="I495" s="16">
        <f>IF(G495="","",G495*(1-N(H495)))</f>
        <v/>
      </c>
      <c r="J495" s="16">
        <f>IF(I495="","",E495*I495)</f>
        <v/>
      </c>
      <c r="K495">
        <f>IF(D495="","",IFERROR(VLOOKUP(D495,'Ürün Eşleştirme'!$A$6:$D$505,2,FALSE),D495))</f>
        <v/>
      </c>
      <c r="L495" s="17">
        <f>IF(D495="","",IFERROR(VLOOKUP(D495,'Ürün Eşleştirme'!$A$6:$D$505,4,FALSE),1))</f>
        <v/>
      </c>
      <c r="M495" s="16">
        <f>IF(I495="","",I495/L495)</f>
        <v/>
      </c>
      <c r="N495" s="16">
        <f>IF(M495="","",IFERROR(AVERAGEIFS($M$10:$M$1009,$K$10:$K$1009,K495,$A$10:$A$1009,"&lt;"&amp;A495,$A$10:$A$1009,"&gt;="&amp;(A495-$C$6)),""))</f>
        <v/>
      </c>
      <c r="O495" s="16">
        <f>IF(M495="","",_xlfn.MINIFS($M$10:$M$1009,$K$10:$K$1009,K495,$A$10:$A$1009,"&lt;="&amp;A495,$A$10:$A$1009,"&gt;="&amp;(A495-$C$6)))</f>
        <v/>
      </c>
      <c r="P495" s="18">
        <f>IF(OR(N495="",N495=0),"",M495/N495-1)</f>
        <v/>
      </c>
      <c r="Q495">
        <f>IF(D495="","",IF(COUNTIFS($B$10:$B$1009,B495,$C$10:$C$1009,C495,$D$10:$D$1009,D495,$E$10:$E$1009,E495)&gt;1,"MÜKERRER?",IF(P495="","",IF(P495&gt;=$C$5,"İNCELE",IF(P495&lt;=-$C$5,"Düşük",""))))</f>
        <v/>
      </c>
      <c r="R495" s="16">
        <f>IF(AND(P495&lt;&gt;"",N(P495)&gt;=$C$5,COUNTIFS($B$10:B495,B495,$C$10:C495,C495,$D$10:D495,D495,$E$10:E495,E495)=1),(M495-N495)*E495*L495,0)</f>
        <v/>
      </c>
      <c r="S495" s="19">
        <f>IF(D495="",0,N(E495)*L495)</f>
        <v/>
      </c>
    </row>
    <row r="496">
      <c r="A496" s="11" t="n"/>
      <c r="B496" s="12" t="n"/>
      <c r="C496" s="12" t="n"/>
      <c r="D496" s="12" t="n"/>
      <c r="E496" s="13" t="n"/>
      <c r="F496" s="12" t="n"/>
      <c r="G496" s="14" t="n"/>
      <c r="H496" s="15" t="n"/>
      <c r="I496" s="16">
        <f>IF(G496="","",G496*(1-N(H496)))</f>
        <v/>
      </c>
      <c r="J496" s="16">
        <f>IF(I496="","",E496*I496)</f>
        <v/>
      </c>
      <c r="K496">
        <f>IF(D496="","",IFERROR(VLOOKUP(D496,'Ürün Eşleştirme'!$A$6:$D$505,2,FALSE),D496))</f>
        <v/>
      </c>
      <c r="L496" s="17">
        <f>IF(D496="","",IFERROR(VLOOKUP(D496,'Ürün Eşleştirme'!$A$6:$D$505,4,FALSE),1))</f>
        <v/>
      </c>
      <c r="M496" s="16">
        <f>IF(I496="","",I496/L496)</f>
        <v/>
      </c>
      <c r="N496" s="16">
        <f>IF(M496="","",IFERROR(AVERAGEIFS($M$10:$M$1009,$K$10:$K$1009,K496,$A$10:$A$1009,"&lt;"&amp;A496,$A$10:$A$1009,"&gt;="&amp;(A496-$C$6)),""))</f>
        <v/>
      </c>
      <c r="O496" s="16">
        <f>IF(M496="","",_xlfn.MINIFS($M$10:$M$1009,$K$10:$K$1009,K496,$A$10:$A$1009,"&lt;="&amp;A496,$A$10:$A$1009,"&gt;="&amp;(A496-$C$6)))</f>
        <v/>
      </c>
      <c r="P496" s="18">
        <f>IF(OR(N496="",N496=0),"",M496/N496-1)</f>
        <v/>
      </c>
      <c r="Q496">
        <f>IF(D496="","",IF(COUNTIFS($B$10:$B$1009,B496,$C$10:$C$1009,C496,$D$10:$D$1009,D496,$E$10:$E$1009,E496)&gt;1,"MÜKERRER?",IF(P496="","",IF(P496&gt;=$C$5,"İNCELE",IF(P496&lt;=-$C$5,"Düşük",""))))</f>
        <v/>
      </c>
      <c r="R496" s="16">
        <f>IF(AND(P496&lt;&gt;"",N(P496)&gt;=$C$5,COUNTIFS($B$10:B496,B496,$C$10:C496,C496,$D$10:D496,D496,$E$10:E496,E496)=1),(M496-N496)*E496*L496,0)</f>
        <v/>
      </c>
      <c r="S496" s="19">
        <f>IF(D496="",0,N(E496)*L496)</f>
        <v/>
      </c>
    </row>
    <row r="497">
      <c r="A497" s="11" t="n"/>
      <c r="B497" s="12" t="n"/>
      <c r="C497" s="12" t="n"/>
      <c r="D497" s="12" t="n"/>
      <c r="E497" s="13" t="n"/>
      <c r="F497" s="12" t="n"/>
      <c r="G497" s="14" t="n"/>
      <c r="H497" s="15" t="n"/>
      <c r="I497" s="16">
        <f>IF(G497="","",G497*(1-N(H497)))</f>
        <v/>
      </c>
      <c r="J497" s="16">
        <f>IF(I497="","",E497*I497)</f>
        <v/>
      </c>
      <c r="K497">
        <f>IF(D497="","",IFERROR(VLOOKUP(D497,'Ürün Eşleştirme'!$A$6:$D$505,2,FALSE),D497))</f>
        <v/>
      </c>
      <c r="L497" s="17">
        <f>IF(D497="","",IFERROR(VLOOKUP(D497,'Ürün Eşleştirme'!$A$6:$D$505,4,FALSE),1))</f>
        <v/>
      </c>
      <c r="M497" s="16">
        <f>IF(I497="","",I497/L497)</f>
        <v/>
      </c>
      <c r="N497" s="16">
        <f>IF(M497="","",IFERROR(AVERAGEIFS($M$10:$M$1009,$K$10:$K$1009,K497,$A$10:$A$1009,"&lt;"&amp;A497,$A$10:$A$1009,"&gt;="&amp;(A497-$C$6)),""))</f>
        <v/>
      </c>
      <c r="O497" s="16">
        <f>IF(M497="","",_xlfn.MINIFS($M$10:$M$1009,$K$10:$K$1009,K497,$A$10:$A$1009,"&lt;="&amp;A497,$A$10:$A$1009,"&gt;="&amp;(A497-$C$6)))</f>
        <v/>
      </c>
      <c r="P497" s="18">
        <f>IF(OR(N497="",N497=0),"",M497/N497-1)</f>
        <v/>
      </c>
      <c r="Q497">
        <f>IF(D497="","",IF(COUNTIFS($B$10:$B$1009,B497,$C$10:$C$1009,C497,$D$10:$D$1009,D497,$E$10:$E$1009,E497)&gt;1,"MÜKERRER?",IF(P497="","",IF(P497&gt;=$C$5,"İNCELE",IF(P497&lt;=-$C$5,"Düşük",""))))</f>
        <v/>
      </c>
      <c r="R497" s="16">
        <f>IF(AND(P497&lt;&gt;"",N(P497)&gt;=$C$5,COUNTIFS($B$10:B497,B497,$C$10:C497,C497,$D$10:D497,D497,$E$10:E497,E497)=1),(M497-N497)*E497*L497,0)</f>
        <v/>
      </c>
      <c r="S497" s="19">
        <f>IF(D497="",0,N(E497)*L497)</f>
        <v/>
      </c>
    </row>
    <row r="498">
      <c r="A498" s="11" t="n"/>
      <c r="B498" s="12" t="n"/>
      <c r="C498" s="12" t="n"/>
      <c r="D498" s="12" t="n"/>
      <c r="E498" s="13" t="n"/>
      <c r="F498" s="12" t="n"/>
      <c r="G498" s="14" t="n"/>
      <c r="H498" s="15" t="n"/>
      <c r="I498" s="16">
        <f>IF(G498="","",G498*(1-N(H498)))</f>
        <v/>
      </c>
      <c r="J498" s="16">
        <f>IF(I498="","",E498*I498)</f>
        <v/>
      </c>
      <c r="K498">
        <f>IF(D498="","",IFERROR(VLOOKUP(D498,'Ürün Eşleştirme'!$A$6:$D$505,2,FALSE),D498))</f>
        <v/>
      </c>
      <c r="L498" s="17">
        <f>IF(D498="","",IFERROR(VLOOKUP(D498,'Ürün Eşleştirme'!$A$6:$D$505,4,FALSE),1))</f>
        <v/>
      </c>
      <c r="M498" s="16">
        <f>IF(I498="","",I498/L498)</f>
        <v/>
      </c>
      <c r="N498" s="16">
        <f>IF(M498="","",IFERROR(AVERAGEIFS($M$10:$M$1009,$K$10:$K$1009,K498,$A$10:$A$1009,"&lt;"&amp;A498,$A$10:$A$1009,"&gt;="&amp;(A498-$C$6)),""))</f>
        <v/>
      </c>
      <c r="O498" s="16">
        <f>IF(M498="","",_xlfn.MINIFS($M$10:$M$1009,$K$10:$K$1009,K498,$A$10:$A$1009,"&lt;="&amp;A498,$A$10:$A$1009,"&gt;="&amp;(A498-$C$6)))</f>
        <v/>
      </c>
      <c r="P498" s="18">
        <f>IF(OR(N498="",N498=0),"",M498/N498-1)</f>
        <v/>
      </c>
      <c r="Q498">
        <f>IF(D498="","",IF(COUNTIFS($B$10:$B$1009,B498,$C$10:$C$1009,C498,$D$10:$D$1009,D498,$E$10:$E$1009,E498)&gt;1,"MÜKERRER?",IF(P498="","",IF(P498&gt;=$C$5,"İNCELE",IF(P498&lt;=-$C$5,"Düşük",""))))</f>
        <v/>
      </c>
      <c r="R498" s="16">
        <f>IF(AND(P498&lt;&gt;"",N(P498)&gt;=$C$5,COUNTIFS($B$10:B498,B498,$C$10:C498,C498,$D$10:D498,D498,$E$10:E498,E498)=1),(M498-N498)*E498*L498,0)</f>
        <v/>
      </c>
      <c r="S498" s="19">
        <f>IF(D498="",0,N(E498)*L498)</f>
        <v/>
      </c>
    </row>
    <row r="499">
      <c r="A499" s="11" t="n"/>
      <c r="B499" s="12" t="n"/>
      <c r="C499" s="12" t="n"/>
      <c r="D499" s="12" t="n"/>
      <c r="E499" s="13" t="n"/>
      <c r="F499" s="12" t="n"/>
      <c r="G499" s="14" t="n"/>
      <c r="H499" s="15" t="n"/>
      <c r="I499" s="16">
        <f>IF(G499="","",G499*(1-N(H499)))</f>
        <v/>
      </c>
      <c r="J499" s="16">
        <f>IF(I499="","",E499*I499)</f>
        <v/>
      </c>
      <c r="K499">
        <f>IF(D499="","",IFERROR(VLOOKUP(D499,'Ürün Eşleştirme'!$A$6:$D$505,2,FALSE),D499))</f>
        <v/>
      </c>
      <c r="L499" s="17">
        <f>IF(D499="","",IFERROR(VLOOKUP(D499,'Ürün Eşleştirme'!$A$6:$D$505,4,FALSE),1))</f>
        <v/>
      </c>
      <c r="M499" s="16">
        <f>IF(I499="","",I499/L499)</f>
        <v/>
      </c>
      <c r="N499" s="16">
        <f>IF(M499="","",IFERROR(AVERAGEIFS($M$10:$M$1009,$K$10:$K$1009,K499,$A$10:$A$1009,"&lt;"&amp;A499,$A$10:$A$1009,"&gt;="&amp;(A499-$C$6)),""))</f>
        <v/>
      </c>
      <c r="O499" s="16">
        <f>IF(M499="","",_xlfn.MINIFS($M$10:$M$1009,$K$10:$K$1009,K499,$A$10:$A$1009,"&lt;="&amp;A499,$A$10:$A$1009,"&gt;="&amp;(A499-$C$6)))</f>
        <v/>
      </c>
      <c r="P499" s="18">
        <f>IF(OR(N499="",N499=0),"",M499/N499-1)</f>
        <v/>
      </c>
      <c r="Q499">
        <f>IF(D499="","",IF(COUNTIFS($B$10:$B$1009,B499,$C$10:$C$1009,C499,$D$10:$D$1009,D499,$E$10:$E$1009,E499)&gt;1,"MÜKERRER?",IF(P499="","",IF(P499&gt;=$C$5,"İNCELE",IF(P499&lt;=-$C$5,"Düşük",""))))</f>
        <v/>
      </c>
      <c r="R499" s="16">
        <f>IF(AND(P499&lt;&gt;"",N(P499)&gt;=$C$5,COUNTIFS($B$10:B499,B499,$C$10:C499,C499,$D$10:D499,D499,$E$10:E499,E499)=1),(M499-N499)*E499*L499,0)</f>
        <v/>
      </c>
      <c r="S499" s="19">
        <f>IF(D499="",0,N(E499)*L499)</f>
        <v/>
      </c>
    </row>
    <row r="500">
      <c r="A500" s="11" t="n"/>
      <c r="B500" s="12" t="n"/>
      <c r="C500" s="12" t="n"/>
      <c r="D500" s="12" t="n"/>
      <c r="E500" s="13" t="n"/>
      <c r="F500" s="12" t="n"/>
      <c r="G500" s="14" t="n"/>
      <c r="H500" s="15" t="n"/>
      <c r="I500" s="16">
        <f>IF(G500="","",G500*(1-N(H500)))</f>
        <v/>
      </c>
      <c r="J500" s="16">
        <f>IF(I500="","",E500*I500)</f>
        <v/>
      </c>
      <c r="K500">
        <f>IF(D500="","",IFERROR(VLOOKUP(D500,'Ürün Eşleştirme'!$A$6:$D$505,2,FALSE),D500))</f>
        <v/>
      </c>
      <c r="L500" s="17">
        <f>IF(D500="","",IFERROR(VLOOKUP(D500,'Ürün Eşleştirme'!$A$6:$D$505,4,FALSE),1))</f>
        <v/>
      </c>
      <c r="M500" s="16">
        <f>IF(I500="","",I500/L500)</f>
        <v/>
      </c>
      <c r="N500" s="16">
        <f>IF(M500="","",IFERROR(AVERAGEIFS($M$10:$M$1009,$K$10:$K$1009,K500,$A$10:$A$1009,"&lt;"&amp;A500,$A$10:$A$1009,"&gt;="&amp;(A500-$C$6)),""))</f>
        <v/>
      </c>
      <c r="O500" s="16">
        <f>IF(M500="","",_xlfn.MINIFS($M$10:$M$1009,$K$10:$K$1009,K500,$A$10:$A$1009,"&lt;="&amp;A500,$A$10:$A$1009,"&gt;="&amp;(A500-$C$6)))</f>
        <v/>
      </c>
      <c r="P500" s="18">
        <f>IF(OR(N500="",N500=0),"",M500/N500-1)</f>
        <v/>
      </c>
      <c r="Q500">
        <f>IF(D500="","",IF(COUNTIFS($B$10:$B$1009,B500,$C$10:$C$1009,C500,$D$10:$D$1009,D500,$E$10:$E$1009,E500)&gt;1,"MÜKERRER?",IF(P500="","",IF(P500&gt;=$C$5,"İNCELE",IF(P500&lt;=-$C$5,"Düşük",""))))</f>
        <v/>
      </c>
      <c r="R500" s="16">
        <f>IF(AND(P500&lt;&gt;"",N(P500)&gt;=$C$5,COUNTIFS($B$10:B500,B500,$C$10:C500,C500,$D$10:D500,D500,$E$10:E500,E500)=1),(M500-N500)*E500*L500,0)</f>
        <v/>
      </c>
      <c r="S500" s="19">
        <f>IF(D500="",0,N(E500)*L500)</f>
        <v/>
      </c>
    </row>
    <row r="501">
      <c r="A501" s="11" t="n"/>
      <c r="B501" s="12" t="n"/>
      <c r="C501" s="12" t="n"/>
      <c r="D501" s="12" t="n"/>
      <c r="E501" s="13" t="n"/>
      <c r="F501" s="12" t="n"/>
      <c r="G501" s="14" t="n"/>
      <c r="H501" s="15" t="n"/>
      <c r="I501" s="16">
        <f>IF(G501="","",G501*(1-N(H501)))</f>
        <v/>
      </c>
      <c r="J501" s="16">
        <f>IF(I501="","",E501*I501)</f>
        <v/>
      </c>
      <c r="K501">
        <f>IF(D501="","",IFERROR(VLOOKUP(D501,'Ürün Eşleştirme'!$A$6:$D$505,2,FALSE),D501))</f>
        <v/>
      </c>
      <c r="L501" s="17">
        <f>IF(D501="","",IFERROR(VLOOKUP(D501,'Ürün Eşleştirme'!$A$6:$D$505,4,FALSE),1))</f>
        <v/>
      </c>
      <c r="M501" s="16">
        <f>IF(I501="","",I501/L501)</f>
        <v/>
      </c>
      <c r="N501" s="16">
        <f>IF(M501="","",IFERROR(AVERAGEIFS($M$10:$M$1009,$K$10:$K$1009,K501,$A$10:$A$1009,"&lt;"&amp;A501,$A$10:$A$1009,"&gt;="&amp;(A501-$C$6)),""))</f>
        <v/>
      </c>
      <c r="O501" s="16">
        <f>IF(M501="","",_xlfn.MINIFS($M$10:$M$1009,$K$10:$K$1009,K501,$A$10:$A$1009,"&lt;="&amp;A501,$A$10:$A$1009,"&gt;="&amp;(A501-$C$6)))</f>
        <v/>
      </c>
      <c r="P501" s="18">
        <f>IF(OR(N501="",N501=0),"",M501/N501-1)</f>
        <v/>
      </c>
      <c r="Q501">
        <f>IF(D501="","",IF(COUNTIFS($B$10:$B$1009,B501,$C$10:$C$1009,C501,$D$10:$D$1009,D501,$E$10:$E$1009,E501)&gt;1,"MÜKERRER?",IF(P501="","",IF(P501&gt;=$C$5,"İNCELE",IF(P501&lt;=-$C$5,"Düşük",""))))</f>
        <v/>
      </c>
      <c r="R501" s="16">
        <f>IF(AND(P501&lt;&gt;"",N(P501)&gt;=$C$5,COUNTIFS($B$10:B501,B501,$C$10:C501,C501,$D$10:D501,D501,$E$10:E501,E501)=1),(M501-N501)*E501*L501,0)</f>
        <v/>
      </c>
      <c r="S501" s="19">
        <f>IF(D501="",0,N(E501)*L501)</f>
        <v/>
      </c>
    </row>
    <row r="502">
      <c r="A502" s="11" t="n"/>
      <c r="B502" s="12" t="n"/>
      <c r="C502" s="12" t="n"/>
      <c r="D502" s="12" t="n"/>
      <c r="E502" s="13" t="n"/>
      <c r="F502" s="12" t="n"/>
      <c r="G502" s="14" t="n"/>
      <c r="H502" s="15" t="n"/>
      <c r="I502" s="16">
        <f>IF(G502="","",G502*(1-N(H502)))</f>
        <v/>
      </c>
      <c r="J502" s="16">
        <f>IF(I502="","",E502*I502)</f>
        <v/>
      </c>
      <c r="K502">
        <f>IF(D502="","",IFERROR(VLOOKUP(D502,'Ürün Eşleştirme'!$A$6:$D$505,2,FALSE),D502))</f>
        <v/>
      </c>
      <c r="L502" s="17">
        <f>IF(D502="","",IFERROR(VLOOKUP(D502,'Ürün Eşleştirme'!$A$6:$D$505,4,FALSE),1))</f>
        <v/>
      </c>
      <c r="M502" s="16">
        <f>IF(I502="","",I502/L502)</f>
        <v/>
      </c>
      <c r="N502" s="16">
        <f>IF(M502="","",IFERROR(AVERAGEIFS($M$10:$M$1009,$K$10:$K$1009,K502,$A$10:$A$1009,"&lt;"&amp;A502,$A$10:$A$1009,"&gt;="&amp;(A502-$C$6)),""))</f>
        <v/>
      </c>
      <c r="O502" s="16">
        <f>IF(M502="","",_xlfn.MINIFS($M$10:$M$1009,$K$10:$K$1009,K502,$A$10:$A$1009,"&lt;="&amp;A502,$A$10:$A$1009,"&gt;="&amp;(A502-$C$6)))</f>
        <v/>
      </c>
      <c r="P502" s="18">
        <f>IF(OR(N502="",N502=0),"",M502/N502-1)</f>
        <v/>
      </c>
      <c r="Q502">
        <f>IF(D502="","",IF(COUNTIFS($B$10:$B$1009,B502,$C$10:$C$1009,C502,$D$10:$D$1009,D502,$E$10:$E$1009,E502)&gt;1,"MÜKERRER?",IF(P502="","",IF(P502&gt;=$C$5,"İNCELE",IF(P502&lt;=-$C$5,"Düşük",""))))</f>
        <v/>
      </c>
      <c r="R502" s="16">
        <f>IF(AND(P502&lt;&gt;"",N(P502)&gt;=$C$5,COUNTIFS($B$10:B502,B502,$C$10:C502,C502,$D$10:D502,D502,$E$10:E502,E502)=1),(M502-N502)*E502*L502,0)</f>
        <v/>
      </c>
      <c r="S502" s="19">
        <f>IF(D502="",0,N(E502)*L502)</f>
        <v/>
      </c>
    </row>
    <row r="503">
      <c r="A503" s="11" t="n"/>
      <c r="B503" s="12" t="n"/>
      <c r="C503" s="12" t="n"/>
      <c r="D503" s="12" t="n"/>
      <c r="E503" s="13" t="n"/>
      <c r="F503" s="12" t="n"/>
      <c r="G503" s="14" t="n"/>
      <c r="H503" s="15" t="n"/>
      <c r="I503" s="16">
        <f>IF(G503="","",G503*(1-N(H503)))</f>
        <v/>
      </c>
      <c r="J503" s="16">
        <f>IF(I503="","",E503*I503)</f>
        <v/>
      </c>
      <c r="K503">
        <f>IF(D503="","",IFERROR(VLOOKUP(D503,'Ürün Eşleştirme'!$A$6:$D$505,2,FALSE),D503))</f>
        <v/>
      </c>
      <c r="L503" s="17">
        <f>IF(D503="","",IFERROR(VLOOKUP(D503,'Ürün Eşleştirme'!$A$6:$D$505,4,FALSE),1))</f>
        <v/>
      </c>
      <c r="M503" s="16">
        <f>IF(I503="","",I503/L503)</f>
        <v/>
      </c>
      <c r="N503" s="16">
        <f>IF(M503="","",IFERROR(AVERAGEIFS($M$10:$M$1009,$K$10:$K$1009,K503,$A$10:$A$1009,"&lt;"&amp;A503,$A$10:$A$1009,"&gt;="&amp;(A503-$C$6)),""))</f>
        <v/>
      </c>
      <c r="O503" s="16">
        <f>IF(M503="","",_xlfn.MINIFS($M$10:$M$1009,$K$10:$K$1009,K503,$A$10:$A$1009,"&lt;="&amp;A503,$A$10:$A$1009,"&gt;="&amp;(A503-$C$6)))</f>
        <v/>
      </c>
      <c r="P503" s="18">
        <f>IF(OR(N503="",N503=0),"",M503/N503-1)</f>
        <v/>
      </c>
      <c r="Q503">
        <f>IF(D503="","",IF(COUNTIFS($B$10:$B$1009,B503,$C$10:$C$1009,C503,$D$10:$D$1009,D503,$E$10:$E$1009,E503)&gt;1,"MÜKERRER?",IF(P503="","",IF(P503&gt;=$C$5,"İNCELE",IF(P503&lt;=-$C$5,"Düşük",""))))</f>
        <v/>
      </c>
      <c r="R503" s="16">
        <f>IF(AND(P503&lt;&gt;"",N(P503)&gt;=$C$5,COUNTIFS($B$10:B503,B503,$C$10:C503,C503,$D$10:D503,D503,$E$10:E503,E503)=1),(M503-N503)*E503*L503,0)</f>
        <v/>
      </c>
      <c r="S503" s="19">
        <f>IF(D503="",0,N(E503)*L503)</f>
        <v/>
      </c>
    </row>
    <row r="504">
      <c r="A504" s="11" t="n"/>
      <c r="B504" s="12" t="n"/>
      <c r="C504" s="12" t="n"/>
      <c r="D504" s="12" t="n"/>
      <c r="E504" s="13" t="n"/>
      <c r="F504" s="12" t="n"/>
      <c r="G504" s="14" t="n"/>
      <c r="H504" s="15" t="n"/>
      <c r="I504" s="16">
        <f>IF(G504="","",G504*(1-N(H504)))</f>
        <v/>
      </c>
      <c r="J504" s="16">
        <f>IF(I504="","",E504*I504)</f>
        <v/>
      </c>
      <c r="K504">
        <f>IF(D504="","",IFERROR(VLOOKUP(D504,'Ürün Eşleştirme'!$A$6:$D$505,2,FALSE),D504))</f>
        <v/>
      </c>
      <c r="L504" s="17">
        <f>IF(D504="","",IFERROR(VLOOKUP(D504,'Ürün Eşleştirme'!$A$6:$D$505,4,FALSE),1))</f>
        <v/>
      </c>
      <c r="M504" s="16">
        <f>IF(I504="","",I504/L504)</f>
        <v/>
      </c>
      <c r="N504" s="16">
        <f>IF(M504="","",IFERROR(AVERAGEIFS($M$10:$M$1009,$K$10:$K$1009,K504,$A$10:$A$1009,"&lt;"&amp;A504,$A$10:$A$1009,"&gt;="&amp;(A504-$C$6)),""))</f>
        <v/>
      </c>
      <c r="O504" s="16">
        <f>IF(M504="","",_xlfn.MINIFS($M$10:$M$1009,$K$10:$K$1009,K504,$A$10:$A$1009,"&lt;="&amp;A504,$A$10:$A$1009,"&gt;="&amp;(A504-$C$6)))</f>
        <v/>
      </c>
      <c r="P504" s="18">
        <f>IF(OR(N504="",N504=0),"",M504/N504-1)</f>
        <v/>
      </c>
      <c r="Q504">
        <f>IF(D504="","",IF(COUNTIFS($B$10:$B$1009,B504,$C$10:$C$1009,C504,$D$10:$D$1009,D504,$E$10:$E$1009,E504)&gt;1,"MÜKERRER?",IF(P504="","",IF(P504&gt;=$C$5,"İNCELE",IF(P504&lt;=-$C$5,"Düşük",""))))</f>
        <v/>
      </c>
      <c r="R504" s="16">
        <f>IF(AND(P504&lt;&gt;"",N(P504)&gt;=$C$5,COUNTIFS($B$10:B504,B504,$C$10:C504,C504,$D$10:D504,D504,$E$10:E504,E504)=1),(M504-N504)*E504*L504,0)</f>
        <v/>
      </c>
      <c r="S504" s="19">
        <f>IF(D504="",0,N(E504)*L504)</f>
        <v/>
      </c>
    </row>
    <row r="505">
      <c r="A505" s="11" t="n"/>
      <c r="B505" s="12" t="n"/>
      <c r="C505" s="12" t="n"/>
      <c r="D505" s="12" t="n"/>
      <c r="E505" s="13" t="n"/>
      <c r="F505" s="12" t="n"/>
      <c r="G505" s="14" t="n"/>
      <c r="H505" s="15" t="n"/>
      <c r="I505" s="16">
        <f>IF(G505="","",G505*(1-N(H505)))</f>
        <v/>
      </c>
      <c r="J505" s="16">
        <f>IF(I505="","",E505*I505)</f>
        <v/>
      </c>
      <c r="K505">
        <f>IF(D505="","",IFERROR(VLOOKUP(D505,'Ürün Eşleştirme'!$A$6:$D$505,2,FALSE),D505))</f>
        <v/>
      </c>
      <c r="L505" s="17">
        <f>IF(D505="","",IFERROR(VLOOKUP(D505,'Ürün Eşleştirme'!$A$6:$D$505,4,FALSE),1))</f>
        <v/>
      </c>
      <c r="M505" s="16">
        <f>IF(I505="","",I505/L505)</f>
        <v/>
      </c>
      <c r="N505" s="16">
        <f>IF(M505="","",IFERROR(AVERAGEIFS($M$10:$M$1009,$K$10:$K$1009,K505,$A$10:$A$1009,"&lt;"&amp;A505,$A$10:$A$1009,"&gt;="&amp;(A505-$C$6)),""))</f>
        <v/>
      </c>
      <c r="O505" s="16">
        <f>IF(M505="","",_xlfn.MINIFS($M$10:$M$1009,$K$10:$K$1009,K505,$A$10:$A$1009,"&lt;="&amp;A505,$A$10:$A$1009,"&gt;="&amp;(A505-$C$6)))</f>
        <v/>
      </c>
      <c r="P505" s="18">
        <f>IF(OR(N505="",N505=0),"",M505/N505-1)</f>
        <v/>
      </c>
      <c r="Q505">
        <f>IF(D505="","",IF(COUNTIFS($B$10:$B$1009,B505,$C$10:$C$1009,C505,$D$10:$D$1009,D505,$E$10:$E$1009,E505)&gt;1,"MÜKERRER?",IF(P505="","",IF(P505&gt;=$C$5,"İNCELE",IF(P505&lt;=-$C$5,"Düşük",""))))</f>
        <v/>
      </c>
      <c r="R505" s="16">
        <f>IF(AND(P505&lt;&gt;"",N(P505)&gt;=$C$5,COUNTIFS($B$10:B505,B505,$C$10:C505,C505,$D$10:D505,D505,$E$10:E505,E505)=1),(M505-N505)*E505*L505,0)</f>
        <v/>
      </c>
      <c r="S505" s="19">
        <f>IF(D505="",0,N(E505)*L505)</f>
        <v/>
      </c>
    </row>
    <row r="506">
      <c r="A506" s="11" t="n"/>
      <c r="B506" s="12" t="n"/>
      <c r="C506" s="12" t="n"/>
      <c r="D506" s="12" t="n"/>
      <c r="E506" s="13" t="n"/>
      <c r="F506" s="12" t="n"/>
      <c r="G506" s="14" t="n"/>
      <c r="H506" s="15" t="n"/>
      <c r="I506" s="16">
        <f>IF(G506="","",G506*(1-N(H506)))</f>
        <v/>
      </c>
      <c r="J506" s="16">
        <f>IF(I506="","",E506*I506)</f>
        <v/>
      </c>
      <c r="K506">
        <f>IF(D506="","",IFERROR(VLOOKUP(D506,'Ürün Eşleştirme'!$A$6:$D$505,2,FALSE),D506))</f>
        <v/>
      </c>
      <c r="L506" s="17">
        <f>IF(D506="","",IFERROR(VLOOKUP(D506,'Ürün Eşleştirme'!$A$6:$D$505,4,FALSE),1))</f>
        <v/>
      </c>
      <c r="M506" s="16">
        <f>IF(I506="","",I506/L506)</f>
        <v/>
      </c>
      <c r="N506" s="16">
        <f>IF(M506="","",IFERROR(AVERAGEIFS($M$10:$M$1009,$K$10:$K$1009,K506,$A$10:$A$1009,"&lt;"&amp;A506,$A$10:$A$1009,"&gt;="&amp;(A506-$C$6)),""))</f>
        <v/>
      </c>
      <c r="O506" s="16">
        <f>IF(M506="","",_xlfn.MINIFS($M$10:$M$1009,$K$10:$K$1009,K506,$A$10:$A$1009,"&lt;="&amp;A506,$A$10:$A$1009,"&gt;="&amp;(A506-$C$6)))</f>
        <v/>
      </c>
      <c r="P506" s="18">
        <f>IF(OR(N506="",N506=0),"",M506/N506-1)</f>
        <v/>
      </c>
      <c r="Q506">
        <f>IF(D506="","",IF(COUNTIFS($B$10:$B$1009,B506,$C$10:$C$1009,C506,$D$10:$D$1009,D506,$E$10:$E$1009,E506)&gt;1,"MÜKERRER?",IF(P506="","",IF(P506&gt;=$C$5,"İNCELE",IF(P506&lt;=-$C$5,"Düşük",""))))</f>
        <v/>
      </c>
      <c r="R506" s="16">
        <f>IF(AND(P506&lt;&gt;"",N(P506)&gt;=$C$5,COUNTIFS($B$10:B506,B506,$C$10:C506,C506,$D$10:D506,D506,$E$10:E506,E506)=1),(M506-N506)*E506*L506,0)</f>
        <v/>
      </c>
      <c r="S506" s="19">
        <f>IF(D506="",0,N(E506)*L506)</f>
        <v/>
      </c>
    </row>
    <row r="507">
      <c r="A507" s="11" t="n"/>
      <c r="B507" s="12" t="n"/>
      <c r="C507" s="12" t="n"/>
      <c r="D507" s="12" t="n"/>
      <c r="E507" s="13" t="n"/>
      <c r="F507" s="12" t="n"/>
      <c r="G507" s="14" t="n"/>
      <c r="H507" s="15" t="n"/>
      <c r="I507" s="16">
        <f>IF(G507="","",G507*(1-N(H507)))</f>
        <v/>
      </c>
      <c r="J507" s="16">
        <f>IF(I507="","",E507*I507)</f>
        <v/>
      </c>
      <c r="K507">
        <f>IF(D507="","",IFERROR(VLOOKUP(D507,'Ürün Eşleştirme'!$A$6:$D$505,2,FALSE),D507))</f>
        <v/>
      </c>
      <c r="L507" s="17">
        <f>IF(D507="","",IFERROR(VLOOKUP(D507,'Ürün Eşleştirme'!$A$6:$D$505,4,FALSE),1))</f>
        <v/>
      </c>
      <c r="M507" s="16">
        <f>IF(I507="","",I507/L507)</f>
        <v/>
      </c>
      <c r="N507" s="16">
        <f>IF(M507="","",IFERROR(AVERAGEIFS($M$10:$M$1009,$K$10:$K$1009,K507,$A$10:$A$1009,"&lt;"&amp;A507,$A$10:$A$1009,"&gt;="&amp;(A507-$C$6)),""))</f>
        <v/>
      </c>
      <c r="O507" s="16">
        <f>IF(M507="","",_xlfn.MINIFS($M$10:$M$1009,$K$10:$K$1009,K507,$A$10:$A$1009,"&lt;="&amp;A507,$A$10:$A$1009,"&gt;="&amp;(A507-$C$6)))</f>
        <v/>
      </c>
      <c r="P507" s="18">
        <f>IF(OR(N507="",N507=0),"",M507/N507-1)</f>
        <v/>
      </c>
      <c r="Q507">
        <f>IF(D507="","",IF(COUNTIFS($B$10:$B$1009,B507,$C$10:$C$1009,C507,$D$10:$D$1009,D507,$E$10:$E$1009,E507)&gt;1,"MÜKERRER?",IF(P507="","",IF(P507&gt;=$C$5,"İNCELE",IF(P507&lt;=-$C$5,"Düşük",""))))</f>
        <v/>
      </c>
      <c r="R507" s="16">
        <f>IF(AND(P507&lt;&gt;"",N(P507)&gt;=$C$5,COUNTIFS($B$10:B507,B507,$C$10:C507,C507,$D$10:D507,D507,$E$10:E507,E507)=1),(M507-N507)*E507*L507,0)</f>
        <v/>
      </c>
      <c r="S507" s="19">
        <f>IF(D507="",0,N(E507)*L507)</f>
        <v/>
      </c>
    </row>
    <row r="508">
      <c r="A508" s="11" t="n"/>
      <c r="B508" s="12" t="n"/>
      <c r="C508" s="12" t="n"/>
      <c r="D508" s="12" t="n"/>
      <c r="E508" s="13" t="n"/>
      <c r="F508" s="12" t="n"/>
      <c r="G508" s="14" t="n"/>
      <c r="H508" s="15" t="n"/>
      <c r="I508" s="16">
        <f>IF(G508="","",G508*(1-N(H508)))</f>
        <v/>
      </c>
      <c r="J508" s="16">
        <f>IF(I508="","",E508*I508)</f>
        <v/>
      </c>
      <c r="K508">
        <f>IF(D508="","",IFERROR(VLOOKUP(D508,'Ürün Eşleştirme'!$A$6:$D$505,2,FALSE),D508))</f>
        <v/>
      </c>
      <c r="L508" s="17">
        <f>IF(D508="","",IFERROR(VLOOKUP(D508,'Ürün Eşleştirme'!$A$6:$D$505,4,FALSE),1))</f>
        <v/>
      </c>
      <c r="M508" s="16">
        <f>IF(I508="","",I508/L508)</f>
        <v/>
      </c>
      <c r="N508" s="16">
        <f>IF(M508="","",IFERROR(AVERAGEIFS($M$10:$M$1009,$K$10:$K$1009,K508,$A$10:$A$1009,"&lt;"&amp;A508,$A$10:$A$1009,"&gt;="&amp;(A508-$C$6)),""))</f>
        <v/>
      </c>
      <c r="O508" s="16">
        <f>IF(M508="","",_xlfn.MINIFS($M$10:$M$1009,$K$10:$K$1009,K508,$A$10:$A$1009,"&lt;="&amp;A508,$A$10:$A$1009,"&gt;="&amp;(A508-$C$6)))</f>
        <v/>
      </c>
      <c r="P508" s="18">
        <f>IF(OR(N508="",N508=0),"",M508/N508-1)</f>
        <v/>
      </c>
      <c r="Q508">
        <f>IF(D508="","",IF(COUNTIFS($B$10:$B$1009,B508,$C$10:$C$1009,C508,$D$10:$D$1009,D508,$E$10:$E$1009,E508)&gt;1,"MÜKERRER?",IF(P508="","",IF(P508&gt;=$C$5,"İNCELE",IF(P508&lt;=-$C$5,"Düşük",""))))</f>
        <v/>
      </c>
      <c r="R508" s="16">
        <f>IF(AND(P508&lt;&gt;"",N(P508)&gt;=$C$5,COUNTIFS($B$10:B508,B508,$C$10:C508,C508,$D$10:D508,D508,$E$10:E508,E508)=1),(M508-N508)*E508*L508,0)</f>
        <v/>
      </c>
      <c r="S508" s="19">
        <f>IF(D508="",0,N(E508)*L508)</f>
        <v/>
      </c>
    </row>
    <row r="509">
      <c r="A509" s="11" t="n"/>
      <c r="B509" s="12" t="n"/>
      <c r="C509" s="12" t="n"/>
      <c r="D509" s="12" t="n"/>
      <c r="E509" s="13" t="n"/>
      <c r="F509" s="12" t="n"/>
      <c r="G509" s="14" t="n"/>
      <c r="H509" s="15" t="n"/>
      <c r="I509" s="16">
        <f>IF(G509="","",G509*(1-N(H509)))</f>
        <v/>
      </c>
      <c r="J509" s="16">
        <f>IF(I509="","",E509*I509)</f>
        <v/>
      </c>
      <c r="K509">
        <f>IF(D509="","",IFERROR(VLOOKUP(D509,'Ürün Eşleştirme'!$A$6:$D$505,2,FALSE),D509))</f>
        <v/>
      </c>
      <c r="L509" s="17">
        <f>IF(D509="","",IFERROR(VLOOKUP(D509,'Ürün Eşleştirme'!$A$6:$D$505,4,FALSE),1))</f>
        <v/>
      </c>
      <c r="M509" s="16">
        <f>IF(I509="","",I509/L509)</f>
        <v/>
      </c>
      <c r="N509" s="16">
        <f>IF(M509="","",IFERROR(AVERAGEIFS($M$10:$M$1009,$K$10:$K$1009,K509,$A$10:$A$1009,"&lt;"&amp;A509,$A$10:$A$1009,"&gt;="&amp;(A509-$C$6)),""))</f>
        <v/>
      </c>
      <c r="O509" s="16">
        <f>IF(M509="","",_xlfn.MINIFS($M$10:$M$1009,$K$10:$K$1009,K509,$A$10:$A$1009,"&lt;="&amp;A509,$A$10:$A$1009,"&gt;="&amp;(A509-$C$6)))</f>
        <v/>
      </c>
      <c r="P509" s="18">
        <f>IF(OR(N509="",N509=0),"",M509/N509-1)</f>
        <v/>
      </c>
      <c r="Q509">
        <f>IF(D509="","",IF(COUNTIFS($B$10:$B$1009,B509,$C$10:$C$1009,C509,$D$10:$D$1009,D509,$E$10:$E$1009,E509)&gt;1,"MÜKERRER?",IF(P509="","",IF(P509&gt;=$C$5,"İNCELE",IF(P509&lt;=-$C$5,"Düşük",""))))</f>
        <v/>
      </c>
      <c r="R509" s="16">
        <f>IF(AND(P509&lt;&gt;"",N(P509)&gt;=$C$5,COUNTIFS($B$10:B509,B509,$C$10:C509,C509,$D$10:D509,D509,$E$10:E509,E509)=1),(M509-N509)*E509*L509,0)</f>
        <v/>
      </c>
      <c r="S509" s="19">
        <f>IF(D509="",0,N(E509)*L509)</f>
        <v/>
      </c>
    </row>
    <row r="510">
      <c r="A510" s="11" t="n"/>
      <c r="B510" s="12" t="n"/>
      <c r="C510" s="12" t="n"/>
      <c r="D510" s="12" t="n"/>
      <c r="E510" s="13" t="n"/>
      <c r="F510" s="12" t="n"/>
      <c r="G510" s="14" t="n"/>
      <c r="H510" s="15" t="n"/>
      <c r="I510" s="16">
        <f>IF(G510="","",G510*(1-N(H510)))</f>
        <v/>
      </c>
      <c r="J510" s="16">
        <f>IF(I510="","",E510*I510)</f>
        <v/>
      </c>
      <c r="K510">
        <f>IF(D510="","",IFERROR(VLOOKUP(D510,'Ürün Eşleştirme'!$A$6:$D$505,2,FALSE),D510))</f>
        <v/>
      </c>
      <c r="L510" s="17">
        <f>IF(D510="","",IFERROR(VLOOKUP(D510,'Ürün Eşleştirme'!$A$6:$D$505,4,FALSE),1))</f>
        <v/>
      </c>
      <c r="M510" s="16">
        <f>IF(I510="","",I510/L510)</f>
        <v/>
      </c>
      <c r="N510" s="16">
        <f>IF(M510="","",IFERROR(AVERAGEIFS($M$10:$M$1009,$K$10:$K$1009,K510,$A$10:$A$1009,"&lt;"&amp;A510,$A$10:$A$1009,"&gt;="&amp;(A510-$C$6)),""))</f>
        <v/>
      </c>
      <c r="O510" s="16">
        <f>IF(M510="","",_xlfn.MINIFS($M$10:$M$1009,$K$10:$K$1009,K510,$A$10:$A$1009,"&lt;="&amp;A510,$A$10:$A$1009,"&gt;="&amp;(A510-$C$6)))</f>
        <v/>
      </c>
      <c r="P510" s="18">
        <f>IF(OR(N510="",N510=0),"",M510/N510-1)</f>
        <v/>
      </c>
      <c r="Q510">
        <f>IF(D510="","",IF(COUNTIFS($B$10:$B$1009,B510,$C$10:$C$1009,C510,$D$10:$D$1009,D510,$E$10:$E$1009,E510)&gt;1,"MÜKERRER?",IF(P510="","",IF(P510&gt;=$C$5,"İNCELE",IF(P510&lt;=-$C$5,"Düşük",""))))</f>
        <v/>
      </c>
      <c r="R510" s="16">
        <f>IF(AND(P510&lt;&gt;"",N(P510)&gt;=$C$5,COUNTIFS($B$10:B510,B510,$C$10:C510,C510,$D$10:D510,D510,$E$10:E510,E510)=1),(M510-N510)*E510*L510,0)</f>
        <v/>
      </c>
      <c r="S510" s="19">
        <f>IF(D510="",0,N(E510)*L510)</f>
        <v/>
      </c>
    </row>
    <row r="511">
      <c r="A511" s="11" t="n"/>
      <c r="B511" s="12" t="n"/>
      <c r="C511" s="12" t="n"/>
      <c r="D511" s="12" t="n"/>
      <c r="E511" s="13" t="n"/>
      <c r="F511" s="12" t="n"/>
      <c r="G511" s="14" t="n"/>
      <c r="H511" s="15" t="n"/>
      <c r="I511" s="16">
        <f>IF(G511="","",G511*(1-N(H511)))</f>
        <v/>
      </c>
      <c r="J511" s="16">
        <f>IF(I511="","",E511*I511)</f>
        <v/>
      </c>
      <c r="K511">
        <f>IF(D511="","",IFERROR(VLOOKUP(D511,'Ürün Eşleştirme'!$A$6:$D$505,2,FALSE),D511))</f>
        <v/>
      </c>
      <c r="L511" s="17">
        <f>IF(D511="","",IFERROR(VLOOKUP(D511,'Ürün Eşleştirme'!$A$6:$D$505,4,FALSE),1))</f>
        <v/>
      </c>
      <c r="M511" s="16">
        <f>IF(I511="","",I511/L511)</f>
        <v/>
      </c>
      <c r="N511" s="16">
        <f>IF(M511="","",IFERROR(AVERAGEIFS($M$10:$M$1009,$K$10:$K$1009,K511,$A$10:$A$1009,"&lt;"&amp;A511,$A$10:$A$1009,"&gt;="&amp;(A511-$C$6)),""))</f>
        <v/>
      </c>
      <c r="O511" s="16">
        <f>IF(M511="","",_xlfn.MINIFS($M$10:$M$1009,$K$10:$K$1009,K511,$A$10:$A$1009,"&lt;="&amp;A511,$A$10:$A$1009,"&gt;="&amp;(A511-$C$6)))</f>
        <v/>
      </c>
      <c r="P511" s="18">
        <f>IF(OR(N511="",N511=0),"",M511/N511-1)</f>
        <v/>
      </c>
      <c r="Q511">
        <f>IF(D511="","",IF(COUNTIFS($B$10:$B$1009,B511,$C$10:$C$1009,C511,$D$10:$D$1009,D511,$E$10:$E$1009,E511)&gt;1,"MÜKERRER?",IF(P511="","",IF(P511&gt;=$C$5,"İNCELE",IF(P511&lt;=-$C$5,"Düşük",""))))</f>
        <v/>
      </c>
      <c r="R511" s="16">
        <f>IF(AND(P511&lt;&gt;"",N(P511)&gt;=$C$5,COUNTIFS($B$10:B511,B511,$C$10:C511,C511,$D$10:D511,D511,$E$10:E511,E511)=1),(M511-N511)*E511*L511,0)</f>
        <v/>
      </c>
      <c r="S511" s="19">
        <f>IF(D511="",0,N(E511)*L511)</f>
        <v/>
      </c>
    </row>
    <row r="512">
      <c r="A512" s="11" t="n"/>
      <c r="B512" s="12" t="n"/>
      <c r="C512" s="12" t="n"/>
      <c r="D512" s="12" t="n"/>
      <c r="E512" s="13" t="n"/>
      <c r="F512" s="12" t="n"/>
      <c r="G512" s="14" t="n"/>
      <c r="H512" s="15" t="n"/>
      <c r="I512" s="16">
        <f>IF(G512="","",G512*(1-N(H512)))</f>
        <v/>
      </c>
      <c r="J512" s="16">
        <f>IF(I512="","",E512*I512)</f>
        <v/>
      </c>
      <c r="K512">
        <f>IF(D512="","",IFERROR(VLOOKUP(D512,'Ürün Eşleştirme'!$A$6:$D$505,2,FALSE),D512))</f>
        <v/>
      </c>
      <c r="L512" s="17">
        <f>IF(D512="","",IFERROR(VLOOKUP(D512,'Ürün Eşleştirme'!$A$6:$D$505,4,FALSE),1))</f>
        <v/>
      </c>
      <c r="M512" s="16">
        <f>IF(I512="","",I512/L512)</f>
        <v/>
      </c>
      <c r="N512" s="16">
        <f>IF(M512="","",IFERROR(AVERAGEIFS($M$10:$M$1009,$K$10:$K$1009,K512,$A$10:$A$1009,"&lt;"&amp;A512,$A$10:$A$1009,"&gt;="&amp;(A512-$C$6)),""))</f>
        <v/>
      </c>
      <c r="O512" s="16">
        <f>IF(M512="","",_xlfn.MINIFS($M$10:$M$1009,$K$10:$K$1009,K512,$A$10:$A$1009,"&lt;="&amp;A512,$A$10:$A$1009,"&gt;="&amp;(A512-$C$6)))</f>
        <v/>
      </c>
      <c r="P512" s="18">
        <f>IF(OR(N512="",N512=0),"",M512/N512-1)</f>
        <v/>
      </c>
      <c r="Q512">
        <f>IF(D512="","",IF(COUNTIFS($B$10:$B$1009,B512,$C$10:$C$1009,C512,$D$10:$D$1009,D512,$E$10:$E$1009,E512)&gt;1,"MÜKERRER?",IF(P512="","",IF(P512&gt;=$C$5,"İNCELE",IF(P512&lt;=-$C$5,"Düşük",""))))</f>
        <v/>
      </c>
      <c r="R512" s="16">
        <f>IF(AND(P512&lt;&gt;"",N(P512)&gt;=$C$5,COUNTIFS($B$10:B512,B512,$C$10:C512,C512,$D$10:D512,D512,$E$10:E512,E512)=1),(M512-N512)*E512*L512,0)</f>
        <v/>
      </c>
      <c r="S512" s="19">
        <f>IF(D512="",0,N(E512)*L512)</f>
        <v/>
      </c>
    </row>
    <row r="513">
      <c r="A513" s="11" t="n"/>
      <c r="B513" s="12" t="n"/>
      <c r="C513" s="12" t="n"/>
      <c r="D513" s="12" t="n"/>
      <c r="E513" s="13" t="n"/>
      <c r="F513" s="12" t="n"/>
      <c r="G513" s="14" t="n"/>
      <c r="H513" s="15" t="n"/>
      <c r="I513" s="16">
        <f>IF(G513="","",G513*(1-N(H513)))</f>
        <v/>
      </c>
      <c r="J513" s="16">
        <f>IF(I513="","",E513*I513)</f>
        <v/>
      </c>
      <c r="K513">
        <f>IF(D513="","",IFERROR(VLOOKUP(D513,'Ürün Eşleştirme'!$A$6:$D$505,2,FALSE),D513))</f>
        <v/>
      </c>
      <c r="L513" s="17">
        <f>IF(D513="","",IFERROR(VLOOKUP(D513,'Ürün Eşleştirme'!$A$6:$D$505,4,FALSE),1))</f>
        <v/>
      </c>
      <c r="M513" s="16">
        <f>IF(I513="","",I513/L513)</f>
        <v/>
      </c>
      <c r="N513" s="16">
        <f>IF(M513="","",IFERROR(AVERAGEIFS($M$10:$M$1009,$K$10:$K$1009,K513,$A$10:$A$1009,"&lt;"&amp;A513,$A$10:$A$1009,"&gt;="&amp;(A513-$C$6)),""))</f>
        <v/>
      </c>
      <c r="O513" s="16">
        <f>IF(M513="","",_xlfn.MINIFS($M$10:$M$1009,$K$10:$K$1009,K513,$A$10:$A$1009,"&lt;="&amp;A513,$A$10:$A$1009,"&gt;="&amp;(A513-$C$6)))</f>
        <v/>
      </c>
      <c r="P513" s="18">
        <f>IF(OR(N513="",N513=0),"",M513/N513-1)</f>
        <v/>
      </c>
      <c r="Q513">
        <f>IF(D513="","",IF(COUNTIFS($B$10:$B$1009,B513,$C$10:$C$1009,C513,$D$10:$D$1009,D513,$E$10:$E$1009,E513)&gt;1,"MÜKERRER?",IF(P513="","",IF(P513&gt;=$C$5,"İNCELE",IF(P513&lt;=-$C$5,"Düşük",""))))</f>
        <v/>
      </c>
      <c r="R513" s="16">
        <f>IF(AND(P513&lt;&gt;"",N(P513)&gt;=$C$5,COUNTIFS($B$10:B513,B513,$C$10:C513,C513,$D$10:D513,D513,$E$10:E513,E513)=1),(M513-N513)*E513*L513,0)</f>
        <v/>
      </c>
      <c r="S513" s="19">
        <f>IF(D513="",0,N(E513)*L513)</f>
        <v/>
      </c>
    </row>
    <row r="514">
      <c r="A514" s="11" t="n"/>
      <c r="B514" s="12" t="n"/>
      <c r="C514" s="12" t="n"/>
      <c r="D514" s="12" t="n"/>
      <c r="E514" s="13" t="n"/>
      <c r="F514" s="12" t="n"/>
      <c r="G514" s="14" t="n"/>
      <c r="H514" s="15" t="n"/>
      <c r="I514" s="16">
        <f>IF(G514="","",G514*(1-N(H514)))</f>
        <v/>
      </c>
      <c r="J514" s="16">
        <f>IF(I514="","",E514*I514)</f>
        <v/>
      </c>
      <c r="K514">
        <f>IF(D514="","",IFERROR(VLOOKUP(D514,'Ürün Eşleştirme'!$A$6:$D$505,2,FALSE),D514))</f>
        <v/>
      </c>
      <c r="L514" s="17">
        <f>IF(D514="","",IFERROR(VLOOKUP(D514,'Ürün Eşleştirme'!$A$6:$D$505,4,FALSE),1))</f>
        <v/>
      </c>
      <c r="M514" s="16">
        <f>IF(I514="","",I514/L514)</f>
        <v/>
      </c>
      <c r="N514" s="16">
        <f>IF(M514="","",IFERROR(AVERAGEIFS($M$10:$M$1009,$K$10:$K$1009,K514,$A$10:$A$1009,"&lt;"&amp;A514,$A$10:$A$1009,"&gt;="&amp;(A514-$C$6)),""))</f>
        <v/>
      </c>
      <c r="O514" s="16">
        <f>IF(M514="","",_xlfn.MINIFS($M$10:$M$1009,$K$10:$K$1009,K514,$A$10:$A$1009,"&lt;="&amp;A514,$A$10:$A$1009,"&gt;="&amp;(A514-$C$6)))</f>
        <v/>
      </c>
      <c r="P514" s="18">
        <f>IF(OR(N514="",N514=0),"",M514/N514-1)</f>
        <v/>
      </c>
      <c r="Q514">
        <f>IF(D514="","",IF(COUNTIFS($B$10:$B$1009,B514,$C$10:$C$1009,C514,$D$10:$D$1009,D514,$E$10:$E$1009,E514)&gt;1,"MÜKERRER?",IF(P514="","",IF(P514&gt;=$C$5,"İNCELE",IF(P514&lt;=-$C$5,"Düşük",""))))</f>
        <v/>
      </c>
      <c r="R514" s="16">
        <f>IF(AND(P514&lt;&gt;"",N(P514)&gt;=$C$5,COUNTIFS($B$10:B514,B514,$C$10:C514,C514,$D$10:D514,D514,$E$10:E514,E514)=1),(M514-N514)*E514*L514,0)</f>
        <v/>
      </c>
      <c r="S514" s="19">
        <f>IF(D514="",0,N(E514)*L514)</f>
        <v/>
      </c>
    </row>
    <row r="515">
      <c r="A515" s="11" t="n"/>
      <c r="B515" s="12" t="n"/>
      <c r="C515" s="12" t="n"/>
      <c r="D515" s="12" t="n"/>
      <c r="E515" s="13" t="n"/>
      <c r="F515" s="12" t="n"/>
      <c r="G515" s="14" t="n"/>
      <c r="H515" s="15" t="n"/>
      <c r="I515" s="16">
        <f>IF(G515="","",G515*(1-N(H515)))</f>
        <v/>
      </c>
      <c r="J515" s="16">
        <f>IF(I515="","",E515*I515)</f>
        <v/>
      </c>
      <c r="K515">
        <f>IF(D515="","",IFERROR(VLOOKUP(D515,'Ürün Eşleştirme'!$A$6:$D$505,2,FALSE),D515))</f>
        <v/>
      </c>
      <c r="L515" s="17">
        <f>IF(D515="","",IFERROR(VLOOKUP(D515,'Ürün Eşleştirme'!$A$6:$D$505,4,FALSE),1))</f>
        <v/>
      </c>
      <c r="M515" s="16">
        <f>IF(I515="","",I515/L515)</f>
        <v/>
      </c>
      <c r="N515" s="16">
        <f>IF(M515="","",IFERROR(AVERAGEIFS($M$10:$M$1009,$K$10:$K$1009,K515,$A$10:$A$1009,"&lt;"&amp;A515,$A$10:$A$1009,"&gt;="&amp;(A515-$C$6)),""))</f>
        <v/>
      </c>
      <c r="O515" s="16">
        <f>IF(M515="","",_xlfn.MINIFS($M$10:$M$1009,$K$10:$K$1009,K515,$A$10:$A$1009,"&lt;="&amp;A515,$A$10:$A$1009,"&gt;="&amp;(A515-$C$6)))</f>
        <v/>
      </c>
      <c r="P515" s="18">
        <f>IF(OR(N515="",N515=0),"",M515/N515-1)</f>
        <v/>
      </c>
      <c r="Q515">
        <f>IF(D515="","",IF(COUNTIFS($B$10:$B$1009,B515,$C$10:$C$1009,C515,$D$10:$D$1009,D515,$E$10:$E$1009,E515)&gt;1,"MÜKERRER?",IF(P515="","",IF(P515&gt;=$C$5,"İNCELE",IF(P515&lt;=-$C$5,"Düşük",""))))</f>
        <v/>
      </c>
      <c r="R515" s="16">
        <f>IF(AND(P515&lt;&gt;"",N(P515)&gt;=$C$5,COUNTIFS($B$10:B515,B515,$C$10:C515,C515,$D$10:D515,D515,$E$10:E515,E515)=1),(M515-N515)*E515*L515,0)</f>
        <v/>
      </c>
      <c r="S515" s="19">
        <f>IF(D515="",0,N(E515)*L515)</f>
        <v/>
      </c>
    </row>
    <row r="516">
      <c r="A516" s="11" t="n"/>
      <c r="B516" s="12" t="n"/>
      <c r="C516" s="12" t="n"/>
      <c r="D516" s="12" t="n"/>
      <c r="E516" s="13" t="n"/>
      <c r="F516" s="12" t="n"/>
      <c r="G516" s="14" t="n"/>
      <c r="H516" s="15" t="n"/>
      <c r="I516" s="16">
        <f>IF(G516="","",G516*(1-N(H516)))</f>
        <v/>
      </c>
      <c r="J516" s="16">
        <f>IF(I516="","",E516*I516)</f>
        <v/>
      </c>
      <c r="K516">
        <f>IF(D516="","",IFERROR(VLOOKUP(D516,'Ürün Eşleştirme'!$A$6:$D$505,2,FALSE),D516))</f>
        <v/>
      </c>
      <c r="L516" s="17">
        <f>IF(D516="","",IFERROR(VLOOKUP(D516,'Ürün Eşleştirme'!$A$6:$D$505,4,FALSE),1))</f>
        <v/>
      </c>
      <c r="M516" s="16">
        <f>IF(I516="","",I516/L516)</f>
        <v/>
      </c>
      <c r="N516" s="16">
        <f>IF(M516="","",IFERROR(AVERAGEIFS($M$10:$M$1009,$K$10:$K$1009,K516,$A$10:$A$1009,"&lt;"&amp;A516,$A$10:$A$1009,"&gt;="&amp;(A516-$C$6)),""))</f>
        <v/>
      </c>
      <c r="O516" s="16">
        <f>IF(M516="","",_xlfn.MINIFS($M$10:$M$1009,$K$10:$K$1009,K516,$A$10:$A$1009,"&lt;="&amp;A516,$A$10:$A$1009,"&gt;="&amp;(A516-$C$6)))</f>
        <v/>
      </c>
      <c r="P516" s="18">
        <f>IF(OR(N516="",N516=0),"",M516/N516-1)</f>
        <v/>
      </c>
      <c r="Q516">
        <f>IF(D516="","",IF(COUNTIFS($B$10:$B$1009,B516,$C$10:$C$1009,C516,$D$10:$D$1009,D516,$E$10:$E$1009,E516)&gt;1,"MÜKERRER?",IF(P516="","",IF(P516&gt;=$C$5,"İNCELE",IF(P516&lt;=-$C$5,"Düşük",""))))</f>
        <v/>
      </c>
      <c r="R516" s="16">
        <f>IF(AND(P516&lt;&gt;"",N(P516)&gt;=$C$5,COUNTIFS($B$10:B516,B516,$C$10:C516,C516,$D$10:D516,D516,$E$10:E516,E516)=1),(M516-N516)*E516*L516,0)</f>
        <v/>
      </c>
      <c r="S516" s="19">
        <f>IF(D516="",0,N(E516)*L516)</f>
        <v/>
      </c>
    </row>
    <row r="517">
      <c r="A517" s="11" t="n"/>
      <c r="B517" s="12" t="n"/>
      <c r="C517" s="12" t="n"/>
      <c r="D517" s="12" t="n"/>
      <c r="E517" s="13" t="n"/>
      <c r="F517" s="12" t="n"/>
      <c r="G517" s="14" t="n"/>
      <c r="H517" s="15" t="n"/>
      <c r="I517" s="16">
        <f>IF(G517="","",G517*(1-N(H517)))</f>
        <v/>
      </c>
      <c r="J517" s="16">
        <f>IF(I517="","",E517*I517)</f>
        <v/>
      </c>
      <c r="K517">
        <f>IF(D517="","",IFERROR(VLOOKUP(D517,'Ürün Eşleştirme'!$A$6:$D$505,2,FALSE),D517))</f>
        <v/>
      </c>
      <c r="L517" s="17">
        <f>IF(D517="","",IFERROR(VLOOKUP(D517,'Ürün Eşleştirme'!$A$6:$D$505,4,FALSE),1))</f>
        <v/>
      </c>
      <c r="M517" s="16">
        <f>IF(I517="","",I517/L517)</f>
        <v/>
      </c>
      <c r="N517" s="16">
        <f>IF(M517="","",IFERROR(AVERAGEIFS($M$10:$M$1009,$K$10:$K$1009,K517,$A$10:$A$1009,"&lt;"&amp;A517,$A$10:$A$1009,"&gt;="&amp;(A517-$C$6)),""))</f>
        <v/>
      </c>
      <c r="O517" s="16">
        <f>IF(M517="","",_xlfn.MINIFS($M$10:$M$1009,$K$10:$K$1009,K517,$A$10:$A$1009,"&lt;="&amp;A517,$A$10:$A$1009,"&gt;="&amp;(A517-$C$6)))</f>
        <v/>
      </c>
      <c r="P517" s="18">
        <f>IF(OR(N517="",N517=0),"",M517/N517-1)</f>
        <v/>
      </c>
      <c r="Q517">
        <f>IF(D517="","",IF(COUNTIFS($B$10:$B$1009,B517,$C$10:$C$1009,C517,$D$10:$D$1009,D517,$E$10:$E$1009,E517)&gt;1,"MÜKERRER?",IF(P517="","",IF(P517&gt;=$C$5,"İNCELE",IF(P517&lt;=-$C$5,"Düşük",""))))</f>
        <v/>
      </c>
      <c r="R517" s="16">
        <f>IF(AND(P517&lt;&gt;"",N(P517)&gt;=$C$5,COUNTIFS($B$10:B517,B517,$C$10:C517,C517,$D$10:D517,D517,$E$10:E517,E517)=1),(M517-N517)*E517*L517,0)</f>
        <v/>
      </c>
      <c r="S517" s="19">
        <f>IF(D517="",0,N(E517)*L517)</f>
        <v/>
      </c>
    </row>
    <row r="518">
      <c r="A518" s="11" t="n"/>
      <c r="B518" s="12" t="n"/>
      <c r="C518" s="12" t="n"/>
      <c r="D518" s="12" t="n"/>
      <c r="E518" s="13" t="n"/>
      <c r="F518" s="12" t="n"/>
      <c r="G518" s="14" t="n"/>
      <c r="H518" s="15" t="n"/>
      <c r="I518" s="16">
        <f>IF(G518="","",G518*(1-N(H518)))</f>
        <v/>
      </c>
      <c r="J518" s="16">
        <f>IF(I518="","",E518*I518)</f>
        <v/>
      </c>
      <c r="K518">
        <f>IF(D518="","",IFERROR(VLOOKUP(D518,'Ürün Eşleştirme'!$A$6:$D$505,2,FALSE),D518))</f>
        <v/>
      </c>
      <c r="L518" s="17">
        <f>IF(D518="","",IFERROR(VLOOKUP(D518,'Ürün Eşleştirme'!$A$6:$D$505,4,FALSE),1))</f>
        <v/>
      </c>
      <c r="M518" s="16">
        <f>IF(I518="","",I518/L518)</f>
        <v/>
      </c>
      <c r="N518" s="16">
        <f>IF(M518="","",IFERROR(AVERAGEIFS($M$10:$M$1009,$K$10:$K$1009,K518,$A$10:$A$1009,"&lt;"&amp;A518,$A$10:$A$1009,"&gt;="&amp;(A518-$C$6)),""))</f>
        <v/>
      </c>
      <c r="O518" s="16">
        <f>IF(M518="","",_xlfn.MINIFS($M$10:$M$1009,$K$10:$K$1009,K518,$A$10:$A$1009,"&lt;="&amp;A518,$A$10:$A$1009,"&gt;="&amp;(A518-$C$6)))</f>
        <v/>
      </c>
      <c r="P518" s="18">
        <f>IF(OR(N518="",N518=0),"",M518/N518-1)</f>
        <v/>
      </c>
      <c r="Q518">
        <f>IF(D518="","",IF(COUNTIFS($B$10:$B$1009,B518,$C$10:$C$1009,C518,$D$10:$D$1009,D518,$E$10:$E$1009,E518)&gt;1,"MÜKERRER?",IF(P518="","",IF(P518&gt;=$C$5,"İNCELE",IF(P518&lt;=-$C$5,"Düşük",""))))</f>
        <v/>
      </c>
      <c r="R518" s="16">
        <f>IF(AND(P518&lt;&gt;"",N(P518)&gt;=$C$5,COUNTIFS($B$10:B518,B518,$C$10:C518,C518,$D$10:D518,D518,$E$10:E518,E518)=1),(M518-N518)*E518*L518,0)</f>
        <v/>
      </c>
      <c r="S518" s="19">
        <f>IF(D518="",0,N(E518)*L518)</f>
        <v/>
      </c>
    </row>
    <row r="519">
      <c r="A519" s="11" t="n"/>
      <c r="B519" s="12" t="n"/>
      <c r="C519" s="12" t="n"/>
      <c r="D519" s="12" t="n"/>
      <c r="E519" s="13" t="n"/>
      <c r="F519" s="12" t="n"/>
      <c r="G519" s="14" t="n"/>
      <c r="H519" s="15" t="n"/>
      <c r="I519" s="16">
        <f>IF(G519="","",G519*(1-N(H519)))</f>
        <v/>
      </c>
      <c r="J519" s="16">
        <f>IF(I519="","",E519*I519)</f>
        <v/>
      </c>
      <c r="K519">
        <f>IF(D519="","",IFERROR(VLOOKUP(D519,'Ürün Eşleştirme'!$A$6:$D$505,2,FALSE),D519))</f>
        <v/>
      </c>
      <c r="L519" s="17">
        <f>IF(D519="","",IFERROR(VLOOKUP(D519,'Ürün Eşleştirme'!$A$6:$D$505,4,FALSE),1))</f>
        <v/>
      </c>
      <c r="M519" s="16">
        <f>IF(I519="","",I519/L519)</f>
        <v/>
      </c>
      <c r="N519" s="16">
        <f>IF(M519="","",IFERROR(AVERAGEIFS($M$10:$M$1009,$K$10:$K$1009,K519,$A$10:$A$1009,"&lt;"&amp;A519,$A$10:$A$1009,"&gt;="&amp;(A519-$C$6)),""))</f>
        <v/>
      </c>
      <c r="O519" s="16">
        <f>IF(M519="","",_xlfn.MINIFS($M$10:$M$1009,$K$10:$K$1009,K519,$A$10:$A$1009,"&lt;="&amp;A519,$A$10:$A$1009,"&gt;="&amp;(A519-$C$6)))</f>
        <v/>
      </c>
      <c r="P519" s="18">
        <f>IF(OR(N519="",N519=0),"",M519/N519-1)</f>
        <v/>
      </c>
      <c r="Q519">
        <f>IF(D519="","",IF(COUNTIFS($B$10:$B$1009,B519,$C$10:$C$1009,C519,$D$10:$D$1009,D519,$E$10:$E$1009,E519)&gt;1,"MÜKERRER?",IF(P519="","",IF(P519&gt;=$C$5,"İNCELE",IF(P519&lt;=-$C$5,"Düşük",""))))</f>
        <v/>
      </c>
      <c r="R519" s="16">
        <f>IF(AND(P519&lt;&gt;"",N(P519)&gt;=$C$5,COUNTIFS($B$10:B519,B519,$C$10:C519,C519,$D$10:D519,D519,$E$10:E519,E519)=1),(M519-N519)*E519*L519,0)</f>
        <v/>
      </c>
      <c r="S519" s="19">
        <f>IF(D519="",0,N(E519)*L519)</f>
        <v/>
      </c>
    </row>
    <row r="520">
      <c r="A520" s="11" t="n"/>
      <c r="B520" s="12" t="n"/>
      <c r="C520" s="12" t="n"/>
      <c r="D520" s="12" t="n"/>
      <c r="E520" s="13" t="n"/>
      <c r="F520" s="12" t="n"/>
      <c r="G520" s="14" t="n"/>
      <c r="H520" s="15" t="n"/>
      <c r="I520" s="16">
        <f>IF(G520="","",G520*(1-N(H520)))</f>
        <v/>
      </c>
      <c r="J520" s="16">
        <f>IF(I520="","",E520*I520)</f>
        <v/>
      </c>
      <c r="K520">
        <f>IF(D520="","",IFERROR(VLOOKUP(D520,'Ürün Eşleştirme'!$A$6:$D$505,2,FALSE),D520))</f>
        <v/>
      </c>
      <c r="L520" s="17">
        <f>IF(D520="","",IFERROR(VLOOKUP(D520,'Ürün Eşleştirme'!$A$6:$D$505,4,FALSE),1))</f>
        <v/>
      </c>
      <c r="M520" s="16">
        <f>IF(I520="","",I520/L520)</f>
        <v/>
      </c>
      <c r="N520" s="16">
        <f>IF(M520="","",IFERROR(AVERAGEIFS($M$10:$M$1009,$K$10:$K$1009,K520,$A$10:$A$1009,"&lt;"&amp;A520,$A$10:$A$1009,"&gt;="&amp;(A520-$C$6)),""))</f>
        <v/>
      </c>
      <c r="O520" s="16">
        <f>IF(M520="","",_xlfn.MINIFS($M$10:$M$1009,$K$10:$K$1009,K520,$A$10:$A$1009,"&lt;="&amp;A520,$A$10:$A$1009,"&gt;="&amp;(A520-$C$6)))</f>
        <v/>
      </c>
      <c r="P520" s="18">
        <f>IF(OR(N520="",N520=0),"",M520/N520-1)</f>
        <v/>
      </c>
      <c r="Q520">
        <f>IF(D520="","",IF(COUNTIFS($B$10:$B$1009,B520,$C$10:$C$1009,C520,$D$10:$D$1009,D520,$E$10:$E$1009,E520)&gt;1,"MÜKERRER?",IF(P520="","",IF(P520&gt;=$C$5,"İNCELE",IF(P520&lt;=-$C$5,"Düşük",""))))</f>
        <v/>
      </c>
      <c r="R520" s="16">
        <f>IF(AND(P520&lt;&gt;"",N(P520)&gt;=$C$5,COUNTIFS($B$10:B520,B520,$C$10:C520,C520,$D$10:D520,D520,$E$10:E520,E520)=1),(M520-N520)*E520*L520,0)</f>
        <v/>
      </c>
      <c r="S520" s="19">
        <f>IF(D520="",0,N(E520)*L520)</f>
        <v/>
      </c>
    </row>
    <row r="521">
      <c r="A521" s="11" t="n"/>
      <c r="B521" s="12" t="n"/>
      <c r="C521" s="12" t="n"/>
      <c r="D521" s="12" t="n"/>
      <c r="E521" s="13" t="n"/>
      <c r="F521" s="12" t="n"/>
      <c r="G521" s="14" t="n"/>
      <c r="H521" s="15" t="n"/>
      <c r="I521" s="16">
        <f>IF(G521="","",G521*(1-N(H521)))</f>
        <v/>
      </c>
      <c r="J521" s="16">
        <f>IF(I521="","",E521*I521)</f>
        <v/>
      </c>
      <c r="K521">
        <f>IF(D521="","",IFERROR(VLOOKUP(D521,'Ürün Eşleştirme'!$A$6:$D$505,2,FALSE),D521))</f>
        <v/>
      </c>
      <c r="L521" s="17">
        <f>IF(D521="","",IFERROR(VLOOKUP(D521,'Ürün Eşleştirme'!$A$6:$D$505,4,FALSE),1))</f>
        <v/>
      </c>
      <c r="M521" s="16">
        <f>IF(I521="","",I521/L521)</f>
        <v/>
      </c>
      <c r="N521" s="16">
        <f>IF(M521="","",IFERROR(AVERAGEIFS($M$10:$M$1009,$K$10:$K$1009,K521,$A$10:$A$1009,"&lt;"&amp;A521,$A$10:$A$1009,"&gt;="&amp;(A521-$C$6)),""))</f>
        <v/>
      </c>
      <c r="O521" s="16">
        <f>IF(M521="","",_xlfn.MINIFS($M$10:$M$1009,$K$10:$K$1009,K521,$A$10:$A$1009,"&lt;="&amp;A521,$A$10:$A$1009,"&gt;="&amp;(A521-$C$6)))</f>
        <v/>
      </c>
      <c r="P521" s="18">
        <f>IF(OR(N521="",N521=0),"",M521/N521-1)</f>
        <v/>
      </c>
      <c r="Q521">
        <f>IF(D521="","",IF(COUNTIFS($B$10:$B$1009,B521,$C$10:$C$1009,C521,$D$10:$D$1009,D521,$E$10:$E$1009,E521)&gt;1,"MÜKERRER?",IF(P521="","",IF(P521&gt;=$C$5,"İNCELE",IF(P521&lt;=-$C$5,"Düşük",""))))</f>
        <v/>
      </c>
      <c r="R521" s="16">
        <f>IF(AND(P521&lt;&gt;"",N(P521)&gt;=$C$5,COUNTIFS($B$10:B521,B521,$C$10:C521,C521,$D$10:D521,D521,$E$10:E521,E521)=1),(M521-N521)*E521*L521,0)</f>
        <v/>
      </c>
      <c r="S521" s="19">
        <f>IF(D521="",0,N(E521)*L521)</f>
        <v/>
      </c>
    </row>
    <row r="522">
      <c r="A522" s="11" t="n"/>
      <c r="B522" s="12" t="n"/>
      <c r="C522" s="12" t="n"/>
      <c r="D522" s="12" t="n"/>
      <c r="E522" s="13" t="n"/>
      <c r="F522" s="12" t="n"/>
      <c r="G522" s="14" t="n"/>
      <c r="H522" s="15" t="n"/>
      <c r="I522" s="16">
        <f>IF(G522="","",G522*(1-N(H522)))</f>
        <v/>
      </c>
      <c r="J522" s="16">
        <f>IF(I522="","",E522*I522)</f>
        <v/>
      </c>
      <c r="K522">
        <f>IF(D522="","",IFERROR(VLOOKUP(D522,'Ürün Eşleştirme'!$A$6:$D$505,2,FALSE),D522))</f>
        <v/>
      </c>
      <c r="L522" s="17">
        <f>IF(D522="","",IFERROR(VLOOKUP(D522,'Ürün Eşleştirme'!$A$6:$D$505,4,FALSE),1))</f>
        <v/>
      </c>
      <c r="M522" s="16">
        <f>IF(I522="","",I522/L522)</f>
        <v/>
      </c>
      <c r="N522" s="16">
        <f>IF(M522="","",IFERROR(AVERAGEIFS($M$10:$M$1009,$K$10:$K$1009,K522,$A$10:$A$1009,"&lt;"&amp;A522,$A$10:$A$1009,"&gt;="&amp;(A522-$C$6)),""))</f>
        <v/>
      </c>
      <c r="O522" s="16">
        <f>IF(M522="","",_xlfn.MINIFS($M$10:$M$1009,$K$10:$K$1009,K522,$A$10:$A$1009,"&lt;="&amp;A522,$A$10:$A$1009,"&gt;="&amp;(A522-$C$6)))</f>
        <v/>
      </c>
      <c r="P522" s="18">
        <f>IF(OR(N522="",N522=0),"",M522/N522-1)</f>
        <v/>
      </c>
      <c r="Q522">
        <f>IF(D522="","",IF(COUNTIFS($B$10:$B$1009,B522,$C$10:$C$1009,C522,$D$10:$D$1009,D522,$E$10:$E$1009,E522)&gt;1,"MÜKERRER?",IF(P522="","",IF(P522&gt;=$C$5,"İNCELE",IF(P522&lt;=-$C$5,"Düşük",""))))</f>
        <v/>
      </c>
      <c r="R522" s="16">
        <f>IF(AND(P522&lt;&gt;"",N(P522)&gt;=$C$5,COUNTIFS($B$10:B522,B522,$C$10:C522,C522,$D$10:D522,D522,$E$10:E522,E522)=1),(M522-N522)*E522*L522,0)</f>
        <v/>
      </c>
      <c r="S522" s="19">
        <f>IF(D522="",0,N(E522)*L522)</f>
        <v/>
      </c>
    </row>
    <row r="523">
      <c r="A523" s="11" t="n"/>
      <c r="B523" s="12" t="n"/>
      <c r="C523" s="12" t="n"/>
      <c r="D523" s="12" t="n"/>
      <c r="E523" s="13" t="n"/>
      <c r="F523" s="12" t="n"/>
      <c r="G523" s="14" t="n"/>
      <c r="H523" s="15" t="n"/>
      <c r="I523" s="16">
        <f>IF(G523="","",G523*(1-N(H523)))</f>
        <v/>
      </c>
      <c r="J523" s="16">
        <f>IF(I523="","",E523*I523)</f>
        <v/>
      </c>
      <c r="K523">
        <f>IF(D523="","",IFERROR(VLOOKUP(D523,'Ürün Eşleştirme'!$A$6:$D$505,2,FALSE),D523))</f>
        <v/>
      </c>
      <c r="L523" s="17">
        <f>IF(D523="","",IFERROR(VLOOKUP(D523,'Ürün Eşleştirme'!$A$6:$D$505,4,FALSE),1))</f>
        <v/>
      </c>
      <c r="M523" s="16">
        <f>IF(I523="","",I523/L523)</f>
        <v/>
      </c>
      <c r="N523" s="16">
        <f>IF(M523="","",IFERROR(AVERAGEIFS($M$10:$M$1009,$K$10:$K$1009,K523,$A$10:$A$1009,"&lt;"&amp;A523,$A$10:$A$1009,"&gt;="&amp;(A523-$C$6)),""))</f>
        <v/>
      </c>
      <c r="O523" s="16">
        <f>IF(M523="","",_xlfn.MINIFS($M$10:$M$1009,$K$10:$K$1009,K523,$A$10:$A$1009,"&lt;="&amp;A523,$A$10:$A$1009,"&gt;="&amp;(A523-$C$6)))</f>
        <v/>
      </c>
      <c r="P523" s="18">
        <f>IF(OR(N523="",N523=0),"",M523/N523-1)</f>
        <v/>
      </c>
      <c r="Q523">
        <f>IF(D523="","",IF(COUNTIFS($B$10:$B$1009,B523,$C$10:$C$1009,C523,$D$10:$D$1009,D523,$E$10:$E$1009,E523)&gt;1,"MÜKERRER?",IF(P523="","",IF(P523&gt;=$C$5,"İNCELE",IF(P523&lt;=-$C$5,"Düşük",""))))</f>
        <v/>
      </c>
      <c r="R523" s="16">
        <f>IF(AND(P523&lt;&gt;"",N(P523)&gt;=$C$5,COUNTIFS($B$10:B523,B523,$C$10:C523,C523,$D$10:D523,D523,$E$10:E523,E523)=1),(M523-N523)*E523*L523,0)</f>
        <v/>
      </c>
      <c r="S523" s="19">
        <f>IF(D523="",0,N(E523)*L523)</f>
        <v/>
      </c>
    </row>
    <row r="524">
      <c r="A524" s="11" t="n"/>
      <c r="B524" s="12" t="n"/>
      <c r="C524" s="12" t="n"/>
      <c r="D524" s="12" t="n"/>
      <c r="E524" s="13" t="n"/>
      <c r="F524" s="12" t="n"/>
      <c r="G524" s="14" t="n"/>
      <c r="H524" s="15" t="n"/>
      <c r="I524" s="16">
        <f>IF(G524="","",G524*(1-N(H524)))</f>
        <v/>
      </c>
      <c r="J524" s="16">
        <f>IF(I524="","",E524*I524)</f>
        <v/>
      </c>
      <c r="K524">
        <f>IF(D524="","",IFERROR(VLOOKUP(D524,'Ürün Eşleştirme'!$A$6:$D$505,2,FALSE),D524))</f>
        <v/>
      </c>
      <c r="L524" s="17">
        <f>IF(D524="","",IFERROR(VLOOKUP(D524,'Ürün Eşleştirme'!$A$6:$D$505,4,FALSE),1))</f>
        <v/>
      </c>
      <c r="M524" s="16">
        <f>IF(I524="","",I524/L524)</f>
        <v/>
      </c>
      <c r="N524" s="16">
        <f>IF(M524="","",IFERROR(AVERAGEIFS($M$10:$M$1009,$K$10:$K$1009,K524,$A$10:$A$1009,"&lt;"&amp;A524,$A$10:$A$1009,"&gt;="&amp;(A524-$C$6)),""))</f>
        <v/>
      </c>
      <c r="O524" s="16">
        <f>IF(M524="","",_xlfn.MINIFS($M$10:$M$1009,$K$10:$K$1009,K524,$A$10:$A$1009,"&lt;="&amp;A524,$A$10:$A$1009,"&gt;="&amp;(A524-$C$6)))</f>
        <v/>
      </c>
      <c r="P524" s="18">
        <f>IF(OR(N524="",N524=0),"",M524/N524-1)</f>
        <v/>
      </c>
      <c r="Q524">
        <f>IF(D524="","",IF(COUNTIFS($B$10:$B$1009,B524,$C$10:$C$1009,C524,$D$10:$D$1009,D524,$E$10:$E$1009,E524)&gt;1,"MÜKERRER?",IF(P524="","",IF(P524&gt;=$C$5,"İNCELE",IF(P524&lt;=-$C$5,"Düşük",""))))</f>
        <v/>
      </c>
      <c r="R524" s="16">
        <f>IF(AND(P524&lt;&gt;"",N(P524)&gt;=$C$5,COUNTIFS($B$10:B524,B524,$C$10:C524,C524,$D$10:D524,D524,$E$10:E524,E524)=1),(M524-N524)*E524*L524,0)</f>
        <v/>
      </c>
      <c r="S524" s="19">
        <f>IF(D524="",0,N(E524)*L524)</f>
        <v/>
      </c>
    </row>
    <row r="525">
      <c r="A525" s="11" t="n"/>
      <c r="B525" s="12" t="n"/>
      <c r="C525" s="12" t="n"/>
      <c r="D525" s="12" t="n"/>
      <c r="E525" s="13" t="n"/>
      <c r="F525" s="12" t="n"/>
      <c r="G525" s="14" t="n"/>
      <c r="H525" s="15" t="n"/>
      <c r="I525" s="16">
        <f>IF(G525="","",G525*(1-N(H525)))</f>
        <v/>
      </c>
      <c r="J525" s="16">
        <f>IF(I525="","",E525*I525)</f>
        <v/>
      </c>
      <c r="K525">
        <f>IF(D525="","",IFERROR(VLOOKUP(D525,'Ürün Eşleştirme'!$A$6:$D$505,2,FALSE),D525))</f>
        <v/>
      </c>
      <c r="L525" s="17">
        <f>IF(D525="","",IFERROR(VLOOKUP(D525,'Ürün Eşleştirme'!$A$6:$D$505,4,FALSE),1))</f>
        <v/>
      </c>
      <c r="M525" s="16">
        <f>IF(I525="","",I525/L525)</f>
        <v/>
      </c>
      <c r="N525" s="16">
        <f>IF(M525="","",IFERROR(AVERAGEIFS($M$10:$M$1009,$K$10:$K$1009,K525,$A$10:$A$1009,"&lt;"&amp;A525,$A$10:$A$1009,"&gt;="&amp;(A525-$C$6)),""))</f>
        <v/>
      </c>
      <c r="O525" s="16">
        <f>IF(M525="","",_xlfn.MINIFS($M$10:$M$1009,$K$10:$K$1009,K525,$A$10:$A$1009,"&lt;="&amp;A525,$A$10:$A$1009,"&gt;="&amp;(A525-$C$6)))</f>
        <v/>
      </c>
      <c r="P525" s="18">
        <f>IF(OR(N525="",N525=0),"",M525/N525-1)</f>
        <v/>
      </c>
      <c r="Q525">
        <f>IF(D525="","",IF(COUNTIFS($B$10:$B$1009,B525,$C$10:$C$1009,C525,$D$10:$D$1009,D525,$E$10:$E$1009,E525)&gt;1,"MÜKERRER?",IF(P525="","",IF(P525&gt;=$C$5,"İNCELE",IF(P525&lt;=-$C$5,"Düşük",""))))</f>
        <v/>
      </c>
      <c r="R525" s="16">
        <f>IF(AND(P525&lt;&gt;"",N(P525)&gt;=$C$5,COUNTIFS($B$10:B525,B525,$C$10:C525,C525,$D$10:D525,D525,$E$10:E525,E525)=1),(M525-N525)*E525*L525,0)</f>
        <v/>
      </c>
      <c r="S525" s="19">
        <f>IF(D525="",0,N(E525)*L525)</f>
        <v/>
      </c>
    </row>
    <row r="526">
      <c r="A526" s="11" t="n"/>
      <c r="B526" s="12" t="n"/>
      <c r="C526" s="12" t="n"/>
      <c r="D526" s="12" t="n"/>
      <c r="E526" s="13" t="n"/>
      <c r="F526" s="12" t="n"/>
      <c r="G526" s="14" t="n"/>
      <c r="H526" s="15" t="n"/>
      <c r="I526" s="16">
        <f>IF(G526="","",G526*(1-N(H526)))</f>
        <v/>
      </c>
      <c r="J526" s="16">
        <f>IF(I526="","",E526*I526)</f>
        <v/>
      </c>
      <c r="K526">
        <f>IF(D526="","",IFERROR(VLOOKUP(D526,'Ürün Eşleştirme'!$A$6:$D$505,2,FALSE),D526))</f>
        <v/>
      </c>
      <c r="L526" s="17">
        <f>IF(D526="","",IFERROR(VLOOKUP(D526,'Ürün Eşleştirme'!$A$6:$D$505,4,FALSE),1))</f>
        <v/>
      </c>
      <c r="M526" s="16">
        <f>IF(I526="","",I526/L526)</f>
        <v/>
      </c>
      <c r="N526" s="16">
        <f>IF(M526="","",IFERROR(AVERAGEIFS($M$10:$M$1009,$K$10:$K$1009,K526,$A$10:$A$1009,"&lt;"&amp;A526,$A$10:$A$1009,"&gt;="&amp;(A526-$C$6)),""))</f>
        <v/>
      </c>
      <c r="O526" s="16">
        <f>IF(M526="","",_xlfn.MINIFS($M$10:$M$1009,$K$10:$K$1009,K526,$A$10:$A$1009,"&lt;="&amp;A526,$A$10:$A$1009,"&gt;="&amp;(A526-$C$6)))</f>
        <v/>
      </c>
      <c r="P526" s="18">
        <f>IF(OR(N526="",N526=0),"",M526/N526-1)</f>
        <v/>
      </c>
      <c r="Q526">
        <f>IF(D526="","",IF(COUNTIFS($B$10:$B$1009,B526,$C$10:$C$1009,C526,$D$10:$D$1009,D526,$E$10:$E$1009,E526)&gt;1,"MÜKERRER?",IF(P526="","",IF(P526&gt;=$C$5,"İNCELE",IF(P526&lt;=-$C$5,"Düşük",""))))</f>
        <v/>
      </c>
      <c r="R526" s="16">
        <f>IF(AND(P526&lt;&gt;"",N(P526)&gt;=$C$5,COUNTIFS($B$10:B526,B526,$C$10:C526,C526,$D$10:D526,D526,$E$10:E526,E526)=1),(M526-N526)*E526*L526,0)</f>
        <v/>
      </c>
      <c r="S526" s="19">
        <f>IF(D526="",0,N(E526)*L526)</f>
        <v/>
      </c>
    </row>
    <row r="527">
      <c r="A527" s="11" t="n"/>
      <c r="B527" s="12" t="n"/>
      <c r="C527" s="12" t="n"/>
      <c r="D527" s="12" t="n"/>
      <c r="E527" s="13" t="n"/>
      <c r="F527" s="12" t="n"/>
      <c r="G527" s="14" t="n"/>
      <c r="H527" s="15" t="n"/>
      <c r="I527" s="16">
        <f>IF(G527="","",G527*(1-N(H527)))</f>
        <v/>
      </c>
      <c r="J527" s="16">
        <f>IF(I527="","",E527*I527)</f>
        <v/>
      </c>
      <c r="K527">
        <f>IF(D527="","",IFERROR(VLOOKUP(D527,'Ürün Eşleştirme'!$A$6:$D$505,2,FALSE),D527))</f>
        <v/>
      </c>
      <c r="L527" s="17">
        <f>IF(D527="","",IFERROR(VLOOKUP(D527,'Ürün Eşleştirme'!$A$6:$D$505,4,FALSE),1))</f>
        <v/>
      </c>
      <c r="M527" s="16">
        <f>IF(I527="","",I527/L527)</f>
        <v/>
      </c>
      <c r="N527" s="16">
        <f>IF(M527="","",IFERROR(AVERAGEIFS($M$10:$M$1009,$K$10:$K$1009,K527,$A$10:$A$1009,"&lt;"&amp;A527,$A$10:$A$1009,"&gt;="&amp;(A527-$C$6)),""))</f>
        <v/>
      </c>
      <c r="O527" s="16">
        <f>IF(M527="","",_xlfn.MINIFS($M$10:$M$1009,$K$10:$K$1009,K527,$A$10:$A$1009,"&lt;="&amp;A527,$A$10:$A$1009,"&gt;="&amp;(A527-$C$6)))</f>
        <v/>
      </c>
      <c r="P527" s="18">
        <f>IF(OR(N527="",N527=0),"",M527/N527-1)</f>
        <v/>
      </c>
      <c r="Q527">
        <f>IF(D527="","",IF(COUNTIFS($B$10:$B$1009,B527,$C$10:$C$1009,C527,$D$10:$D$1009,D527,$E$10:$E$1009,E527)&gt;1,"MÜKERRER?",IF(P527="","",IF(P527&gt;=$C$5,"İNCELE",IF(P527&lt;=-$C$5,"Düşük",""))))</f>
        <v/>
      </c>
      <c r="R527" s="16">
        <f>IF(AND(P527&lt;&gt;"",N(P527)&gt;=$C$5,COUNTIFS($B$10:B527,B527,$C$10:C527,C527,$D$10:D527,D527,$E$10:E527,E527)=1),(M527-N527)*E527*L527,0)</f>
        <v/>
      </c>
      <c r="S527" s="19">
        <f>IF(D527="",0,N(E527)*L527)</f>
        <v/>
      </c>
    </row>
    <row r="528">
      <c r="A528" s="11" t="n"/>
      <c r="B528" s="12" t="n"/>
      <c r="C528" s="12" t="n"/>
      <c r="D528" s="12" t="n"/>
      <c r="E528" s="13" t="n"/>
      <c r="F528" s="12" t="n"/>
      <c r="G528" s="14" t="n"/>
      <c r="H528" s="15" t="n"/>
      <c r="I528" s="16">
        <f>IF(G528="","",G528*(1-N(H528)))</f>
        <v/>
      </c>
      <c r="J528" s="16">
        <f>IF(I528="","",E528*I528)</f>
        <v/>
      </c>
      <c r="K528">
        <f>IF(D528="","",IFERROR(VLOOKUP(D528,'Ürün Eşleştirme'!$A$6:$D$505,2,FALSE),D528))</f>
        <v/>
      </c>
      <c r="L528" s="17">
        <f>IF(D528="","",IFERROR(VLOOKUP(D528,'Ürün Eşleştirme'!$A$6:$D$505,4,FALSE),1))</f>
        <v/>
      </c>
      <c r="M528" s="16">
        <f>IF(I528="","",I528/L528)</f>
        <v/>
      </c>
      <c r="N528" s="16">
        <f>IF(M528="","",IFERROR(AVERAGEIFS($M$10:$M$1009,$K$10:$K$1009,K528,$A$10:$A$1009,"&lt;"&amp;A528,$A$10:$A$1009,"&gt;="&amp;(A528-$C$6)),""))</f>
        <v/>
      </c>
      <c r="O528" s="16">
        <f>IF(M528="","",_xlfn.MINIFS($M$10:$M$1009,$K$10:$K$1009,K528,$A$10:$A$1009,"&lt;="&amp;A528,$A$10:$A$1009,"&gt;="&amp;(A528-$C$6)))</f>
        <v/>
      </c>
      <c r="P528" s="18">
        <f>IF(OR(N528="",N528=0),"",M528/N528-1)</f>
        <v/>
      </c>
      <c r="Q528">
        <f>IF(D528="","",IF(COUNTIFS($B$10:$B$1009,B528,$C$10:$C$1009,C528,$D$10:$D$1009,D528,$E$10:$E$1009,E528)&gt;1,"MÜKERRER?",IF(P528="","",IF(P528&gt;=$C$5,"İNCELE",IF(P528&lt;=-$C$5,"Düşük",""))))</f>
        <v/>
      </c>
      <c r="R528" s="16">
        <f>IF(AND(P528&lt;&gt;"",N(P528)&gt;=$C$5,COUNTIFS($B$10:B528,B528,$C$10:C528,C528,$D$10:D528,D528,$E$10:E528,E528)=1),(M528-N528)*E528*L528,0)</f>
        <v/>
      </c>
      <c r="S528" s="19">
        <f>IF(D528="",0,N(E528)*L528)</f>
        <v/>
      </c>
    </row>
    <row r="529">
      <c r="A529" s="11" t="n"/>
      <c r="B529" s="12" t="n"/>
      <c r="C529" s="12" t="n"/>
      <c r="D529" s="12" t="n"/>
      <c r="E529" s="13" t="n"/>
      <c r="F529" s="12" t="n"/>
      <c r="G529" s="14" t="n"/>
      <c r="H529" s="15" t="n"/>
      <c r="I529" s="16">
        <f>IF(G529="","",G529*(1-N(H529)))</f>
        <v/>
      </c>
      <c r="J529" s="16">
        <f>IF(I529="","",E529*I529)</f>
        <v/>
      </c>
      <c r="K529">
        <f>IF(D529="","",IFERROR(VLOOKUP(D529,'Ürün Eşleştirme'!$A$6:$D$505,2,FALSE),D529))</f>
        <v/>
      </c>
      <c r="L529" s="17">
        <f>IF(D529="","",IFERROR(VLOOKUP(D529,'Ürün Eşleştirme'!$A$6:$D$505,4,FALSE),1))</f>
        <v/>
      </c>
      <c r="M529" s="16">
        <f>IF(I529="","",I529/L529)</f>
        <v/>
      </c>
      <c r="N529" s="16">
        <f>IF(M529="","",IFERROR(AVERAGEIFS($M$10:$M$1009,$K$10:$K$1009,K529,$A$10:$A$1009,"&lt;"&amp;A529,$A$10:$A$1009,"&gt;="&amp;(A529-$C$6)),""))</f>
        <v/>
      </c>
      <c r="O529" s="16">
        <f>IF(M529="","",_xlfn.MINIFS($M$10:$M$1009,$K$10:$K$1009,K529,$A$10:$A$1009,"&lt;="&amp;A529,$A$10:$A$1009,"&gt;="&amp;(A529-$C$6)))</f>
        <v/>
      </c>
      <c r="P529" s="18">
        <f>IF(OR(N529="",N529=0),"",M529/N529-1)</f>
        <v/>
      </c>
      <c r="Q529">
        <f>IF(D529="","",IF(COUNTIFS($B$10:$B$1009,B529,$C$10:$C$1009,C529,$D$10:$D$1009,D529,$E$10:$E$1009,E529)&gt;1,"MÜKERRER?",IF(P529="","",IF(P529&gt;=$C$5,"İNCELE",IF(P529&lt;=-$C$5,"Düşük",""))))</f>
        <v/>
      </c>
      <c r="R529" s="16">
        <f>IF(AND(P529&lt;&gt;"",N(P529)&gt;=$C$5,COUNTIFS($B$10:B529,B529,$C$10:C529,C529,$D$10:D529,D529,$E$10:E529,E529)=1),(M529-N529)*E529*L529,0)</f>
        <v/>
      </c>
      <c r="S529" s="19">
        <f>IF(D529="",0,N(E529)*L529)</f>
        <v/>
      </c>
    </row>
    <row r="530">
      <c r="A530" s="11" t="n"/>
      <c r="B530" s="12" t="n"/>
      <c r="C530" s="12" t="n"/>
      <c r="D530" s="12" t="n"/>
      <c r="E530" s="13" t="n"/>
      <c r="F530" s="12" t="n"/>
      <c r="G530" s="14" t="n"/>
      <c r="H530" s="15" t="n"/>
      <c r="I530" s="16">
        <f>IF(G530="","",G530*(1-N(H530)))</f>
        <v/>
      </c>
      <c r="J530" s="16">
        <f>IF(I530="","",E530*I530)</f>
        <v/>
      </c>
      <c r="K530">
        <f>IF(D530="","",IFERROR(VLOOKUP(D530,'Ürün Eşleştirme'!$A$6:$D$505,2,FALSE),D530))</f>
        <v/>
      </c>
      <c r="L530" s="17">
        <f>IF(D530="","",IFERROR(VLOOKUP(D530,'Ürün Eşleştirme'!$A$6:$D$505,4,FALSE),1))</f>
        <v/>
      </c>
      <c r="M530" s="16">
        <f>IF(I530="","",I530/L530)</f>
        <v/>
      </c>
      <c r="N530" s="16">
        <f>IF(M530="","",IFERROR(AVERAGEIFS($M$10:$M$1009,$K$10:$K$1009,K530,$A$10:$A$1009,"&lt;"&amp;A530,$A$10:$A$1009,"&gt;="&amp;(A530-$C$6)),""))</f>
        <v/>
      </c>
      <c r="O530" s="16">
        <f>IF(M530="","",_xlfn.MINIFS($M$10:$M$1009,$K$10:$K$1009,K530,$A$10:$A$1009,"&lt;="&amp;A530,$A$10:$A$1009,"&gt;="&amp;(A530-$C$6)))</f>
        <v/>
      </c>
      <c r="P530" s="18">
        <f>IF(OR(N530="",N530=0),"",M530/N530-1)</f>
        <v/>
      </c>
      <c r="Q530">
        <f>IF(D530="","",IF(COUNTIFS($B$10:$B$1009,B530,$C$10:$C$1009,C530,$D$10:$D$1009,D530,$E$10:$E$1009,E530)&gt;1,"MÜKERRER?",IF(P530="","",IF(P530&gt;=$C$5,"İNCELE",IF(P530&lt;=-$C$5,"Düşük",""))))</f>
        <v/>
      </c>
      <c r="R530" s="16">
        <f>IF(AND(P530&lt;&gt;"",N(P530)&gt;=$C$5,COUNTIFS($B$10:B530,B530,$C$10:C530,C530,$D$10:D530,D530,$E$10:E530,E530)=1),(M530-N530)*E530*L530,0)</f>
        <v/>
      </c>
      <c r="S530" s="19">
        <f>IF(D530="",0,N(E530)*L530)</f>
        <v/>
      </c>
    </row>
    <row r="531">
      <c r="A531" s="11" t="n"/>
      <c r="B531" s="12" t="n"/>
      <c r="C531" s="12" t="n"/>
      <c r="D531" s="12" t="n"/>
      <c r="E531" s="13" t="n"/>
      <c r="F531" s="12" t="n"/>
      <c r="G531" s="14" t="n"/>
      <c r="H531" s="15" t="n"/>
      <c r="I531" s="16">
        <f>IF(G531="","",G531*(1-N(H531)))</f>
        <v/>
      </c>
      <c r="J531" s="16">
        <f>IF(I531="","",E531*I531)</f>
        <v/>
      </c>
      <c r="K531">
        <f>IF(D531="","",IFERROR(VLOOKUP(D531,'Ürün Eşleştirme'!$A$6:$D$505,2,FALSE),D531))</f>
        <v/>
      </c>
      <c r="L531" s="17">
        <f>IF(D531="","",IFERROR(VLOOKUP(D531,'Ürün Eşleştirme'!$A$6:$D$505,4,FALSE),1))</f>
        <v/>
      </c>
      <c r="M531" s="16">
        <f>IF(I531="","",I531/L531)</f>
        <v/>
      </c>
      <c r="N531" s="16">
        <f>IF(M531="","",IFERROR(AVERAGEIFS($M$10:$M$1009,$K$10:$K$1009,K531,$A$10:$A$1009,"&lt;"&amp;A531,$A$10:$A$1009,"&gt;="&amp;(A531-$C$6)),""))</f>
        <v/>
      </c>
      <c r="O531" s="16">
        <f>IF(M531="","",_xlfn.MINIFS($M$10:$M$1009,$K$10:$K$1009,K531,$A$10:$A$1009,"&lt;="&amp;A531,$A$10:$A$1009,"&gt;="&amp;(A531-$C$6)))</f>
        <v/>
      </c>
      <c r="P531" s="18">
        <f>IF(OR(N531="",N531=0),"",M531/N531-1)</f>
        <v/>
      </c>
      <c r="Q531">
        <f>IF(D531="","",IF(COUNTIFS($B$10:$B$1009,B531,$C$10:$C$1009,C531,$D$10:$D$1009,D531,$E$10:$E$1009,E531)&gt;1,"MÜKERRER?",IF(P531="","",IF(P531&gt;=$C$5,"İNCELE",IF(P531&lt;=-$C$5,"Düşük",""))))</f>
        <v/>
      </c>
      <c r="R531" s="16">
        <f>IF(AND(P531&lt;&gt;"",N(P531)&gt;=$C$5,COUNTIFS($B$10:B531,B531,$C$10:C531,C531,$D$10:D531,D531,$E$10:E531,E531)=1),(M531-N531)*E531*L531,0)</f>
        <v/>
      </c>
      <c r="S531" s="19">
        <f>IF(D531="",0,N(E531)*L531)</f>
        <v/>
      </c>
    </row>
    <row r="532">
      <c r="A532" s="11" t="n"/>
      <c r="B532" s="12" t="n"/>
      <c r="C532" s="12" t="n"/>
      <c r="D532" s="12" t="n"/>
      <c r="E532" s="13" t="n"/>
      <c r="F532" s="12" t="n"/>
      <c r="G532" s="14" t="n"/>
      <c r="H532" s="15" t="n"/>
      <c r="I532" s="16">
        <f>IF(G532="","",G532*(1-N(H532)))</f>
        <v/>
      </c>
      <c r="J532" s="16">
        <f>IF(I532="","",E532*I532)</f>
        <v/>
      </c>
      <c r="K532">
        <f>IF(D532="","",IFERROR(VLOOKUP(D532,'Ürün Eşleştirme'!$A$6:$D$505,2,FALSE),D532))</f>
        <v/>
      </c>
      <c r="L532" s="17">
        <f>IF(D532="","",IFERROR(VLOOKUP(D532,'Ürün Eşleştirme'!$A$6:$D$505,4,FALSE),1))</f>
        <v/>
      </c>
      <c r="M532" s="16">
        <f>IF(I532="","",I532/L532)</f>
        <v/>
      </c>
      <c r="N532" s="16">
        <f>IF(M532="","",IFERROR(AVERAGEIFS($M$10:$M$1009,$K$10:$K$1009,K532,$A$10:$A$1009,"&lt;"&amp;A532,$A$10:$A$1009,"&gt;="&amp;(A532-$C$6)),""))</f>
        <v/>
      </c>
      <c r="O532" s="16">
        <f>IF(M532="","",_xlfn.MINIFS($M$10:$M$1009,$K$10:$K$1009,K532,$A$10:$A$1009,"&lt;="&amp;A532,$A$10:$A$1009,"&gt;="&amp;(A532-$C$6)))</f>
        <v/>
      </c>
      <c r="P532" s="18">
        <f>IF(OR(N532="",N532=0),"",M532/N532-1)</f>
        <v/>
      </c>
      <c r="Q532">
        <f>IF(D532="","",IF(COUNTIFS($B$10:$B$1009,B532,$C$10:$C$1009,C532,$D$10:$D$1009,D532,$E$10:$E$1009,E532)&gt;1,"MÜKERRER?",IF(P532="","",IF(P532&gt;=$C$5,"İNCELE",IF(P532&lt;=-$C$5,"Düşük",""))))</f>
        <v/>
      </c>
      <c r="R532" s="16">
        <f>IF(AND(P532&lt;&gt;"",N(P532)&gt;=$C$5,COUNTIFS($B$10:B532,B532,$C$10:C532,C532,$D$10:D532,D532,$E$10:E532,E532)=1),(M532-N532)*E532*L532,0)</f>
        <v/>
      </c>
      <c r="S532" s="19">
        <f>IF(D532="",0,N(E532)*L532)</f>
        <v/>
      </c>
    </row>
    <row r="533">
      <c r="A533" s="11" t="n"/>
      <c r="B533" s="12" t="n"/>
      <c r="C533" s="12" t="n"/>
      <c r="D533" s="12" t="n"/>
      <c r="E533" s="13" t="n"/>
      <c r="F533" s="12" t="n"/>
      <c r="G533" s="14" t="n"/>
      <c r="H533" s="15" t="n"/>
      <c r="I533" s="16">
        <f>IF(G533="","",G533*(1-N(H533)))</f>
        <v/>
      </c>
      <c r="J533" s="16">
        <f>IF(I533="","",E533*I533)</f>
        <v/>
      </c>
      <c r="K533">
        <f>IF(D533="","",IFERROR(VLOOKUP(D533,'Ürün Eşleştirme'!$A$6:$D$505,2,FALSE),D533))</f>
        <v/>
      </c>
      <c r="L533" s="17">
        <f>IF(D533="","",IFERROR(VLOOKUP(D533,'Ürün Eşleştirme'!$A$6:$D$505,4,FALSE),1))</f>
        <v/>
      </c>
      <c r="M533" s="16">
        <f>IF(I533="","",I533/L533)</f>
        <v/>
      </c>
      <c r="N533" s="16">
        <f>IF(M533="","",IFERROR(AVERAGEIFS($M$10:$M$1009,$K$10:$K$1009,K533,$A$10:$A$1009,"&lt;"&amp;A533,$A$10:$A$1009,"&gt;="&amp;(A533-$C$6)),""))</f>
        <v/>
      </c>
      <c r="O533" s="16">
        <f>IF(M533="","",_xlfn.MINIFS($M$10:$M$1009,$K$10:$K$1009,K533,$A$10:$A$1009,"&lt;="&amp;A533,$A$10:$A$1009,"&gt;="&amp;(A533-$C$6)))</f>
        <v/>
      </c>
      <c r="P533" s="18">
        <f>IF(OR(N533="",N533=0),"",M533/N533-1)</f>
        <v/>
      </c>
      <c r="Q533">
        <f>IF(D533="","",IF(COUNTIFS($B$10:$B$1009,B533,$C$10:$C$1009,C533,$D$10:$D$1009,D533,$E$10:$E$1009,E533)&gt;1,"MÜKERRER?",IF(P533="","",IF(P533&gt;=$C$5,"İNCELE",IF(P533&lt;=-$C$5,"Düşük",""))))</f>
        <v/>
      </c>
      <c r="R533" s="16">
        <f>IF(AND(P533&lt;&gt;"",N(P533)&gt;=$C$5,COUNTIFS($B$10:B533,B533,$C$10:C533,C533,$D$10:D533,D533,$E$10:E533,E533)=1),(M533-N533)*E533*L533,0)</f>
        <v/>
      </c>
      <c r="S533" s="19">
        <f>IF(D533="",0,N(E533)*L533)</f>
        <v/>
      </c>
    </row>
    <row r="534">
      <c r="A534" s="11" t="n"/>
      <c r="B534" s="12" t="n"/>
      <c r="C534" s="12" t="n"/>
      <c r="D534" s="12" t="n"/>
      <c r="E534" s="13" t="n"/>
      <c r="F534" s="12" t="n"/>
      <c r="G534" s="14" t="n"/>
      <c r="H534" s="15" t="n"/>
      <c r="I534" s="16">
        <f>IF(G534="","",G534*(1-N(H534)))</f>
        <v/>
      </c>
      <c r="J534" s="16">
        <f>IF(I534="","",E534*I534)</f>
        <v/>
      </c>
      <c r="K534">
        <f>IF(D534="","",IFERROR(VLOOKUP(D534,'Ürün Eşleştirme'!$A$6:$D$505,2,FALSE),D534))</f>
        <v/>
      </c>
      <c r="L534" s="17">
        <f>IF(D534="","",IFERROR(VLOOKUP(D534,'Ürün Eşleştirme'!$A$6:$D$505,4,FALSE),1))</f>
        <v/>
      </c>
      <c r="M534" s="16">
        <f>IF(I534="","",I534/L534)</f>
        <v/>
      </c>
      <c r="N534" s="16">
        <f>IF(M534="","",IFERROR(AVERAGEIFS($M$10:$M$1009,$K$10:$K$1009,K534,$A$10:$A$1009,"&lt;"&amp;A534,$A$10:$A$1009,"&gt;="&amp;(A534-$C$6)),""))</f>
        <v/>
      </c>
      <c r="O534" s="16">
        <f>IF(M534="","",_xlfn.MINIFS($M$10:$M$1009,$K$10:$K$1009,K534,$A$10:$A$1009,"&lt;="&amp;A534,$A$10:$A$1009,"&gt;="&amp;(A534-$C$6)))</f>
        <v/>
      </c>
      <c r="P534" s="18">
        <f>IF(OR(N534="",N534=0),"",M534/N534-1)</f>
        <v/>
      </c>
      <c r="Q534">
        <f>IF(D534="","",IF(COUNTIFS($B$10:$B$1009,B534,$C$10:$C$1009,C534,$D$10:$D$1009,D534,$E$10:$E$1009,E534)&gt;1,"MÜKERRER?",IF(P534="","",IF(P534&gt;=$C$5,"İNCELE",IF(P534&lt;=-$C$5,"Düşük",""))))</f>
        <v/>
      </c>
      <c r="R534" s="16">
        <f>IF(AND(P534&lt;&gt;"",N(P534)&gt;=$C$5,COUNTIFS($B$10:B534,B534,$C$10:C534,C534,$D$10:D534,D534,$E$10:E534,E534)=1),(M534-N534)*E534*L534,0)</f>
        <v/>
      </c>
      <c r="S534" s="19">
        <f>IF(D534="",0,N(E534)*L534)</f>
        <v/>
      </c>
    </row>
    <row r="535">
      <c r="A535" s="11" t="n"/>
      <c r="B535" s="12" t="n"/>
      <c r="C535" s="12" t="n"/>
      <c r="D535" s="12" t="n"/>
      <c r="E535" s="13" t="n"/>
      <c r="F535" s="12" t="n"/>
      <c r="G535" s="14" t="n"/>
      <c r="H535" s="15" t="n"/>
      <c r="I535" s="16">
        <f>IF(G535="","",G535*(1-N(H535)))</f>
        <v/>
      </c>
      <c r="J535" s="16">
        <f>IF(I535="","",E535*I535)</f>
        <v/>
      </c>
      <c r="K535">
        <f>IF(D535="","",IFERROR(VLOOKUP(D535,'Ürün Eşleştirme'!$A$6:$D$505,2,FALSE),D535))</f>
        <v/>
      </c>
      <c r="L535" s="17">
        <f>IF(D535="","",IFERROR(VLOOKUP(D535,'Ürün Eşleştirme'!$A$6:$D$505,4,FALSE),1))</f>
        <v/>
      </c>
      <c r="M535" s="16">
        <f>IF(I535="","",I535/L535)</f>
        <v/>
      </c>
      <c r="N535" s="16">
        <f>IF(M535="","",IFERROR(AVERAGEIFS($M$10:$M$1009,$K$10:$K$1009,K535,$A$10:$A$1009,"&lt;"&amp;A535,$A$10:$A$1009,"&gt;="&amp;(A535-$C$6)),""))</f>
        <v/>
      </c>
      <c r="O535" s="16">
        <f>IF(M535="","",_xlfn.MINIFS($M$10:$M$1009,$K$10:$K$1009,K535,$A$10:$A$1009,"&lt;="&amp;A535,$A$10:$A$1009,"&gt;="&amp;(A535-$C$6)))</f>
        <v/>
      </c>
      <c r="P535" s="18">
        <f>IF(OR(N535="",N535=0),"",M535/N535-1)</f>
        <v/>
      </c>
      <c r="Q535">
        <f>IF(D535="","",IF(COUNTIFS($B$10:$B$1009,B535,$C$10:$C$1009,C535,$D$10:$D$1009,D535,$E$10:$E$1009,E535)&gt;1,"MÜKERRER?",IF(P535="","",IF(P535&gt;=$C$5,"İNCELE",IF(P535&lt;=-$C$5,"Düşük",""))))</f>
        <v/>
      </c>
      <c r="R535" s="16">
        <f>IF(AND(P535&lt;&gt;"",N(P535)&gt;=$C$5,COUNTIFS($B$10:B535,B535,$C$10:C535,C535,$D$10:D535,D535,$E$10:E535,E535)=1),(M535-N535)*E535*L535,0)</f>
        <v/>
      </c>
      <c r="S535" s="19">
        <f>IF(D535="",0,N(E535)*L535)</f>
        <v/>
      </c>
    </row>
    <row r="536">
      <c r="A536" s="11" t="n"/>
      <c r="B536" s="12" t="n"/>
      <c r="C536" s="12" t="n"/>
      <c r="D536" s="12" t="n"/>
      <c r="E536" s="13" t="n"/>
      <c r="F536" s="12" t="n"/>
      <c r="G536" s="14" t="n"/>
      <c r="H536" s="15" t="n"/>
      <c r="I536" s="16">
        <f>IF(G536="","",G536*(1-N(H536)))</f>
        <v/>
      </c>
      <c r="J536" s="16">
        <f>IF(I536="","",E536*I536)</f>
        <v/>
      </c>
      <c r="K536">
        <f>IF(D536="","",IFERROR(VLOOKUP(D536,'Ürün Eşleştirme'!$A$6:$D$505,2,FALSE),D536))</f>
        <v/>
      </c>
      <c r="L536" s="17">
        <f>IF(D536="","",IFERROR(VLOOKUP(D536,'Ürün Eşleştirme'!$A$6:$D$505,4,FALSE),1))</f>
        <v/>
      </c>
      <c r="M536" s="16">
        <f>IF(I536="","",I536/L536)</f>
        <v/>
      </c>
      <c r="N536" s="16">
        <f>IF(M536="","",IFERROR(AVERAGEIFS($M$10:$M$1009,$K$10:$K$1009,K536,$A$10:$A$1009,"&lt;"&amp;A536,$A$10:$A$1009,"&gt;="&amp;(A536-$C$6)),""))</f>
        <v/>
      </c>
      <c r="O536" s="16">
        <f>IF(M536="","",_xlfn.MINIFS($M$10:$M$1009,$K$10:$K$1009,K536,$A$10:$A$1009,"&lt;="&amp;A536,$A$10:$A$1009,"&gt;="&amp;(A536-$C$6)))</f>
        <v/>
      </c>
      <c r="P536" s="18">
        <f>IF(OR(N536="",N536=0),"",M536/N536-1)</f>
        <v/>
      </c>
      <c r="Q536">
        <f>IF(D536="","",IF(COUNTIFS($B$10:$B$1009,B536,$C$10:$C$1009,C536,$D$10:$D$1009,D536,$E$10:$E$1009,E536)&gt;1,"MÜKERRER?",IF(P536="","",IF(P536&gt;=$C$5,"İNCELE",IF(P536&lt;=-$C$5,"Düşük",""))))</f>
        <v/>
      </c>
      <c r="R536" s="16">
        <f>IF(AND(P536&lt;&gt;"",N(P536)&gt;=$C$5,COUNTIFS($B$10:B536,B536,$C$10:C536,C536,$D$10:D536,D536,$E$10:E536,E536)=1),(M536-N536)*E536*L536,0)</f>
        <v/>
      </c>
      <c r="S536" s="19">
        <f>IF(D536="",0,N(E536)*L536)</f>
        <v/>
      </c>
    </row>
    <row r="537">
      <c r="A537" s="11" t="n"/>
      <c r="B537" s="12" t="n"/>
      <c r="C537" s="12" t="n"/>
      <c r="D537" s="12" t="n"/>
      <c r="E537" s="13" t="n"/>
      <c r="F537" s="12" t="n"/>
      <c r="G537" s="14" t="n"/>
      <c r="H537" s="15" t="n"/>
      <c r="I537" s="16">
        <f>IF(G537="","",G537*(1-N(H537)))</f>
        <v/>
      </c>
      <c r="J537" s="16">
        <f>IF(I537="","",E537*I537)</f>
        <v/>
      </c>
      <c r="K537">
        <f>IF(D537="","",IFERROR(VLOOKUP(D537,'Ürün Eşleştirme'!$A$6:$D$505,2,FALSE),D537))</f>
        <v/>
      </c>
      <c r="L537" s="17">
        <f>IF(D537="","",IFERROR(VLOOKUP(D537,'Ürün Eşleştirme'!$A$6:$D$505,4,FALSE),1))</f>
        <v/>
      </c>
      <c r="M537" s="16">
        <f>IF(I537="","",I537/L537)</f>
        <v/>
      </c>
      <c r="N537" s="16">
        <f>IF(M537="","",IFERROR(AVERAGEIFS($M$10:$M$1009,$K$10:$K$1009,K537,$A$10:$A$1009,"&lt;"&amp;A537,$A$10:$A$1009,"&gt;="&amp;(A537-$C$6)),""))</f>
        <v/>
      </c>
      <c r="O537" s="16">
        <f>IF(M537="","",_xlfn.MINIFS($M$10:$M$1009,$K$10:$K$1009,K537,$A$10:$A$1009,"&lt;="&amp;A537,$A$10:$A$1009,"&gt;="&amp;(A537-$C$6)))</f>
        <v/>
      </c>
      <c r="P537" s="18">
        <f>IF(OR(N537="",N537=0),"",M537/N537-1)</f>
        <v/>
      </c>
      <c r="Q537">
        <f>IF(D537="","",IF(COUNTIFS($B$10:$B$1009,B537,$C$10:$C$1009,C537,$D$10:$D$1009,D537,$E$10:$E$1009,E537)&gt;1,"MÜKERRER?",IF(P537="","",IF(P537&gt;=$C$5,"İNCELE",IF(P537&lt;=-$C$5,"Düşük",""))))</f>
        <v/>
      </c>
      <c r="R537" s="16">
        <f>IF(AND(P537&lt;&gt;"",N(P537)&gt;=$C$5,COUNTIFS($B$10:B537,B537,$C$10:C537,C537,$D$10:D537,D537,$E$10:E537,E537)=1),(M537-N537)*E537*L537,0)</f>
        <v/>
      </c>
      <c r="S537" s="19">
        <f>IF(D537="",0,N(E537)*L537)</f>
        <v/>
      </c>
    </row>
    <row r="538">
      <c r="A538" s="11" t="n"/>
      <c r="B538" s="12" t="n"/>
      <c r="C538" s="12" t="n"/>
      <c r="D538" s="12" t="n"/>
      <c r="E538" s="13" t="n"/>
      <c r="F538" s="12" t="n"/>
      <c r="G538" s="14" t="n"/>
      <c r="H538" s="15" t="n"/>
      <c r="I538" s="16">
        <f>IF(G538="","",G538*(1-N(H538)))</f>
        <v/>
      </c>
      <c r="J538" s="16">
        <f>IF(I538="","",E538*I538)</f>
        <v/>
      </c>
      <c r="K538">
        <f>IF(D538="","",IFERROR(VLOOKUP(D538,'Ürün Eşleştirme'!$A$6:$D$505,2,FALSE),D538))</f>
        <v/>
      </c>
      <c r="L538" s="17">
        <f>IF(D538="","",IFERROR(VLOOKUP(D538,'Ürün Eşleştirme'!$A$6:$D$505,4,FALSE),1))</f>
        <v/>
      </c>
      <c r="M538" s="16">
        <f>IF(I538="","",I538/L538)</f>
        <v/>
      </c>
      <c r="N538" s="16">
        <f>IF(M538="","",IFERROR(AVERAGEIFS($M$10:$M$1009,$K$10:$K$1009,K538,$A$10:$A$1009,"&lt;"&amp;A538,$A$10:$A$1009,"&gt;="&amp;(A538-$C$6)),""))</f>
        <v/>
      </c>
      <c r="O538" s="16">
        <f>IF(M538="","",_xlfn.MINIFS($M$10:$M$1009,$K$10:$K$1009,K538,$A$10:$A$1009,"&lt;="&amp;A538,$A$10:$A$1009,"&gt;="&amp;(A538-$C$6)))</f>
        <v/>
      </c>
      <c r="P538" s="18">
        <f>IF(OR(N538="",N538=0),"",M538/N538-1)</f>
        <v/>
      </c>
      <c r="Q538">
        <f>IF(D538="","",IF(COUNTIFS($B$10:$B$1009,B538,$C$10:$C$1009,C538,$D$10:$D$1009,D538,$E$10:$E$1009,E538)&gt;1,"MÜKERRER?",IF(P538="","",IF(P538&gt;=$C$5,"İNCELE",IF(P538&lt;=-$C$5,"Düşük",""))))</f>
        <v/>
      </c>
      <c r="R538" s="16">
        <f>IF(AND(P538&lt;&gt;"",N(P538)&gt;=$C$5,COUNTIFS($B$10:B538,B538,$C$10:C538,C538,$D$10:D538,D538,$E$10:E538,E538)=1),(M538-N538)*E538*L538,0)</f>
        <v/>
      </c>
      <c r="S538" s="19">
        <f>IF(D538="",0,N(E538)*L538)</f>
        <v/>
      </c>
    </row>
    <row r="539">
      <c r="A539" s="11" t="n"/>
      <c r="B539" s="12" t="n"/>
      <c r="C539" s="12" t="n"/>
      <c r="D539" s="12" t="n"/>
      <c r="E539" s="13" t="n"/>
      <c r="F539" s="12" t="n"/>
      <c r="G539" s="14" t="n"/>
      <c r="H539" s="15" t="n"/>
      <c r="I539" s="16">
        <f>IF(G539="","",G539*(1-N(H539)))</f>
        <v/>
      </c>
      <c r="J539" s="16">
        <f>IF(I539="","",E539*I539)</f>
        <v/>
      </c>
      <c r="K539">
        <f>IF(D539="","",IFERROR(VLOOKUP(D539,'Ürün Eşleştirme'!$A$6:$D$505,2,FALSE),D539))</f>
        <v/>
      </c>
      <c r="L539" s="17">
        <f>IF(D539="","",IFERROR(VLOOKUP(D539,'Ürün Eşleştirme'!$A$6:$D$505,4,FALSE),1))</f>
        <v/>
      </c>
      <c r="M539" s="16">
        <f>IF(I539="","",I539/L539)</f>
        <v/>
      </c>
      <c r="N539" s="16">
        <f>IF(M539="","",IFERROR(AVERAGEIFS($M$10:$M$1009,$K$10:$K$1009,K539,$A$10:$A$1009,"&lt;"&amp;A539,$A$10:$A$1009,"&gt;="&amp;(A539-$C$6)),""))</f>
        <v/>
      </c>
      <c r="O539" s="16">
        <f>IF(M539="","",_xlfn.MINIFS($M$10:$M$1009,$K$10:$K$1009,K539,$A$10:$A$1009,"&lt;="&amp;A539,$A$10:$A$1009,"&gt;="&amp;(A539-$C$6)))</f>
        <v/>
      </c>
      <c r="P539" s="18">
        <f>IF(OR(N539="",N539=0),"",M539/N539-1)</f>
        <v/>
      </c>
      <c r="Q539">
        <f>IF(D539="","",IF(COUNTIFS($B$10:$B$1009,B539,$C$10:$C$1009,C539,$D$10:$D$1009,D539,$E$10:$E$1009,E539)&gt;1,"MÜKERRER?",IF(P539="","",IF(P539&gt;=$C$5,"İNCELE",IF(P539&lt;=-$C$5,"Düşük",""))))</f>
        <v/>
      </c>
      <c r="R539" s="16">
        <f>IF(AND(P539&lt;&gt;"",N(P539)&gt;=$C$5,COUNTIFS($B$10:B539,B539,$C$10:C539,C539,$D$10:D539,D539,$E$10:E539,E539)=1),(M539-N539)*E539*L539,0)</f>
        <v/>
      </c>
      <c r="S539" s="19">
        <f>IF(D539="",0,N(E539)*L539)</f>
        <v/>
      </c>
    </row>
    <row r="540">
      <c r="A540" s="11" t="n"/>
      <c r="B540" s="12" t="n"/>
      <c r="C540" s="12" t="n"/>
      <c r="D540" s="12" t="n"/>
      <c r="E540" s="13" t="n"/>
      <c r="F540" s="12" t="n"/>
      <c r="G540" s="14" t="n"/>
      <c r="H540" s="15" t="n"/>
      <c r="I540" s="16">
        <f>IF(G540="","",G540*(1-N(H540)))</f>
        <v/>
      </c>
      <c r="J540" s="16">
        <f>IF(I540="","",E540*I540)</f>
        <v/>
      </c>
      <c r="K540">
        <f>IF(D540="","",IFERROR(VLOOKUP(D540,'Ürün Eşleştirme'!$A$6:$D$505,2,FALSE),D540))</f>
        <v/>
      </c>
      <c r="L540" s="17">
        <f>IF(D540="","",IFERROR(VLOOKUP(D540,'Ürün Eşleştirme'!$A$6:$D$505,4,FALSE),1))</f>
        <v/>
      </c>
      <c r="M540" s="16">
        <f>IF(I540="","",I540/L540)</f>
        <v/>
      </c>
      <c r="N540" s="16">
        <f>IF(M540="","",IFERROR(AVERAGEIFS($M$10:$M$1009,$K$10:$K$1009,K540,$A$10:$A$1009,"&lt;"&amp;A540,$A$10:$A$1009,"&gt;="&amp;(A540-$C$6)),""))</f>
        <v/>
      </c>
      <c r="O540" s="16">
        <f>IF(M540="","",_xlfn.MINIFS($M$10:$M$1009,$K$10:$K$1009,K540,$A$10:$A$1009,"&lt;="&amp;A540,$A$10:$A$1009,"&gt;="&amp;(A540-$C$6)))</f>
        <v/>
      </c>
      <c r="P540" s="18">
        <f>IF(OR(N540="",N540=0),"",M540/N540-1)</f>
        <v/>
      </c>
      <c r="Q540">
        <f>IF(D540="","",IF(COUNTIFS($B$10:$B$1009,B540,$C$10:$C$1009,C540,$D$10:$D$1009,D540,$E$10:$E$1009,E540)&gt;1,"MÜKERRER?",IF(P540="","",IF(P540&gt;=$C$5,"İNCELE",IF(P540&lt;=-$C$5,"Düşük",""))))</f>
        <v/>
      </c>
      <c r="R540" s="16">
        <f>IF(AND(P540&lt;&gt;"",N(P540)&gt;=$C$5,COUNTIFS($B$10:B540,B540,$C$10:C540,C540,$D$10:D540,D540,$E$10:E540,E540)=1),(M540-N540)*E540*L540,0)</f>
        <v/>
      </c>
      <c r="S540" s="19">
        <f>IF(D540="",0,N(E540)*L540)</f>
        <v/>
      </c>
    </row>
    <row r="541">
      <c r="A541" s="11" t="n"/>
      <c r="B541" s="12" t="n"/>
      <c r="C541" s="12" t="n"/>
      <c r="D541" s="12" t="n"/>
      <c r="E541" s="13" t="n"/>
      <c r="F541" s="12" t="n"/>
      <c r="G541" s="14" t="n"/>
      <c r="H541" s="15" t="n"/>
      <c r="I541" s="16">
        <f>IF(G541="","",G541*(1-N(H541)))</f>
        <v/>
      </c>
      <c r="J541" s="16">
        <f>IF(I541="","",E541*I541)</f>
        <v/>
      </c>
      <c r="K541">
        <f>IF(D541="","",IFERROR(VLOOKUP(D541,'Ürün Eşleştirme'!$A$6:$D$505,2,FALSE),D541))</f>
        <v/>
      </c>
      <c r="L541" s="17">
        <f>IF(D541="","",IFERROR(VLOOKUP(D541,'Ürün Eşleştirme'!$A$6:$D$505,4,FALSE),1))</f>
        <v/>
      </c>
      <c r="M541" s="16">
        <f>IF(I541="","",I541/L541)</f>
        <v/>
      </c>
      <c r="N541" s="16">
        <f>IF(M541="","",IFERROR(AVERAGEIFS($M$10:$M$1009,$K$10:$K$1009,K541,$A$10:$A$1009,"&lt;"&amp;A541,$A$10:$A$1009,"&gt;="&amp;(A541-$C$6)),""))</f>
        <v/>
      </c>
      <c r="O541" s="16">
        <f>IF(M541="","",_xlfn.MINIFS($M$10:$M$1009,$K$10:$K$1009,K541,$A$10:$A$1009,"&lt;="&amp;A541,$A$10:$A$1009,"&gt;="&amp;(A541-$C$6)))</f>
        <v/>
      </c>
      <c r="P541" s="18">
        <f>IF(OR(N541="",N541=0),"",M541/N541-1)</f>
        <v/>
      </c>
      <c r="Q541">
        <f>IF(D541="","",IF(COUNTIFS($B$10:$B$1009,B541,$C$10:$C$1009,C541,$D$10:$D$1009,D541,$E$10:$E$1009,E541)&gt;1,"MÜKERRER?",IF(P541="","",IF(P541&gt;=$C$5,"İNCELE",IF(P541&lt;=-$C$5,"Düşük",""))))</f>
        <v/>
      </c>
      <c r="R541" s="16">
        <f>IF(AND(P541&lt;&gt;"",N(P541)&gt;=$C$5,COUNTIFS($B$10:B541,B541,$C$10:C541,C541,$D$10:D541,D541,$E$10:E541,E541)=1),(M541-N541)*E541*L541,0)</f>
        <v/>
      </c>
      <c r="S541" s="19">
        <f>IF(D541="",0,N(E541)*L541)</f>
        <v/>
      </c>
    </row>
    <row r="542">
      <c r="A542" s="11" t="n"/>
      <c r="B542" s="12" t="n"/>
      <c r="C542" s="12" t="n"/>
      <c r="D542" s="12" t="n"/>
      <c r="E542" s="13" t="n"/>
      <c r="F542" s="12" t="n"/>
      <c r="G542" s="14" t="n"/>
      <c r="H542" s="15" t="n"/>
      <c r="I542" s="16">
        <f>IF(G542="","",G542*(1-N(H542)))</f>
        <v/>
      </c>
      <c r="J542" s="16">
        <f>IF(I542="","",E542*I542)</f>
        <v/>
      </c>
      <c r="K542">
        <f>IF(D542="","",IFERROR(VLOOKUP(D542,'Ürün Eşleştirme'!$A$6:$D$505,2,FALSE),D542))</f>
        <v/>
      </c>
      <c r="L542" s="17">
        <f>IF(D542="","",IFERROR(VLOOKUP(D542,'Ürün Eşleştirme'!$A$6:$D$505,4,FALSE),1))</f>
        <v/>
      </c>
      <c r="M542" s="16">
        <f>IF(I542="","",I542/L542)</f>
        <v/>
      </c>
      <c r="N542" s="16">
        <f>IF(M542="","",IFERROR(AVERAGEIFS($M$10:$M$1009,$K$10:$K$1009,K542,$A$10:$A$1009,"&lt;"&amp;A542,$A$10:$A$1009,"&gt;="&amp;(A542-$C$6)),""))</f>
        <v/>
      </c>
      <c r="O542" s="16">
        <f>IF(M542="","",_xlfn.MINIFS($M$10:$M$1009,$K$10:$K$1009,K542,$A$10:$A$1009,"&lt;="&amp;A542,$A$10:$A$1009,"&gt;="&amp;(A542-$C$6)))</f>
        <v/>
      </c>
      <c r="P542" s="18">
        <f>IF(OR(N542="",N542=0),"",M542/N542-1)</f>
        <v/>
      </c>
      <c r="Q542">
        <f>IF(D542="","",IF(COUNTIFS($B$10:$B$1009,B542,$C$10:$C$1009,C542,$D$10:$D$1009,D542,$E$10:$E$1009,E542)&gt;1,"MÜKERRER?",IF(P542="","",IF(P542&gt;=$C$5,"İNCELE",IF(P542&lt;=-$C$5,"Düşük",""))))</f>
        <v/>
      </c>
      <c r="R542" s="16">
        <f>IF(AND(P542&lt;&gt;"",N(P542)&gt;=$C$5,COUNTIFS($B$10:B542,B542,$C$10:C542,C542,$D$10:D542,D542,$E$10:E542,E542)=1),(M542-N542)*E542*L542,0)</f>
        <v/>
      </c>
      <c r="S542" s="19">
        <f>IF(D542="",0,N(E542)*L542)</f>
        <v/>
      </c>
    </row>
    <row r="543">
      <c r="A543" s="11" t="n"/>
      <c r="B543" s="12" t="n"/>
      <c r="C543" s="12" t="n"/>
      <c r="D543" s="12" t="n"/>
      <c r="E543" s="13" t="n"/>
      <c r="F543" s="12" t="n"/>
      <c r="G543" s="14" t="n"/>
      <c r="H543" s="15" t="n"/>
      <c r="I543" s="16">
        <f>IF(G543="","",G543*(1-N(H543)))</f>
        <v/>
      </c>
      <c r="J543" s="16">
        <f>IF(I543="","",E543*I543)</f>
        <v/>
      </c>
      <c r="K543">
        <f>IF(D543="","",IFERROR(VLOOKUP(D543,'Ürün Eşleştirme'!$A$6:$D$505,2,FALSE),D543))</f>
        <v/>
      </c>
      <c r="L543" s="17">
        <f>IF(D543="","",IFERROR(VLOOKUP(D543,'Ürün Eşleştirme'!$A$6:$D$505,4,FALSE),1))</f>
        <v/>
      </c>
      <c r="M543" s="16">
        <f>IF(I543="","",I543/L543)</f>
        <v/>
      </c>
      <c r="N543" s="16">
        <f>IF(M543="","",IFERROR(AVERAGEIFS($M$10:$M$1009,$K$10:$K$1009,K543,$A$10:$A$1009,"&lt;"&amp;A543,$A$10:$A$1009,"&gt;="&amp;(A543-$C$6)),""))</f>
        <v/>
      </c>
      <c r="O543" s="16">
        <f>IF(M543="","",_xlfn.MINIFS($M$10:$M$1009,$K$10:$K$1009,K543,$A$10:$A$1009,"&lt;="&amp;A543,$A$10:$A$1009,"&gt;="&amp;(A543-$C$6)))</f>
        <v/>
      </c>
      <c r="P543" s="18">
        <f>IF(OR(N543="",N543=0),"",M543/N543-1)</f>
        <v/>
      </c>
      <c r="Q543">
        <f>IF(D543="","",IF(COUNTIFS($B$10:$B$1009,B543,$C$10:$C$1009,C543,$D$10:$D$1009,D543,$E$10:$E$1009,E543)&gt;1,"MÜKERRER?",IF(P543="","",IF(P543&gt;=$C$5,"İNCELE",IF(P543&lt;=-$C$5,"Düşük",""))))</f>
        <v/>
      </c>
      <c r="R543" s="16">
        <f>IF(AND(P543&lt;&gt;"",N(P543)&gt;=$C$5,COUNTIFS($B$10:B543,B543,$C$10:C543,C543,$D$10:D543,D543,$E$10:E543,E543)=1),(M543-N543)*E543*L543,0)</f>
        <v/>
      </c>
      <c r="S543" s="19">
        <f>IF(D543="",0,N(E543)*L543)</f>
        <v/>
      </c>
    </row>
    <row r="544">
      <c r="A544" s="11" t="n"/>
      <c r="B544" s="12" t="n"/>
      <c r="C544" s="12" t="n"/>
      <c r="D544" s="12" t="n"/>
      <c r="E544" s="13" t="n"/>
      <c r="F544" s="12" t="n"/>
      <c r="G544" s="14" t="n"/>
      <c r="H544" s="15" t="n"/>
      <c r="I544" s="16">
        <f>IF(G544="","",G544*(1-N(H544)))</f>
        <v/>
      </c>
      <c r="J544" s="16">
        <f>IF(I544="","",E544*I544)</f>
        <v/>
      </c>
      <c r="K544">
        <f>IF(D544="","",IFERROR(VLOOKUP(D544,'Ürün Eşleştirme'!$A$6:$D$505,2,FALSE),D544))</f>
        <v/>
      </c>
      <c r="L544" s="17">
        <f>IF(D544="","",IFERROR(VLOOKUP(D544,'Ürün Eşleştirme'!$A$6:$D$505,4,FALSE),1))</f>
        <v/>
      </c>
      <c r="M544" s="16">
        <f>IF(I544="","",I544/L544)</f>
        <v/>
      </c>
      <c r="N544" s="16">
        <f>IF(M544="","",IFERROR(AVERAGEIFS($M$10:$M$1009,$K$10:$K$1009,K544,$A$10:$A$1009,"&lt;"&amp;A544,$A$10:$A$1009,"&gt;="&amp;(A544-$C$6)),""))</f>
        <v/>
      </c>
      <c r="O544" s="16">
        <f>IF(M544="","",_xlfn.MINIFS($M$10:$M$1009,$K$10:$K$1009,K544,$A$10:$A$1009,"&lt;="&amp;A544,$A$10:$A$1009,"&gt;="&amp;(A544-$C$6)))</f>
        <v/>
      </c>
      <c r="P544" s="18">
        <f>IF(OR(N544="",N544=0),"",M544/N544-1)</f>
        <v/>
      </c>
      <c r="Q544">
        <f>IF(D544="","",IF(COUNTIFS($B$10:$B$1009,B544,$C$10:$C$1009,C544,$D$10:$D$1009,D544,$E$10:$E$1009,E544)&gt;1,"MÜKERRER?",IF(P544="","",IF(P544&gt;=$C$5,"İNCELE",IF(P544&lt;=-$C$5,"Düşük",""))))</f>
        <v/>
      </c>
      <c r="R544" s="16">
        <f>IF(AND(P544&lt;&gt;"",N(P544)&gt;=$C$5,COUNTIFS($B$10:B544,B544,$C$10:C544,C544,$D$10:D544,D544,$E$10:E544,E544)=1),(M544-N544)*E544*L544,0)</f>
        <v/>
      </c>
      <c r="S544" s="19">
        <f>IF(D544="",0,N(E544)*L544)</f>
        <v/>
      </c>
    </row>
    <row r="545">
      <c r="A545" s="11" t="n"/>
      <c r="B545" s="12" t="n"/>
      <c r="C545" s="12" t="n"/>
      <c r="D545" s="12" t="n"/>
      <c r="E545" s="13" t="n"/>
      <c r="F545" s="12" t="n"/>
      <c r="G545" s="14" t="n"/>
      <c r="H545" s="15" t="n"/>
      <c r="I545" s="16">
        <f>IF(G545="","",G545*(1-N(H545)))</f>
        <v/>
      </c>
      <c r="J545" s="16">
        <f>IF(I545="","",E545*I545)</f>
        <v/>
      </c>
      <c r="K545">
        <f>IF(D545="","",IFERROR(VLOOKUP(D545,'Ürün Eşleştirme'!$A$6:$D$505,2,FALSE),D545))</f>
        <v/>
      </c>
      <c r="L545" s="17">
        <f>IF(D545="","",IFERROR(VLOOKUP(D545,'Ürün Eşleştirme'!$A$6:$D$505,4,FALSE),1))</f>
        <v/>
      </c>
      <c r="M545" s="16">
        <f>IF(I545="","",I545/L545)</f>
        <v/>
      </c>
      <c r="N545" s="16">
        <f>IF(M545="","",IFERROR(AVERAGEIFS($M$10:$M$1009,$K$10:$K$1009,K545,$A$10:$A$1009,"&lt;"&amp;A545,$A$10:$A$1009,"&gt;="&amp;(A545-$C$6)),""))</f>
        <v/>
      </c>
      <c r="O545" s="16">
        <f>IF(M545="","",_xlfn.MINIFS($M$10:$M$1009,$K$10:$K$1009,K545,$A$10:$A$1009,"&lt;="&amp;A545,$A$10:$A$1009,"&gt;="&amp;(A545-$C$6)))</f>
        <v/>
      </c>
      <c r="P545" s="18">
        <f>IF(OR(N545="",N545=0),"",M545/N545-1)</f>
        <v/>
      </c>
      <c r="Q545">
        <f>IF(D545="","",IF(COUNTIFS($B$10:$B$1009,B545,$C$10:$C$1009,C545,$D$10:$D$1009,D545,$E$10:$E$1009,E545)&gt;1,"MÜKERRER?",IF(P545="","",IF(P545&gt;=$C$5,"İNCELE",IF(P545&lt;=-$C$5,"Düşük",""))))</f>
        <v/>
      </c>
      <c r="R545" s="16">
        <f>IF(AND(P545&lt;&gt;"",N(P545)&gt;=$C$5,COUNTIFS($B$10:B545,B545,$C$10:C545,C545,$D$10:D545,D545,$E$10:E545,E545)=1),(M545-N545)*E545*L545,0)</f>
        <v/>
      </c>
      <c r="S545" s="19">
        <f>IF(D545="",0,N(E545)*L545)</f>
        <v/>
      </c>
    </row>
    <row r="546">
      <c r="A546" s="11" t="n"/>
      <c r="B546" s="12" t="n"/>
      <c r="C546" s="12" t="n"/>
      <c r="D546" s="12" t="n"/>
      <c r="E546" s="13" t="n"/>
      <c r="F546" s="12" t="n"/>
      <c r="G546" s="14" t="n"/>
      <c r="H546" s="15" t="n"/>
      <c r="I546" s="16">
        <f>IF(G546="","",G546*(1-N(H546)))</f>
        <v/>
      </c>
      <c r="J546" s="16">
        <f>IF(I546="","",E546*I546)</f>
        <v/>
      </c>
      <c r="K546">
        <f>IF(D546="","",IFERROR(VLOOKUP(D546,'Ürün Eşleştirme'!$A$6:$D$505,2,FALSE),D546))</f>
        <v/>
      </c>
      <c r="L546" s="17">
        <f>IF(D546="","",IFERROR(VLOOKUP(D546,'Ürün Eşleştirme'!$A$6:$D$505,4,FALSE),1))</f>
        <v/>
      </c>
      <c r="M546" s="16">
        <f>IF(I546="","",I546/L546)</f>
        <v/>
      </c>
      <c r="N546" s="16">
        <f>IF(M546="","",IFERROR(AVERAGEIFS($M$10:$M$1009,$K$10:$K$1009,K546,$A$10:$A$1009,"&lt;"&amp;A546,$A$10:$A$1009,"&gt;="&amp;(A546-$C$6)),""))</f>
        <v/>
      </c>
      <c r="O546" s="16">
        <f>IF(M546="","",_xlfn.MINIFS($M$10:$M$1009,$K$10:$K$1009,K546,$A$10:$A$1009,"&lt;="&amp;A546,$A$10:$A$1009,"&gt;="&amp;(A546-$C$6)))</f>
        <v/>
      </c>
      <c r="P546" s="18">
        <f>IF(OR(N546="",N546=0),"",M546/N546-1)</f>
        <v/>
      </c>
      <c r="Q546">
        <f>IF(D546="","",IF(COUNTIFS($B$10:$B$1009,B546,$C$10:$C$1009,C546,$D$10:$D$1009,D546,$E$10:$E$1009,E546)&gt;1,"MÜKERRER?",IF(P546="","",IF(P546&gt;=$C$5,"İNCELE",IF(P546&lt;=-$C$5,"Düşük",""))))</f>
        <v/>
      </c>
      <c r="R546" s="16">
        <f>IF(AND(P546&lt;&gt;"",N(P546)&gt;=$C$5,COUNTIFS($B$10:B546,B546,$C$10:C546,C546,$D$10:D546,D546,$E$10:E546,E546)=1),(M546-N546)*E546*L546,0)</f>
        <v/>
      </c>
      <c r="S546" s="19">
        <f>IF(D546="",0,N(E546)*L546)</f>
        <v/>
      </c>
    </row>
    <row r="547">
      <c r="A547" s="11" t="n"/>
      <c r="B547" s="12" t="n"/>
      <c r="C547" s="12" t="n"/>
      <c r="D547" s="12" t="n"/>
      <c r="E547" s="13" t="n"/>
      <c r="F547" s="12" t="n"/>
      <c r="G547" s="14" t="n"/>
      <c r="H547" s="15" t="n"/>
      <c r="I547" s="16">
        <f>IF(G547="","",G547*(1-N(H547)))</f>
        <v/>
      </c>
      <c r="J547" s="16">
        <f>IF(I547="","",E547*I547)</f>
        <v/>
      </c>
      <c r="K547">
        <f>IF(D547="","",IFERROR(VLOOKUP(D547,'Ürün Eşleştirme'!$A$6:$D$505,2,FALSE),D547))</f>
        <v/>
      </c>
      <c r="L547" s="17">
        <f>IF(D547="","",IFERROR(VLOOKUP(D547,'Ürün Eşleştirme'!$A$6:$D$505,4,FALSE),1))</f>
        <v/>
      </c>
      <c r="M547" s="16">
        <f>IF(I547="","",I547/L547)</f>
        <v/>
      </c>
      <c r="N547" s="16">
        <f>IF(M547="","",IFERROR(AVERAGEIFS($M$10:$M$1009,$K$10:$K$1009,K547,$A$10:$A$1009,"&lt;"&amp;A547,$A$10:$A$1009,"&gt;="&amp;(A547-$C$6)),""))</f>
        <v/>
      </c>
      <c r="O547" s="16">
        <f>IF(M547="","",_xlfn.MINIFS($M$10:$M$1009,$K$10:$K$1009,K547,$A$10:$A$1009,"&lt;="&amp;A547,$A$10:$A$1009,"&gt;="&amp;(A547-$C$6)))</f>
        <v/>
      </c>
      <c r="P547" s="18">
        <f>IF(OR(N547="",N547=0),"",M547/N547-1)</f>
        <v/>
      </c>
      <c r="Q547">
        <f>IF(D547="","",IF(COUNTIFS($B$10:$B$1009,B547,$C$10:$C$1009,C547,$D$10:$D$1009,D547,$E$10:$E$1009,E547)&gt;1,"MÜKERRER?",IF(P547="","",IF(P547&gt;=$C$5,"İNCELE",IF(P547&lt;=-$C$5,"Düşük",""))))</f>
        <v/>
      </c>
      <c r="R547" s="16">
        <f>IF(AND(P547&lt;&gt;"",N(P547)&gt;=$C$5,COUNTIFS($B$10:B547,B547,$C$10:C547,C547,$D$10:D547,D547,$E$10:E547,E547)=1),(M547-N547)*E547*L547,0)</f>
        <v/>
      </c>
      <c r="S547" s="19">
        <f>IF(D547="",0,N(E547)*L547)</f>
        <v/>
      </c>
    </row>
    <row r="548">
      <c r="A548" s="11" t="n"/>
      <c r="B548" s="12" t="n"/>
      <c r="C548" s="12" t="n"/>
      <c r="D548" s="12" t="n"/>
      <c r="E548" s="13" t="n"/>
      <c r="F548" s="12" t="n"/>
      <c r="G548" s="14" t="n"/>
      <c r="H548" s="15" t="n"/>
      <c r="I548" s="16">
        <f>IF(G548="","",G548*(1-N(H548)))</f>
        <v/>
      </c>
      <c r="J548" s="16">
        <f>IF(I548="","",E548*I548)</f>
        <v/>
      </c>
      <c r="K548">
        <f>IF(D548="","",IFERROR(VLOOKUP(D548,'Ürün Eşleştirme'!$A$6:$D$505,2,FALSE),D548))</f>
        <v/>
      </c>
      <c r="L548" s="17">
        <f>IF(D548="","",IFERROR(VLOOKUP(D548,'Ürün Eşleştirme'!$A$6:$D$505,4,FALSE),1))</f>
        <v/>
      </c>
      <c r="M548" s="16">
        <f>IF(I548="","",I548/L548)</f>
        <v/>
      </c>
      <c r="N548" s="16">
        <f>IF(M548="","",IFERROR(AVERAGEIFS($M$10:$M$1009,$K$10:$K$1009,K548,$A$10:$A$1009,"&lt;"&amp;A548,$A$10:$A$1009,"&gt;="&amp;(A548-$C$6)),""))</f>
        <v/>
      </c>
      <c r="O548" s="16">
        <f>IF(M548="","",_xlfn.MINIFS($M$10:$M$1009,$K$10:$K$1009,K548,$A$10:$A$1009,"&lt;="&amp;A548,$A$10:$A$1009,"&gt;="&amp;(A548-$C$6)))</f>
        <v/>
      </c>
      <c r="P548" s="18">
        <f>IF(OR(N548="",N548=0),"",M548/N548-1)</f>
        <v/>
      </c>
      <c r="Q548">
        <f>IF(D548="","",IF(COUNTIFS($B$10:$B$1009,B548,$C$10:$C$1009,C548,$D$10:$D$1009,D548,$E$10:$E$1009,E548)&gt;1,"MÜKERRER?",IF(P548="","",IF(P548&gt;=$C$5,"İNCELE",IF(P548&lt;=-$C$5,"Düşük",""))))</f>
        <v/>
      </c>
      <c r="R548" s="16">
        <f>IF(AND(P548&lt;&gt;"",N(P548)&gt;=$C$5,COUNTIFS($B$10:B548,B548,$C$10:C548,C548,$D$10:D548,D548,$E$10:E548,E548)=1),(M548-N548)*E548*L548,0)</f>
        <v/>
      </c>
      <c r="S548" s="19">
        <f>IF(D548="",0,N(E548)*L548)</f>
        <v/>
      </c>
    </row>
    <row r="549">
      <c r="A549" s="11" t="n"/>
      <c r="B549" s="12" t="n"/>
      <c r="C549" s="12" t="n"/>
      <c r="D549" s="12" t="n"/>
      <c r="E549" s="13" t="n"/>
      <c r="F549" s="12" t="n"/>
      <c r="G549" s="14" t="n"/>
      <c r="H549" s="15" t="n"/>
      <c r="I549" s="16">
        <f>IF(G549="","",G549*(1-N(H549)))</f>
        <v/>
      </c>
      <c r="J549" s="16">
        <f>IF(I549="","",E549*I549)</f>
        <v/>
      </c>
      <c r="K549">
        <f>IF(D549="","",IFERROR(VLOOKUP(D549,'Ürün Eşleştirme'!$A$6:$D$505,2,FALSE),D549))</f>
        <v/>
      </c>
      <c r="L549" s="17">
        <f>IF(D549="","",IFERROR(VLOOKUP(D549,'Ürün Eşleştirme'!$A$6:$D$505,4,FALSE),1))</f>
        <v/>
      </c>
      <c r="M549" s="16">
        <f>IF(I549="","",I549/L549)</f>
        <v/>
      </c>
      <c r="N549" s="16">
        <f>IF(M549="","",IFERROR(AVERAGEIFS($M$10:$M$1009,$K$10:$K$1009,K549,$A$10:$A$1009,"&lt;"&amp;A549,$A$10:$A$1009,"&gt;="&amp;(A549-$C$6)),""))</f>
        <v/>
      </c>
      <c r="O549" s="16">
        <f>IF(M549="","",_xlfn.MINIFS($M$10:$M$1009,$K$10:$K$1009,K549,$A$10:$A$1009,"&lt;="&amp;A549,$A$10:$A$1009,"&gt;="&amp;(A549-$C$6)))</f>
        <v/>
      </c>
      <c r="P549" s="18">
        <f>IF(OR(N549="",N549=0),"",M549/N549-1)</f>
        <v/>
      </c>
      <c r="Q549">
        <f>IF(D549="","",IF(COUNTIFS($B$10:$B$1009,B549,$C$10:$C$1009,C549,$D$10:$D$1009,D549,$E$10:$E$1009,E549)&gt;1,"MÜKERRER?",IF(P549="","",IF(P549&gt;=$C$5,"İNCELE",IF(P549&lt;=-$C$5,"Düşük",""))))</f>
        <v/>
      </c>
      <c r="R549" s="16">
        <f>IF(AND(P549&lt;&gt;"",N(P549)&gt;=$C$5,COUNTIFS($B$10:B549,B549,$C$10:C549,C549,$D$10:D549,D549,$E$10:E549,E549)=1),(M549-N549)*E549*L549,0)</f>
        <v/>
      </c>
      <c r="S549" s="19">
        <f>IF(D549="",0,N(E549)*L549)</f>
        <v/>
      </c>
    </row>
    <row r="550">
      <c r="A550" s="11" t="n"/>
      <c r="B550" s="12" t="n"/>
      <c r="C550" s="12" t="n"/>
      <c r="D550" s="12" t="n"/>
      <c r="E550" s="13" t="n"/>
      <c r="F550" s="12" t="n"/>
      <c r="G550" s="14" t="n"/>
      <c r="H550" s="15" t="n"/>
      <c r="I550" s="16">
        <f>IF(G550="","",G550*(1-N(H550)))</f>
        <v/>
      </c>
      <c r="J550" s="16">
        <f>IF(I550="","",E550*I550)</f>
        <v/>
      </c>
      <c r="K550">
        <f>IF(D550="","",IFERROR(VLOOKUP(D550,'Ürün Eşleştirme'!$A$6:$D$505,2,FALSE),D550))</f>
        <v/>
      </c>
      <c r="L550" s="17">
        <f>IF(D550="","",IFERROR(VLOOKUP(D550,'Ürün Eşleştirme'!$A$6:$D$505,4,FALSE),1))</f>
        <v/>
      </c>
      <c r="M550" s="16">
        <f>IF(I550="","",I550/L550)</f>
        <v/>
      </c>
      <c r="N550" s="16">
        <f>IF(M550="","",IFERROR(AVERAGEIFS($M$10:$M$1009,$K$10:$K$1009,K550,$A$10:$A$1009,"&lt;"&amp;A550,$A$10:$A$1009,"&gt;="&amp;(A550-$C$6)),""))</f>
        <v/>
      </c>
      <c r="O550" s="16">
        <f>IF(M550="","",_xlfn.MINIFS($M$10:$M$1009,$K$10:$K$1009,K550,$A$10:$A$1009,"&lt;="&amp;A550,$A$10:$A$1009,"&gt;="&amp;(A550-$C$6)))</f>
        <v/>
      </c>
      <c r="P550" s="18">
        <f>IF(OR(N550="",N550=0),"",M550/N550-1)</f>
        <v/>
      </c>
      <c r="Q550">
        <f>IF(D550="","",IF(COUNTIFS($B$10:$B$1009,B550,$C$10:$C$1009,C550,$D$10:$D$1009,D550,$E$10:$E$1009,E550)&gt;1,"MÜKERRER?",IF(P550="","",IF(P550&gt;=$C$5,"İNCELE",IF(P550&lt;=-$C$5,"Düşük",""))))</f>
        <v/>
      </c>
      <c r="R550" s="16">
        <f>IF(AND(P550&lt;&gt;"",N(P550)&gt;=$C$5,COUNTIFS($B$10:B550,B550,$C$10:C550,C550,$D$10:D550,D550,$E$10:E550,E550)=1),(M550-N550)*E550*L550,0)</f>
        <v/>
      </c>
      <c r="S550" s="19">
        <f>IF(D550="",0,N(E550)*L550)</f>
        <v/>
      </c>
    </row>
    <row r="551">
      <c r="A551" s="11" t="n"/>
      <c r="B551" s="12" t="n"/>
      <c r="C551" s="12" t="n"/>
      <c r="D551" s="12" t="n"/>
      <c r="E551" s="13" t="n"/>
      <c r="F551" s="12" t="n"/>
      <c r="G551" s="14" t="n"/>
      <c r="H551" s="15" t="n"/>
      <c r="I551" s="16">
        <f>IF(G551="","",G551*(1-N(H551)))</f>
        <v/>
      </c>
      <c r="J551" s="16">
        <f>IF(I551="","",E551*I551)</f>
        <v/>
      </c>
      <c r="K551">
        <f>IF(D551="","",IFERROR(VLOOKUP(D551,'Ürün Eşleştirme'!$A$6:$D$505,2,FALSE),D551))</f>
        <v/>
      </c>
      <c r="L551" s="17">
        <f>IF(D551="","",IFERROR(VLOOKUP(D551,'Ürün Eşleştirme'!$A$6:$D$505,4,FALSE),1))</f>
        <v/>
      </c>
      <c r="M551" s="16">
        <f>IF(I551="","",I551/L551)</f>
        <v/>
      </c>
      <c r="N551" s="16">
        <f>IF(M551="","",IFERROR(AVERAGEIFS($M$10:$M$1009,$K$10:$K$1009,K551,$A$10:$A$1009,"&lt;"&amp;A551,$A$10:$A$1009,"&gt;="&amp;(A551-$C$6)),""))</f>
        <v/>
      </c>
      <c r="O551" s="16">
        <f>IF(M551="","",_xlfn.MINIFS($M$10:$M$1009,$K$10:$K$1009,K551,$A$10:$A$1009,"&lt;="&amp;A551,$A$10:$A$1009,"&gt;="&amp;(A551-$C$6)))</f>
        <v/>
      </c>
      <c r="P551" s="18">
        <f>IF(OR(N551="",N551=0),"",M551/N551-1)</f>
        <v/>
      </c>
      <c r="Q551">
        <f>IF(D551="","",IF(COUNTIFS($B$10:$B$1009,B551,$C$10:$C$1009,C551,$D$10:$D$1009,D551,$E$10:$E$1009,E551)&gt;1,"MÜKERRER?",IF(P551="","",IF(P551&gt;=$C$5,"İNCELE",IF(P551&lt;=-$C$5,"Düşük",""))))</f>
        <v/>
      </c>
      <c r="R551" s="16">
        <f>IF(AND(P551&lt;&gt;"",N(P551)&gt;=$C$5,COUNTIFS($B$10:B551,B551,$C$10:C551,C551,$D$10:D551,D551,$E$10:E551,E551)=1),(M551-N551)*E551*L551,0)</f>
        <v/>
      </c>
      <c r="S551" s="19">
        <f>IF(D551="",0,N(E551)*L551)</f>
        <v/>
      </c>
    </row>
    <row r="552">
      <c r="A552" s="11" t="n"/>
      <c r="B552" s="12" t="n"/>
      <c r="C552" s="12" t="n"/>
      <c r="D552" s="12" t="n"/>
      <c r="E552" s="13" t="n"/>
      <c r="F552" s="12" t="n"/>
      <c r="G552" s="14" t="n"/>
      <c r="H552" s="15" t="n"/>
      <c r="I552" s="16">
        <f>IF(G552="","",G552*(1-N(H552)))</f>
        <v/>
      </c>
      <c r="J552" s="16">
        <f>IF(I552="","",E552*I552)</f>
        <v/>
      </c>
      <c r="K552">
        <f>IF(D552="","",IFERROR(VLOOKUP(D552,'Ürün Eşleştirme'!$A$6:$D$505,2,FALSE),D552))</f>
        <v/>
      </c>
      <c r="L552" s="17">
        <f>IF(D552="","",IFERROR(VLOOKUP(D552,'Ürün Eşleştirme'!$A$6:$D$505,4,FALSE),1))</f>
        <v/>
      </c>
      <c r="M552" s="16">
        <f>IF(I552="","",I552/L552)</f>
        <v/>
      </c>
      <c r="N552" s="16">
        <f>IF(M552="","",IFERROR(AVERAGEIFS($M$10:$M$1009,$K$10:$K$1009,K552,$A$10:$A$1009,"&lt;"&amp;A552,$A$10:$A$1009,"&gt;="&amp;(A552-$C$6)),""))</f>
        <v/>
      </c>
      <c r="O552" s="16">
        <f>IF(M552="","",_xlfn.MINIFS($M$10:$M$1009,$K$10:$K$1009,K552,$A$10:$A$1009,"&lt;="&amp;A552,$A$10:$A$1009,"&gt;="&amp;(A552-$C$6)))</f>
        <v/>
      </c>
      <c r="P552" s="18">
        <f>IF(OR(N552="",N552=0),"",M552/N552-1)</f>
        <v/>
      </c>
      <c r="Q552">
        <f>IF(D552="","",IF(COUNTIFS($B$10:$B$1009,B552,$C$10:$C$1009,C552,$D$10:$D$1009,D552,$E$10:$E$1009,E552)&gt;1,"MÜKERRER?",IF(P552="","",IF(P552&gt;=$C$5,"İNCELE",IF(P552&lt;=-$C$5,"Düşük",""))))</f>
        <v/>
      </c>
      <c r="R552" s="16">
        <f>IF(AND(P552&lt;&gt;"",N(P552)&gt;=$C$5,COUNTIFS($B$10:B552,B552,$C$10:C552,C552,$D$10:D552,D552,$E$10:E552,E552)=1),(M552-N552)*E552*L552,0)</f>
        <v/>
      </c>
      <c r="S552" s="19">
        <f>IF(D552="",0,N(E552)*L552)</f>
        <v/>
      </c>
    </row>
    <row r="553">
      <c r="A553" s="11" t="n"/>
      <c r="B553" s="12" t="n"/>
      <c r="C553" s="12" t="n"/>
      <c r="D553" s="12" t="n"/>
      <c r="E553" s="13" t="n"/>
      <c r="F553" s="12" t="n"/>
      <c r="G553" s="14" t="n"/>
      <c r="H553" s="15" t="n"/>
      <c r="I553" s="16">
        <f>IF(G553="","",G553*(1-N(H553)))</f>
        <v/>
      </c>
      <c r="J553" s="16">
        <f>IF(I553="","",E553*I553)</f>
        <v/>
      </c>
      <c r="K553">
        <f>IF(D553="","",IFERROR(VLOOKUP(D553,'Ürün Eşleştirme'!$A$6:$D$505,2,FALSE),D553))</f>
        <v/>
      </c>
      <c r="L553" s="17">
        <f>IF(D553="","",IFERROR(VLOOKUP(D553,'Ürün Eşleştirme'!$A$6:$D$505,4,FALSE),1))</f>
        <v/>
      </c>
      <c r="M553" s="16">
        <f>IF(I553="","",I553/L553)</f>
        <v/>
      </c>
      <c r="N553" s="16">
        <f>IF(M553="","",IFERROR(AVERAGEIFS($M$10:$M$1009,$K$10:$K$1009,K553,$A$10:$A$1009,"&lt;"&amp;A553,$A$10:$A$1009,"&gt;="&amp;(A553-$C$6)),""))</f>
        <v/>
      </c>
      <c r="O553" s="16">
        <f>IF(M553="","",_xlfn.MINIFS($M$10:$M$1009,$K$10:$K$1009,K553,$A$10:$A$1009,"&lt;="&amp;A553,$A$10:$A$1009,"&gt;="&amp;(A553-$C$6)))</f>
        <v/>
      </c>
      <c r="P553" s="18">
        <f>IF(OR(N553="",N553=0),"",M553/N553-1)</f>
        <v/>
      </c>
      <c r="Q553">
        <f>IF(D553="","",IF(COUNTIFS($B$10:$B$1009,B553,$C$10:$C$1009,C553,$D$10:$D$1009,D553,$E$10:$E$1009,E553)&gt;1,"MÜKERRER?",IF(P553="","",IF(P553&gt;=$C$5,"İNCELE",IF(P553&lt;=-$C$5,"Düşük",""))))</f>
        <v/>
      </c>
      <c r="R553" s="16">
        <f>IF(AND(P553&lt;&gt;"",N(P553)&gt;=$C$5,COUNTIFS($B$10:B553,B553,$C$10:C553,C553,$D$10:D553,D553,$E$10:E553,E553)=1),(M553-N553)*E553*L553,0)</f>
        <v/>
      </c>
      <c r="S553" s="19">
        <f>IF(D553="",0,N(E553)*L553)</f>
        <v/>
      </c>
    </row>
    <row r="554">
      <c r="A554" s="11" t="n"/>
      <c r="B554" s="12" t="n"/>
      <c r="C554" s="12" t="n"/>
      <c r="D554" s="12" t="n"/>
      <c r="E554" s="13" t="n"/>
      <c r="F554" s="12" t="n"/>
      <c r="G554" s="14" t="n"/>
      <c r="H554" s="15" t="n"/>
      <c r="I554" s="16">
        <f>IF(G554="","",G554*(1-N(H554)))</f>
        <v/>
      </c>
      <c r="J554" s="16">
        <f>IF(I554="","",E554*I554)</f>
        <v/>
      </c>
      <c r="K554">
        <f>IF(D554="","",IFERROR(VLOOKUP(D554,'Ürün Eşleştirme'!$A$6:$D$505,2,FALSE),D554))</f>
        <v/>
      </c>
      <c r="L554" s="17">
        <f>IF(D554="","",IFERROR(VLOOKUP(D554,'Ürün Eşleştirme'!$A$6:$D$505,4,FALSE),1))</f>
        <v/>
      </c>
      <c r="M554" s="16">
        <f>IF(I554="","",I554/L554)</f>
        <v/>
      </c>
      <c r="N554" s="16">
        <f>IF(M554="","",IFERROR(AVERAGEIFS($M$10:$M$1009,$K$10:$K$1009,K554,$A$10:$A$1009,"&lt;"&amp;A554,$A$10:$A$1009,"&gt;="&amp;(A554-$C$6)),""))</f>
        <v/>
      </c>
      <c r="O554" s="16">
        <f>IF(M554="","",_xlfn.MINIFS($M$10:$M$1009,$K$10:$K$1009,K554,$A$10:$A$1009,"&lt;="&amp;A554,$A$10:$A$1009,"&gt;="&amp;(A554-$C$6)))</f>
        <v/>
      </c>
      <c r="P554" s="18">
        <f>IF(OR(N554="",N554=0),"",M554/N554-1)</f>
        <v/>
      </c>
      <c r="Q554">
        <f>IF(D554="","",IF(COUNTIFS($B$10:$B$1009,B554,$C$10:$C$1009,C554,$D$10:$D$1009,D554,$E$10:$E$1009,E554)&gt;1,"MÜKERRER?",IF(P554="","",IF(P554&gt;=$C$5,"İNCELE",IF(P554&lt;=-$C$5,"Düşük",""))))</f>
        <v/>
      </c>
      <c r="R554" s="16">
        <f>IF(AND(P554&lt;&gt;"",N(P554)&gt;=$C$5,COUNTIFS($B$10:B554,B554,$C$10:C554,C554,$D$10:D554,D554,$E$10:E554,E554)=1),(M554-N554)*E554*L554,0)</f>
        <v/>
      </c>
      <c r="S554" s="19">
        <f>IF(D554="",0,N(E554)*L554)</f>
        <v/>
      </c>
    </row>
    <row r="555">
      <c r="A555" s="11" t="n"/>
      <c r="B555" s="12" t="n"/>
      <c r="C555" s="12" t="n"/>
      <c r="D555" s="12" t="n"/>
      <c r="E555" s="13" t="n"/>
      <c r="F555" s="12" t="n"/>
      <c r="G555" s="14" t="n"/>
      <c r="H555" s="15" t="n"/>
      <c r="I555" s="16">
        <f>IF(G555="","",G555*(1-N(H555)))</f>
        <v/>
      </c>
      <c r="J555" s="16">
        <f>IF(I555="","",E555*I555)</f>
        <v/>
      </c>
      <c r="K555">
        <f>IF(D555="","",IFERROR(VLOOKUP(D555,'Ürün Eşleştirme'!$A$6:$D$505,2,FALSE),D555))</f>
        <v/>
      </c>
      <c r="L555" s="17">
        <f>IF(D555="","",IFERROR(VLOOKUP(D555,'Ürün Eşleştirme'!$A$6:$D$505,4,FALSE),1))</f>
        <v/>
      </c>
      <c r="M555" s="16">
        <f>IF(I555="","",I555/L555)</f>
        <v/>
      </c>
      <c r="N555" s="16">
        <f>IF(M555="","",IFERROR(AVERAGEIFS($M$10:$M$1009,$K$10:$K$1009,K555,$A$10:$A$1009,"&lt;"&amp;A555,$A$10:$A$1009,"&gt;="&amp;(A555-$C$6)),""))</f>
        <v/>
      </c>
      <c r="O555" s="16">
        <f>IF(M555="","",_xlfn.MINIFS($M$10:$M$1009,$K$10:$K$1009,K555,$A$10:$A$1009,"&lt;="&amp;A555,$A$10:$A$1009,"&gt;="&amp;(A555-$C$6)))</f>
        <v/>
      </c>
      <c r="P555" s="18">
        <f>IF(OR(N555="",N555=0),"",M555/N555-1)</f>
        <v/>
      </c>
      <c r="Q555">
        <f>IF(D555="","",IF(COUNTIFS($B$10:$B$1009,B555,$C$10:$C$1009,C555,$D$10:$D$1009,D555,$E$10:$E$1009,E555)&gt;1,"MÜKERRER?",IF(P555="","",IF(P555&gt;=$C$5,"İNCELE",IF(P555&lt;=-$C$5,"Düşük",""))))</f>
        <v/>
      </c>
      <c r="R555" s="16">
        <f>IF(AND(P555&lt;&gt;"",N(P555)&gt;=$C$5,COUNTIFS($B$10:B555,B555,$C$10:C555,C555,$D$10:D555,D555,$E$10:E555,E555)=1),(M555-N555)*E555*L555,0)</f>
        <v/>
      </c>
      <c r="S555" s="19">
        <f>IF(D555="",0,N(E555)*L555)</f>
        <v/>
      </c>
    </row>
    <row r="556">
      <c r="A556" s="11" t="n"/>
      <c r="B556" s="12" t="n"/>
      <c r="C556" s="12" t="n"/>
      <c r="D556" s="12" t="n"/>
      <c r="E556" s="13" t="n"/>
      <c r="F556" s="12" t="n"/>
      <c r="G556" s="14" t="n"/>
      <c r="H556" s="15" t="n"/>
      <c r="I556" s="16">
        <f>IF(G556="","",G556*(1-N(H556)))</f>
        <v/>
      </c>
      <c r="J556" s="16">
        <f>IF(I556="","",E556*I556)</f>
        <v/>
      </c>
      <c r="K556">
        <f>IF(D556="","",IFERROR(VLOOKUP(D556,'Ürün Eşleştirme'!$A$6:$D$505,2,FALSE),D556))</f>
        <v/>
      </c>
      <c r="L556" s="17">
        <f>IF(D556="","",IFERROR(VLOOKUP(D556,'Ürün Eşleştirme'!$A$6:$D$505,4,FALSE),1))</f>
        <v/>
      </c>
      <c r="M556" s="16">
        <f>IF(I556="","",I556/L556)</f>
        <v/>
      </c>
      <c r="N556" s="16">
        <f>IF(M556="","",IFERROR(AVERAGEIFS($M$10:$M$1009,$K$10:$K$1009,K556,$A$10:$A$1009,"&lt;"&amp;A556,$A$10:$A$1009,"&gt;="&amp;(A556-$C$6)),""))</f>
        <v/>
      </c>
      <c r="O556" s="16">
        <f>IF(M556="","",_xlfn.MINIFS($M$10:$M$1009,$K$10:$K$1009,K556,$A$10:$A$1009,"&lt;="&amp;A556,$A$10:$A$1009,"&gt;="&amp;(A556-$C$6)))</f>
        <v/>
      </c>
      <c r="P556" s="18">
        <f>IF(OR(N556="",N556=0),"",M556/N556-1)</f>
        <v/>
      </c>
      <c r="Q556">
        <f>IF(D556="","",IF(COUNTIFS($B$10:$B$1009,B556,$C$10:$C$1009,C556,$D$10:$D$1009,D556,$E$10:$E$1009,E556)&gt;1,"MÜKERRER?",IF(P556="","",IF(P556&gt;=$C$5,"İNCELE",IF(P556&lt;=-$C$5,"Düşük",""))))</f>
        <v/>
      </c>
      <c r="R556" s="16">
        <f>IF(AND(P556&lt;&gt;"",N(P556)&gt;=$C$5,COUNTIFS($B$10:B556,B556,$C$10:C556,C556,$D$10:D556,D556,$E$10:E556,E556)=1),(M556-N556)*E556*L556,0)</f>
        <v/>
      </c>
      <c r="S556" s="19">
        <f>IF(D556="",0,N(E556)*L556)</f>
        <v/>
      </c>
    </row>
    <row r="557">
      <c r="A557" s="11" t="n"/>
      <c r="B557" s="12" t="n"/>
      <c r="C557" s="12" t="n"/>
      <c r="D557" s="12" t="n"/>
      <c r="E557" s="13" t="n"/>
      <c r="F557" s="12" t="n"/>
      <c r="G557" s="14" t="n"/>
      <c r="H557" s="15" t="n"/>
      <c r="I557" s="16">
        <f>IF(G557="","",G557*(1-N(H557)))</f>
        <v/>
      </c>
      <c r="J557" s="16">
        <f>IF(I557="","",E557*I557)</f>
        <v/>
      </c>
      <c r="K557">
        <f>IF(D557="","",IFERROR(VLOOKUP(D557,'Ürün Eşleştirme'!$A$6:$D$505,2,FALSE),D557))</f>
        <v/>
      </c>
      <c r="L557" s="17">
        <f>IF(D557="","",IFERROR(VLOOKUP(D557,'Ürün Eşleştirme'!$A$6:$D$505,4,FALSE),1))</f>
        <v/>
      </c>
      <c r="M557" s="16">
        <f>IF(I557="","",I557/L557)</f>
        <v/>
      </c>
      <c r="N557" s="16">
        <f>IF(M557="","",IFERROR(AVERAGEIFS($M$10:$M$1009,$K$10:$K$1009,K557,$A$10:$A$1009,"&lt;"&amp;A557,$A$10:$A$1009,"&gt;="&amp;(A557-$C$6)),""))</f>
        <v/>
      </c>
      <c r="O557" s="16">
        <f>IF(M557="","",_xlfn.MINIFS($M$10:$M$1009,$K$10:$K$1009,K557,$A$10:$A$1009,"&lt;="&amp;A557,$A$10:$A$1009,"&gt;="&amp;(A557-$C$6)))</f>
        <v/>
      </c>
      <c r="P557" s="18">
        <f>IF(OR(N557="",N557=0),"",M557/N557-1)</f>
        <v/>
      </c>
      <c r="Q557">
        <f>IF(D557="","",IF(COUNTIFS($B$10:$B$1009,B557,$C$10:$C$1009,C557,$D$10:$D$1009,D557,$E$10:$E$1009,E557)&gt;1,"MÜKERRER?",IF(P557="","",IF(P557&gt;=$C$5,"İNCELE",IF(P557&lt;=-$C$5,"Düşük",""))))</f>
        <v/>
      </c>
      <c r="R557" s="16">
        <f>IF(AND(P557&lt;&gt;"",N(P557)&gt;=$C$5,COUNTIFS($B$10:B557,B557,$C$10:C557,C557,$D$10:D557,D557,$E$10:E557,E557)=1),(M557-N557)*E557*L557,0)</f>
        <v/>
      </c>
      <c r="S557" s="19">
        <f>IF(D557="",0,N(E557)*L557)</f>
        <v/>
      </c>
    </row>
    <row r="558">
      <c r="A558" s="11" t="n"/>
      <c r="B558" s="12" t="n"/>
      <c r="C558" s="12" t="n"/>
      <c r="D558" s="12" t="n"/>
      <c r="E558" s="13" t="n"/>
      <c r="F558" s="12" t="n"/>
      <c r="G558" s="14" t="n"/>
      <c r="H558" s="15" t="n"/>
      <c r="I558" s="16">
        <f>IF(G558="","",G558*(1-N(H558)))</f>
        <v/>
      </c>
      <c r="J558" s="16">
        <f>IF(I558="","",E558*I558)</f>
        <v/>
      </c>
      <c r="K558">
        <f>IF(D558="","",IFERROR(VLOOKUP(D558,'Ürün Eşleştirme'!$A$6:$D$505,2,FALSE),D558))</f>
        <v/>
      </c>
      <c r="L558" s="17">
        <f>IF(D558="","",IFERROR(VLOOKUP(D558,'Ürün Eşleştirme'!$A$6:$D$505,4,FALSE),1))</f>
        <v/>
      </c>
      <c r="M558" s="16">
        <f>IF(I558="","",I558/L558)</f>
        <v/>
      </c>
      <c r="N558" s="16">
        <f>IF(M558="","",IFERROR(AVERAGEIFS($M$10:$M$1009,$K$10:$K$1009,K558,$A$10:$A$1009,"&lt;"&amp;A558,$A$10:$A$1009,"&gt;="&amp;(A558-$C$6)),""))</f>
        <v/>
      </c>
      <c r="O558" s="16">
        <f>IF(M558="","",_xlfn.MINIFS($M$10:$M$1009,$K$10:$K$1009,K558,$A$10:$A$1009,"&lt;="&amp;A558,$A$10:$A$1009,"&gt;="&amp;(A558-$C$6)))</f>
        <v/>
      </c>
      <c r="P558" s="18">
        <f>IF(OR(N558="",N558=0),"",M558/N558-1)</f>
        <v/>
      </c>
      <c r="Q558">
        <f>IF(D558="","",IF(COUNTIFS($B$10:$B$1009,B558,$C$10:$C$1009,C558,$D$10:$D$1009,D558,$E$10:$E$1009,E558)&gt;1,"MÜKERRER?",IF(P558="","",IF(P558&gt;=$C$5,"İNCELE",IF(P558&lt;=-$C$5,"Düşük",""))))</f>
        <v/>
      </c>
      <c r="R558" s="16">
        <f>IF(AND(P558&lt;&gt;"",N(P558)&gt;=$C$5,COUNTIFS($B$10:B558,B558,$C$10:C558,C558,$D$10:D558,D558,$E$10:E558,E558)=1),(M558-N558)*E558*L558,0)</f>
        <v/>
      </c>
      <c r="S558" s="19">
        <f>IF(D558="",0,N(E558)*L558)</f>
        <v/>
      </c>
    </row>
    <row r="559">
      <c r="A559" s="11" t="n"/>
      <c r="B559" s="12" t="n"/>
      <c r="C559" s="12" t="n"/>
      <c r="D559" s="12" t="n"/>
      <c r="E559" s="13" t="n"/>
      <c r="F559" s="12" t="n"/>
      <c r="G559" s="14" t="n"/>
      <c r="H559" s="15" t="n"/>
      <c r="I559" s="16">
        <f>IF(G559="","",G559*(1-N(H559)))</f>
        <v/>
      </c>
      <c r="J559" s="16">
        <f>IF(I559="","",E559*I559)</f>
        <v/>
      </c>
      <c r="K559">
        <f>IF(D559="","",IFERROR(VLOOKUP(D559,'Ürün Eşleştirme'!$A$6:$D$505,2,FALSE),D559))</f>
        <v/>
      </c>
      <c r="L559" s="17">
        <f>IF(D559="","",IFERROR(VLOOKUP(D559,'Ürün Eşleştirme'!$A$6:$D$505,4,FALSE),1))</f>
        <v/>
      </c>
      <c r="M559" s="16">
        <f>IF(I559="","",I559/L559)</f>
        <v/>
      </c>
      <c r="N559" s="16">
        <f>IF(M559="","",IFERROR(AVERAGEIFS($M$10:$M$1009,$K$10:$K$1009,K559,$A$10:$A$1009,"&lt;"&amp;A559,$A$10:$A$1009,"&gt;="&amp;(A559-$C$6)),""))</f>
        <v/>
      </c>
      <c r="O559" s="16">
        <f>IF(M559="","",_xlfn.MINIFS($M$10:$M$1009,$K$10:$K$1009,K559,$A$10:$A$1009,"&lt;="&amp;A559,$A$10:$A$1009,"&gt;="&amp;(A559-$C$6)))</f>
        <v/>
      </c>
      <c r="P559" s="18">
        <f>IF(OR(N559="",N559=0),"",M559/N559-1)</f>
        <v/>
      </c>
      <c r="Q559">
        <f>IF(D559="","",IF(COUNTIFS($B$10:$B$1009,B559,$C$10:$C$1009,C559,$D$10:$D$1009,D559,$E$10:$E$1009,E559)&gt;1,"MÜKERRER?",IF(P559="","",IF(P559&gt;=$C$5,"İNCELE",IF(P559&lt;=-$C$5,"Düşük",""))))</f>
        <v/>
      </c>
      <c r="R559" s="16">
        <f>IF(AND(P559&lt;&gt;"",N(P559)&gt;=$C$5,COUNTIFS($B$10:B559,B559,$C$10:C559,C559,$D$10:D559,D559,$E$10:E559,E559)=1),(M559-N559)*E559*L559,0)</f>
        <v/>
      </c>
      <c r="S559" s="19">
        <f>IF(D559="",0,N(E559)*L559)</f>
        <v/>
      </c>
    </row>
    <row r="560">
      <c r="A560" s="11" t="n"/>
      <c r="B560" s="12" t="n"/>
      <c r="C560" s="12" t="n"/>
      <c r="D560" s="12" t="n"/>
      <c r="E560" s="13" t="n"/>
      <c r="F560" s="12" t="n"/>
      <c r="G560" s="14" t="n"/>
      <c r="H560" s="15" t="n"/>
      <c r="I560" s="16">
        <f>IF(G560="","",G560*(1-N(H560)))</f>
        <v/>
      </c>
      <c r="J560" s="16">
        <f>IF(I560="","",E560*I560)</f>
        <v/>
      </c>
      <c r="K560">
        <f>IF(D560="","",IFERROR(VLOOKUP(D560,'Ürün Eşleştirme'!$A$6:$D$505,2,FALSE),D560))</f>
        <v/>
      </c>
      <c r="L560" s="17">
        <f>IF(D560="","",IFERROR(VLOOKUP(D560,'Ürün Eşleştirme'!$A$6:$D$505,4,FALSE),1))</f>
        <v/>
      </c>
      <c r="M560" s="16">
        <f>IF(I560="","",I560/L560)</f>
        <v/>
      </c>
      <c r="N560" s="16">
        <f>IF(M560="","",IFERROR(AVERAGEIFS($M$10:$M$1009,$K$10:$K$1009,K560,$A$10:$A$1009,"&lt;"&amp;A560,$A$10:$A$1009,"&gt;="&amp;(A560-$C$6)),""))</f>
        <v/>
      </c>
      <c r="O560" s="16">
        <f>IF(M560="","",_xlfn.MINIFS($M$10:$M$1009,$K$10:$K$1009,K560,$A$10:$A$1009,"&lt;="&amp;A560,$A$10:$A$1009,"&gt;="&amp;(A560-$C$6)))</f>
        <v/>
      </c>
      <c r="P560" s="18">
        <f>IF(OR(N560="",N560=0),"",M560/N560-1)</f>
        <v/>
      </c>
      <c r="Q560">
        <f>IF(D560="","",IF(COUNTIFS($B$10:$B$1009,B560,$C$10:$C$1009,C560,$D$10:$D$1009,D560,$E$10:$E$1009,E560)&gt;1,"MÜKERRER?",IF(P560="","",IF(P560&gt;=$C$5,"İNCELE",IF(P560&lt;=-$C$5,"Düşük",""))))</f>
        <v/>
      </c>
      <c r="R560" s="16">
        <f>IF(AND(P560&lt;&gt;"",N(P560)&gt;=$C$5,COUNTIFS($B$10:B560,B560,$C$10:C560,C560,$D$10:D560,D560,$E$10:E560,E560)=1),(M560-N560)*E560*L560,0)</f>
        <v/>
      </c>
      <c r="S560" s="19">
        <f>IF(D560="",0,N(E560)*L560)</f>
        <v/>
      </c>
    </row>
    <row r="561">
      <c r="A561" s="11" t="n"/>
      <c r="B561" s="12" t="n"/>
      <c r="C561" s="12" t="n"/>
      <c r="D561" s="12" t="n"/>
      <c r="E561" s="13" t="n"/>
      <c r="F561" s="12" t="n"/>
      <c r="G561" s="14" t="n"/>
      <c r="H561" s="15" t="n"/>
      <c r="I561" s="16">
        <f>IF(G561="","",G561*(1-N(H561)))</f>
        <v/>
      </c>
      <c r="J561" s="16">
        <f>IF(I561="","",E561*I561)</f>
        <v/>
      </c>
      <c r="K561">
        <f>IF(D561="","",IFERROR(VLOOKUP(D561,'Ürün Eşleştirme'!$A$6:$D$505,2,FALSE),D561))</f>
        <v/>
      </c>
      <c r="L561" s="17">
        <f>IF(D561="","",IFERROR(VLOOKUP(D561,'Ürün Eşleştirme'!$A$6:$D$505,4,FALSE),1))</f>
        <v/>
      </c>
      <c r="M561" s="16">
        <f>IF(I561="","",I561/L561)</f>
        <v/>
      </c>
      <c r="N561" s="16">
        <f>IF(M561="","",IFERROR(AVERAGEIFS($M$10:$M$1009,$K$10:$K$1009,K561,$A$10:$A$1009,"&lt;"&amp;A561,$A$10:$A$1009,"&gt;="&amp;(A561-$C$6)),""))</f>
        <v/>
      </c>
      <c r="O561" s="16">
        <f>IF(M561="","",_xlfn.MINIFS($M$10:$M$1009,$K$10:$K$1009,K561,$A$10:$A$1009,"&lt;="&amp;A561,$A$10:$A$1009,"&gt;="&amp;(A561-$C$6)))</f>
        <v/>
      </c>
      <c r="P561" s="18">
        <f>IF(OR(N561="",N561=0),"",M561/N561-1)</f>
        <v/>
      </c>
      <c r="Q561">
        <f>IF(D561="","",IF(COUNTIFS($B$10:$B$1009,B561,$C$10:$C$1009,C561,$D$10:$D$1009,D561,$E$10:$E$1009,E561)&gt;1,"MÜKERRER?",IF(P561="","",IF(P561&gt;=$C$5,"İNCELE",IF(P561&lt;=-$C$5,"Düşük",""))))</f>
        <v/>
      </c>
      <c r="R561" s="16">
        <f>IF(AND(P561&lt;&gt;"",N(P561)&gt;=$C$5,COUNTIFS($B$10:B561,B561,$C$10:C561,C561,$D$10:D561,D561,$E$10:E561,E561)=1),(M561-N561)*E561*L561,0)</f>
        <v/>
      </c>
      <c r="S561" s="19">
        <f>IF(D561="",0,N(E561)*L561)</f>
        <v/>
      </c>
    </row>
    <row r="562">
      <c r="A562" s="11" t="n"/>
      <c r="B562" s="12" t="n"/>
      <c r="C562" s="12" t="n"/>
      <c r="D562" s="12" t="n"/>
      <c r="E562" s="13" t="n"/>
      <c r="F562" s="12" t="n"/>
      <c r="G562" s="14" t="n"/>
      <c r="H562" s="15" t="n"/>
      <c r="I562" s="16">
        <f>IF(G562="","",G562*(1-N(H562)))</f>
        <v/>
      </c>
      <c r="J562" s="16">
        <f>IF(I562="","",E562*I562)</f>
        <v/>
      </c>
      <c r="K562">
        <f>IF(D562="","",IFERROR(VLOOKUP(D562,'Ürün Eşleştirme'!$A$6:$D$505,2,FALSE),D562))</f>
        <v/>
      </c>
      <c r="L562" s="17">
        <f>IF(D562="","",IFERROR(VLOOKUP(D562,'Ürün Eşleştirme'!$A$6:$D$505,4,FALSE),1))</f>
        <v/>
      </c>
      <c r="M562" s="16">
        <f>IF(I562="","",I562/L562)</f>
        <v/>
      </c>
      <c r="N562" s="16">
        <f>IF(M562="","",IFERROR(AVERAGEIFS($M$10:$M$1009,$K$10:$K$1009,K562,$A$10:$A$1009,"&lt;"&amp;A562,$A$10:$A$1009,"&gt;="&amp;(A562-$C$6)),""))</f>
        <v/>
      </c>
      <c r="O562" s="16">
        <f>IF(M562="","",_xlfn.MINIFS($M$10:$M$1009,$K$10:$K$1009,K562,$A$10:$A$1009,"&lt;="&amp;A562,$A$10:$A$1009,"&gt;="&amp;(A562-$C$6)))</f>
        <v/>
      </c>
      <c r="P562" s="18">
        <f>IF(OR(N562="",N562=0),"",M562/N562-1)</f>
        <v/>
      </c>
      <c r="Q562">
        <f>IF(D562="","",IF(COUNTIFS($B$10:$B$1009,B562,$C$10:$C$1009,C562,$D$10:$D$1009,D562,$E$10:$E$1009,E562)&gt;1,"MÜKERRER?",IF(P562="","",IF(P562&gt;=$C$5,"İNCELE",IF(P562&lt;=-$C$5,"Düşük",""))))</f>
        <v/>
      </c>
      <c r="R562" s="16">
        <f>IF(AND(P562&lt;&gt;"",N(P562)&gt;=$C$5,COUNTIFS($B$10:B562,B562,$C$10:C562,C562,$D$10:D562,D562,$E$10:E562,E562)=1),(M562-N562)*E562*L562,0)</f>
        <v/>
      </c>
      <c r="S562" s="19">
        <f>IF(D562="",0,N(E562)*L562)</f>
        <v/>
      </c>
    </row>
    <row r="563">
      <c r="A563" s="11" t="n"/>
      <c r="B563" s="12" t="n"/>
      <c r="C563" s="12" t="n"/>
      <c r="D563" s="12" t="n"/>
      <c r="E563" s="13" t="n"/>
      <c r="F563" s="12" t="n"/>
      <c r="G563" s="14" t="n"/>
      <c r="H563" s="15" t="n"/>
      <c r="I563" s="16">
        <f>IF(G563="","",G563*(1-N(H563)))</f>
        <v/>
      </c>
      <c r="J563" s="16">
        <f>IF(I563="","",E563*I563)</f>
        <v/>
      </c>
      <c r="K563">
        <f>IF(D563="","",IFERROR(VLOOKUP(D563,'Ürün Eşleştirme'!$A$6:$D$505,2,FALSE),D563))</f>
        <v/>
      </c>
      <c r="L563" s="17">
        <f>IF(D563="","",IFERROR(VLOOKUP(D563,'Ürün Eşleştirme'!$A$6:$D$505,4,FALSE),1))</f>
        <v/>
      </c>
      <c r="M563" s="16">
        <f>IF(I563="","",I563/L563)</f>
        <v/>
      </c>
      <c r="N563" s="16">
        <f>IF(M563="","",IFERROR(AVERAGEIFS($M$10:$M$1009,$K$10:$K$1009,K563,$A$10:$A$1009,"&lt;"&amp;A563,$A$10:$A$1009,"&gt;="&amp;(A563-$C$6)),""))</f>
        <v/>
      </c>
      <c r="O563" s="16">
        <f>IF(M563="","",_xlfn.MINIFS($M$10:$M$1009,$K$10:$K$1009,K563,$A$10:$A$1009,"&lt;="&amp;A563,$A$10:$A$1009,"&gt;="&amp;(A563-$C$6)))</f>
        <v/>
      </c>
      <c r="P563" s="18">
        <f>IF(OR(N563="",N563=0),"",M563/N563-1)</f>
        <v/>
      </c>
      <c r="Q563">
        <f>IF(D563="","",IF(COUNTIFS($B$10:$B$1009,B563,$C$10:$C$1009,C563,$D$10:$D$1009,D563,$E$10:$E$1009,E563)&gt;1,"MÜKERRER?",IF(P563="","",IF(P563&gt;=$C$5,"İNCELE",IF(P563&lt;=-$C$5,"Düşük",""))))</f>
        <v/>
      </c>
      <c r="R563" s="16">
        <f>IF(AND(P563&lt;&gt;"",N(P563)&gt;=$C$5,COUNTIFS($B$10:B563,B563,$C$10:C563,C563,$D$10:D563,D563,$E$10:E563,E563)=1),(M563-N563)*E563*L563,0)</f>
        <v/>
      </c>
      <c r="S563" s="19">
        <f>IF(D563="",0,N(E563)*L563)</f>
        <v/>
      </c>
    </row>
    <row r="564">
      <c r="A564" s="11" t="n"/>
      <c r="B564" s="12" t="n"/>
      <c r="C564" s="12" t="n"/>
      <c r="D564" s="12" t="n"/>
      <c r="E564" s="13" t="n"/>
      <c r="F564" s="12" t="n"/>
      <c r="G564" s="14" t="n"/>
      <c r="H564" s="15" t="n"/>
      <c r="I564" s="16">
        <f>IF(G564="","",G564*(1-N(H564)))</f>
        <v/>
      </c>
      <c r="J564" s="16">
        <f>IF(I564="","",E564*I564)</f>
        <v/>
      </c>
      <c r="K564">
        <f>IF(D564="","",IFERROR(VLOOKUP(D564,'Ürün Eşleştirme'!$A$6:$D$505,2,FALSE),D564))</f>
        <v/>
      </c>
      <c r="L564" s="17">
        <f>IF(D564="","",IFERROR(VLOOKUP(D564,'Ürün Eşleştirme'!$A$6:$D$505,4,FALSE),1))</f>
        <v/>
      </c>
      <c r="M564" s="16">
        <f>IF(I564="","",I564/L564)</f>
        <v/>
      </c>
      <c r="N564" s="16">
        <f>IF(M564="","",IFERROR(AVERAGEIFS($M$10:$M$1009,$K$10:$K$1009,K564,$A$10:$A$1009,"&lt;"&amp;A564,$A$10:$A$1009,"&gt;="&amp;(A564-$C$6)),""))</f>
        <v/>
      </c>
      <c r="O564" s="16">
        <f>IF(M564="","",_xlfn.MINIFS($M$10:$M$1009,$K$10:$K$1009,K564,$A$10:$A$1009,"&lt;="&amp;A564,$A$10:$A$1009,"&gt;="&amp;(A564-$C$6)))</f>
        <v/>
      </c>
      <c r="P564" s="18">
        <f>IF(OR(N564="",N564=0),"",M564/N564-1)</f>
        <v/>
      </c>
      <c r="Q564">
        <f>IF(D564="","",IF(COUNTIFS($B$10:$B$1009,B564,$C$10:$C$1009,C564,$D$10:$D$1009,D564,$E$10:$E$1009,E564)&gt;1,"MÜKERRER?",IF(P564="","",IF(P564&gt;=$C$5,"İNCELE",IF(P564&lt;=-$C$5,"Düşük",""))))</f>
        <v/>
      </c>
      <c r="R564" s="16">
        <f>IF(AND(P564&lt;&gt;"",N(P564)&gt;=$C$5,COUNTIFS($B$10:B564,B564,$C$10:C564,C564,$D$10:D564,D564,$E$10:E564,E564)=1),(M564-N564)*E564*L564,0)</f>
        <v/>
      </c>
      <c r="S564" s="19">
        <f>IF(D564="",0,N(E564)*L564)</f>
        <v/>
      </c>
    </row>
    <row r="565">
      <c r="A565" s="11" t="n"/>
      <c r="B565" s="12" t="n"/>
      <c r="C565" s="12" t="n"/>
      <c r="D565" s="12" t="n"/>
      <c r="E565" s="13" t="n"/>
      <c r="F565" s="12" t="n"/>
      <c r="G565" s="14" t="n"/>
      <c r="H565" s="15" t="n"/>
      <c r="I565" s="16">
        <f>IF(G565="","",G565*(1-N(H565)))</f>
        <v/>
      </c>
      <c r="J565" s="16">
        <f>IF(I565="","",E565*I565)</f>
        <v/>
      </c>
      <c r="K565">
        <f>IF(D565="","",IFERROR(VLOOKUP(D565,'Ürün Eşleştirme'!$A$6:$D$505,2,FALSE),D565))</f>
        <v/>
      </c>
      <c r="L565" s="17">
        <f>IF(D565="","",IFERROR(VLOOKUP(D565,'Ürün Eşleştirme'!$A$6:$D$505,4,FALSE),1))</f>
        <v/>
      </c>
      <c r="M565" s="16">
        <f>IF(I565="","",I565/L565)</f>
        <v/>
      </c>
      <c r="N565" s="16">
        <f>IF(M565="","",IFERROR(AVERAGEIFS($M$10:$M$1009,$K$10:$K$1009,K565,$A$10:$A$1009,"&lt;"&amp;A565,$A$10:$A$1009,"&gt;="&amp;(A565-$C$6)),""))</f>
        <v/>
      </c>
      <c r="O565" s="16">
        <f>IF(M565="","",_xlfn.MINIFS($M$10:$M$1009,$K$10:$K$1009,K565,$A$10:$A$1009,"&lt;="&amp;A565,$A$10:$A$1009,"&gt;="&amp;(A565-$C$6)))</f>
        <v/>
      </c>
      <c r="P565" s="18">
        <f>IF(OR(N565="",N565=0),"",M565/N565-1)</f>
        <v/>
      </c>
      <c r="Q565">
        <f>IF(D565="","",IF(COUNTIFS($B$10:$B$1009,B565,$C$10:$C$1009,C565,$D$10:$D$1009,D565,$E$10:$E$1009,E565)&gt;1,"MÜKERRER?",IF(P565="","",IF(P565&gt;=$C$5,"İNCELE",IF(P565&lt;=-$C$5,"Düşük",""))))</f>
        <v/>
      </c>
      <c r="R565" s="16">
        <f>IF(AND(P565&lt;&gt;"",N(P565)&gt;=$C$5,COUNTIFS($B$10:B565,B565,$C$10:C565,C565,$D$10:D565,D565,$E$10:E565,E565)=1),(M565-N565)*E565*L565,0)</f>
        <v/>
      </c>
      <c r="S565" s="19">
        <f>IF(D565="",0,N(E565)*L565)</f>
        <v/>
      </c>
    </row>
    <row r="566">
      <c r="A566" s="11" t="n"/>
      <c r="B566" s="12" t="n"/>
      <c r="C566" s="12" t="n"/>
      <c r="D566" s="12" t="n"/>
      <c r="E566" s="13" t="n"/>
      <c r="F566" s="12" t="n"/>
      <c r="G566" s="14" t="n"/>
      <c r="H566" s="15" t="n"/>
      <c r="I566" s="16">
        <f>IF(G566="","",G566*(1-N(H566)))</f>
        <v/>
      </c>
      <c r="J566" s="16">
        <f>IF(I566="","",E566*I566)</f>
        <v/>
      </c>
      <c r="K566">
        <f>IF(D566="","",IFERROR(VLOOKUP(D566,'Ürün Eşleştirme'!$A$6:$D$505,2,FALSE),D566))</f>
        <v/>
      </c>
      <c r="L566" s="17">
        <f>IF(D566="","",IFERROR(VLOOKUP(D566,'Ürün Eşleştirme'!$A$6:$D$505,4,FALSE),1))</f>
        <v/>
      </c>
      <c r="M566" s="16">
        <f>IF(I566="","",I566/L566)</f>
        <v/>
      </c>
      <c r="N566" s="16">
        <f>IF(M566="","",IFERROR(AVERAGEIFS($M$10:$M$1009,$K$10:$K$1009,K566,$A$10:$A$1009,"&lt;"&amp;A566,$A$10:$A$1009,"&gt;="&amp;(A566-$C$6)),""))</f>
        <v/>
      </c>
      <c r="O566" s="16">
        <f>IF(M566="","",_xlfn.MINIFS($M$10:$M$1009,$K$10:$K$1009,K566,$A$10:$A$1009,"&lt;="&amp;A566,$A$10:$A$1009,"&gt;="&amp;(A566-$C$6)))</f>
        <v/>
      </c>
      <c r="P566" s="18">
        <f>IF(OR(N566="",N566=0),"",M566/N566-1)</f>
        <v/>
      </c>
      <c r="Q566">
        <f>IF(D566="","",IF(COUNTIFS($B$10:$B$1009,B566,$C$10:$C$1009,C566,$D$10:$D$1009,D566,$E$10:$E$1009,E566)&gt;1,"MÜKERRER?",IF(P566="","",IF(P566&gt;=$C$5,"İNCELE",IF(P566&lt;=-$C$5,"Düşük",""))))</f>
        <v/>
      </c>
      <c r="R566" s="16">
        <f>IF(AND(P566&lt;&gt;"",N(P566)&gt;=$C$5,COUNTIFS($B$10:B566,B566,$C$10:C566,C566,$D$10:D566,D566,$E$10:E566,E566)=1),(M566-N566)*E566*L566,0)</f>
        <v/>
      </c>
      <c r="S566" s="19">
        <f>IF(D566="",0,N(E566)*L566)</f>
        <v/>
      </c>
    </row>
    <row r="567">
      <c r="A567" s="11" t="n"/>
      <c r="B567" s="12" t="n"/>
      <c r="C567" s="12" t="n"/>
      <c r="D567" s="12" t="n"/>
      <c r="E567" s="13" t="n"/>
      <c r="F567" s="12" t="n"/>
      <c r="G567" s="14" t="n"/>
      <c r="H567" s="15" t="n"/>
      <c r="I567" s="16">
        <f>IF(G567="","",G567*(1-N(H567)))</f>
        <v/>
      </c>
      <c r="J567" s="16">
        <f>IF(I567="","",E567*I567)</f>
        <v/>
      </c>
      <c r="K567">
        <f>IF(D567="","",IFERROR(VLOOKUP(D567,'Ürün Eşleştirme'!$A$6:$D$505,2,FALSE),D567))</f>
        <v/>
      </c>
      <c r="L567" s="17">
        <f>IF(D567="","",IFERROR(VLOOKUP(D567,'Ürün Eşleştirme'!$A$6:$D$505,4,FALSE),1))</f>
        <v/>
      </c>
      <c r="M567" s="16">
        <f>IF(I567="","",I567/L567)</f>
        <v/>
      </c>
      <c r="N567" s="16">
        <f>IF(M567="","",IFERROR(AVERAGEIFS($M$10:$M$1009,$K$10:$K$1009,K567,$A$10:$A$1009,"&lt;"&amp;A567,$A$10:$A$1009,"&gt;="&amp;(A567-$C$6)),""))</f>
        <v/>
      </c>
      <c r="O567" s="16">
        <f>IF(M567="","",_xlfn.MINIFS($M$10:$M$1009,$K$10:$K$1009,K567,$A$10:$A$1009,"&lt;="&amp;A567,$A$10:$A$1009,"&gt;="&amp;(A567-$C$6)))</f>
        <v/>
      </c>
      <c r="P567" s="18">
        <f>IF(OR(N567="",N567=0),"",M567/N567-1)</f>
        <v/>
      </c>
      <c r="Q567">
        <f>IF(D567="","",IF(COUNTIFS($B$10:$B$1009,B567,$C$10:$C$1009,C567,$D$10:$D$1009,D567,$E$10:$E$1009,E567)&gt;1,"MÜKERRER?",IF(P567="","",IF(P567&gt;=$C$5,"İNCELE",IF(P567&lt;=-$C$5,"Düşük",""))))</f>
        <v/>
      </c>
      <c r="R567" s="16">
        <f>IF(AND(P567&lt;&gt;"",N(P567)&gt;=$C$5,COUNTIFS($B$10:B567,B567,$C$10:C567,C567,$D$10:D567,D567,$E$10:E567,E567)=1),(M567-N567)*E567*L567,0)</f>
        <v/>
      </c>
      <c r="S567" s="19">
        <f>IF(D567="",0,N(E567)*L567)</f>
        <v/>
      </c>
    </row>
    <row r="568">
      <c r="A568" s="11" t="n"/>
      <c r="B568" s="12" t="n"/>
      <c r="C568" s="12" t="n"/>
      <c r="D568" s="12" t="n"/>
      <c r="E568" s="13" t="n"/>
      <c r="F568" s="12" t="n"/>
      <c r="G568" s="14" t="n"/>
      <c r="H568" s="15" t="n"/>
      <c r="I568" s="16">
        <f>IF(G568="","",G568*(1-N(H568)))</f>
        <v/>
      </c>
      <c r="J568" s="16">
        <f>IF(I568="","",E568*I568)</f>
        <v/>
      </c>
      <c r="K568">
        <f>IF(D568="","",IFERROR(VLOOKUP(D568,'Ürün Eşleştirme'!$A$6:$D$505,2,FALSE),D568))</f>
        <v/>
      </c>
      <c r="L568" s="17">
        <f>IF(D568="","",IFERROR(VLOOKUP(D568,'Ürün Eşleştirme'!$A$6:$D$505,4,FALSE),1))</f>
        <v/>
      </c>
      <c r="M568" s="16">
        <f>IF(I568="","",I568/L568)</f>
        <v/>
      </c>
      <c r="N568" s="16">
        <f>IF(M568="","",IFERROR(AVERAGEIFS($M$10:$M$1009,$K$10:$K$1009,K568,$A$10:$A$1009,"&lt;"&amp;A568,$A$10:$A$1009,"&gt;="&amp;(A568-$C$6)),""))</f>
        <v/>
      </c>
      <c r="O568" s="16">
        <f>IF(M568="","",_xlfn.MINIFS($M$10:$M$1009,$K$10:$K$1009,K568,$A$10:$A$1009,"&lt;="&amp;A568,$A$10:$A$1009,"&gt;="&amp;(A568-$C$6)))</f>
        <v/>
      </c>
      <c r="P568" s="18">
        <f>IF(OR(N568="",N568=0),"",M568/N568-1)</f>
        <v/>
      </c>
      <c r="Q568">
        <f>IF(D568="","",IF(COUNTIFS($B$10:$B$1009,B568,$C$10:$C$1009,C568,$D$10:$D$1009,D568,$E$10:$E$1009,E568)&gt;1,"MÜKERRER?",IF(P568="","",IF(P568&gt;=$C$5,"İNCELE",IF(P568&lt;=-$C$5,"Düşük",""))))</f>
        <v/>
      </c>
      <c r="R568" s="16">
        <f>IF(AND(P568&lt;&gt;"",N(P568)&gt;=$C$5,COUNTIFS($B$10:B568,B568,$C$10:C568,C568,$D$10:D568,D568,$E$10:E568,E568)=1),(M568-N568)*E568*L568,0)</f>
        <v/>
      </c>
      <c r="S568" s="19">
        <f>IF(D568="",0,N(E568)*L568)</f>
        <v/>
      </c>
    </row>
    <row r="569">
      <c r="A569" s="11" t="n"/>
      <c r="B569" s="12" t="n"/>
      <c r="C569" s="12" t="n"/>
      <c r="D569" s="12" t="n"/>
      <c r="E569" s="13" t="n"/>
      <c r="F569" s="12" t="n"/>
      <c r="G569" s="14" t="n"/>
      <c r="H569" s="15" t="n"/>
      <c r="I569" s="16">
        <f>IF(G569="","",G569*(1-N(H569)))</f>
        <v/>
      </c>
      <c r="J569" s="16">
        <f>IF(I569="","",E569*I569)</f>
        <v/>
      </c>
      <c r="K569">
        <f>IF(D569="","",IFERROR(VLOOKUP(D569,'Ürün Eşleştirme'!$A$6:$D$505,2,FALSE),D569))</f>
        <v/>
      </c>
      <c r="L569" s="17">
        <f>IF(D569="","",IFERROR(VLOOKUP(D569,'Ürün Eşleştirme'!$A$6:$D$505,4,FALSE),1))</f>
        <v/>
      </c>
      <c r="M569" s="16">
        <f>IF(I569="","",I569/L569)</f>
        <v/>
      </c>
      <c r="N569" s="16">
        <f>IF(M569="","",IFERROR(AVERAGEIFS($M$10:$M$1009,$K$10:$K$1009,K569,$A$10:$A$1009,"&lt;"&amp;A569,$A$10:$A$1009,"&gt;="&amp;(A569-$C$6)),""))</f>
        <v/>
      </c>
      <c r="O569" s="16">
        <f>IF(M569="","",_xlfn.MINIFS($M$10:$M$1009,$K$10:$K$1009,K569,$A$10:$A$1009,"&lt;="&amp;A569,$A$10:$A$1009,"&gt;="&amp;(A569-$C$6)))</f>
        <v/>
      </c>
      <c r="P569" s="18">
        <f>IF(OR(N569="",N569=0),"",M569/N569-1)</f>
        <v/>
      </c>
      <c r="Q569">
        <f>IF(D569="","",IF(COUNTIFS($B$10:$B$1009,B569,$C$10:$C$1009,C569,$D$10:$D$1009,D569,$E$10:$E$1009,E569)&gt;1,"MÜKERRER?",IF(P569="","",IF(P569&gt;=$C$5,"İNCELE",IF(P569&lt;=-$C$5,"Düşük",""))))</f>
        <v/>
      </c>
      <c r="R569" s="16">
        <f>IF(AND(P569&lt;&gt;"",N(P569)&gt;=$C$5,COUNTIFS($B$10:B569,B569,$C$10:C569,C569,$D$10:D569,D569,$E$10:E569,E569)=1),(M569-N569)*E569*L569,0)</f>
        <v/>
      </c>
      <c r="S569" s="19">
        <f>IF(D569="",0,N(E569)*L569)</f>
        <v/>
      </c>
    </row>
    <row r="570">
      <c r="A570" s="11" t="n"/>
      <c r="B570" s="12" t="n"/>
      <c r="C570" s="12" t="n"/>
      <c r="D570" s="12" t="n"/>
      <c r="E570" s="13" t="n"/>
      <c r="F570" s="12" t="n"/>
      <c r="G570" s="14" t="n"/>
      <c r="H570" s="15" t="n"/>
      <c r="I570" s="16">
        <f>IF(G570="","",G570*(1-N(H570)))</f>
        <v/>
      </c>
      <c r="J570" s="16">
        <f>IF(I570="","",E570*I570)</f>
        <v/>
      </c>
      <c r="K570">
        <f>IF(D570="","",IFERROR(VLOOKUP(D570,'Ürün Eşleştirme'!$A$6:$D$505,2,FALSE),D570))</f>
        <v/>
      </c>
      <c r="L570" s="17">
        <f>IF(D570="","",IFERROR(VLOOKUP(D570,'Ürün Eşleştirme'!$A$6:$D$505,4,FALSE),1))</f>
        <v/>
      </c>
      <c r="M570" s="16">
        <f>IF(I570="","",I570/L570)</f>
        <v/>
      </c>
      <c r="N570" s="16">
        <f>IF(M570="","",IFERROR(AVERAGEIFS($M$10:$M$1009,$K$10:$K$1009,K570,$A$10:$A$1009,"&lt;"&amp;A570,$A$10:$A$1009,"&gt;="&amp;(A570-$C$6)),""))</f>
        <v/>
      </c>
      <c r="O570" s="16">
        <f>IF(M570="","",_xlfn.MINIFS($M$10:$M$1009,$K$10:$K$1009,K570,$A$10:$A$1009,"&lt;="&amp;A570,$A$10:$A$1009,"&gt;="&amp;(A570-$C$6)))</f>
        <v/>
      </c>
      <c r="P570" s="18">
        <f>IF(OR(N570="",N570=0),"",M570/N570-1)</f>
        <v/>
      </c>
      <c r="Q570">
        <f>IF(D570="","",IF(COUNTIFS($B$10:$B$1009,B570,$C$10:$C$1009,C570,$D$10:$D$1009,D570,$E$10:$E$1009,E570)&gt;1,"MÜKERRER?",IF(P570="","",IF(P570&gt;=$C$5,"İNCELE",IF(P570&lt;=-$C$5,"Düşük",""))))</f>
        <v/>
      </c>
      <c r="R570" s="16">
        <f>IF(AND(P570&lt;&gt;"",N(P570)&gt;=$C$5,COUNTIFS($B$10:B570,B570,$C$10:C570,C570,$D$10:D570,D570,$E$10:E570,E570)=1),(M570-N570)*E570*L570,0)</f>
        <v/>
      </c>
      <c r="S570" s="19">
        <f>IF(D570="",0,N(E570)*L570)</f>
        <v/>
      </c>
    </row>
    <row r="571">
      <c r="A571" s="11" t="n"/>
      <c r="B571" s="12" t="n"/>
      <c r="C571" s="12" t="n"/>
      <c r="D571" s="12" t="n"/>
      <c r="E571" s="13" t="n"/>
      <c r="F571" s="12" t="n"/>
      <c r="G571" s="14" t="n"/>
      <c r="H571" s="15" t="n"/>
      <c r="I571" s="16">
        <f>IF(G571="","",G571*(1-N(H571)))</f>
        <v/>
      </c>
      <c r="J571" s="16">
        <f>IF(I571="","",E571*I571)</f>
        <v/>
      </c>
      <c r="K571">
        <f>IF(D571="","",IFERROR(VLOOKUP(D571,'Ürün Eşleştirme'!$A$6:$D$505,2,FALSE),D571))</f>
        <v/>
      </c>
      <c r="L571" s="17">
        <f>IF(D571="","",IFERROR(VLOOKUP(D571,'Ürün Eşleştirme'!$A$6:$D$505,4,FALSE),1))</f>
        <v/>
      </c>
      <c r="M571" s="16">
        <f>IF(I571="","",I571/L571)</f>
        <v/>
      </c>
      <c r="N571" s="16">
        <f>IF(M571="","",IFERROR(AVERAGEIFS($M$10:$M$1009,$K$10:$K$1009,K571,$A$10:$A$1009,"&lt;"&amp;A571,$A$10:$A$1009,"&gt;="&amp;(A571-$C$6)),""))</f>
        <v/>
      </c>
      <c r="O571" s="16">
        <f>IF(M571="","",_xlfn.MINIFS($M$10:$M$1009,$K$10:$K$1009,K571,$A$10:$A$1009,"&lt;="&amp;A571,$A$10:$A$1009,"&gt;="&amp;(A571-$C$6)))</f>
        <v/>
      </c>
      <c r="P571" s="18">
        <f>IF(OR(N571="",N571=0),"",M571/N571-1)</f>
        <v/>
      </c>
      <c r="Q571">
        <f>IF(D571="","",IF(COUNTIFS($B$10:$B$1009,B571,$C$10:$C$1009,C571,$D$10:$D$1009,D571,$E$10:$E$1009,E571)&gt;1,"MÜKERRER?",IF(P571="","",IF(P571&gt;=$C$5,"İNCELE",IF(P571&lt;=-$C$5,"Düşük",""))))</f>
        <v/>
      </c>
      <c r="R571" s="16">
        <f>IF(AND(P571&lt;&gt;"",N(P571)&gt;=$C$5,COUNTIFS($B$10:B571,B571,$C$10:C571,C571,$D$10:D571,D571,$E$10:E571,E571)=1),(M571-N571)*E571*L571,0)</f>
        <v/>
      </c>
      <c r="S571" s="19">
        <f>IF(D571="",0,N(E571)*L571)</f>
        <v/>
      </c>
    </row>
    <row r="572">
      <c r="A572" s="11" t="n"/>
      <c r="B572" s="12" t="n"/>
      <c r="C572" s="12" t="n"/>
      <c r="D572" s="12" t="n"/>
      <c r="E572" s="13" t="n"/>
      <c r="F572" s="12" t="n"/>
      <c r="G572" s="14" t="n"/>
      <c r="H572" s="15" t="n"/>
      <c r="I572" s="16">
        <f>IF(G572="","",G572*(1-N(H572)))</f>
        <v/>
      </c>
      <c r="J572" s="16">
        <f>IF(I572="","",E572*I572)</f>
        <v/>
      </c>
      <c r="K572">
        <f>IF(D572="","",IFERROR(VLOOKUP(D572,'Ürün Eşleştirme'!$A$6:$D$505,2,FALSE),D572))</f>
        <v/>
      </c>
      <c r="L572" s="17">
        <f>IF(D572="","",IFERROR(VLOOKUP(D572,'Ürün Eşleştirme'!$A$6:$D$505,4,FALSE),1))</f>
        <v/>
      </c>
      <c r="M572" s="16">
        <f>IF(I572="","",I572/L572)</f>
        <v/>
      </c>
      <c r="N572" s="16">
        <f>IF(M572="","",IFERROR(AVERAGEIFS($M$10:$M$1009,$K$10:$K$1009,K572,$A$10:$A$1009,"&lt;"&amp;A572,$A$10:$A$1009,"&gt;="&amp;(A572-$C$6)),""))</f>
        <v/>
      </c>
      <c r="O572" s="16">
        <f>IF(M572="","",_xlfn.MINIFS($M$10:$M$1009,$K$10:$K$1009,K572,$A$10:$A$1009,"&lt;="&amp;A572,$A$10:$A$1009,"&gt;="&amp;(A572-$C$6)))</f>
        <v/>
      </c>
      <c r="P572" s="18">
        <f>IF(OR(N572="",N572=0),"",M572/N572-1)</f>
        <v/>
      </c>
      <c r="Q572">
        <f>IF(D572="","",IF(COUNTIFS($B$10:$B$1009,B572,$C$10:$C$1009,C572,$D$10:$D$1009,D572,$E$10:$E$1009,E572)&gt;1,"MÜKERRER?",IF(P572="","",IF(P572&gt;=$C$5,"İNCELE",IF(P572&lt;=-$C$5,"Düşük",""))))</f>
        <v/>
      </c>
      <c r="R572" s="16">
        <f>IF(AND(P572&lt;&gt;"",N(P572)&gt;=$C$5,COUNTIFS($B$10:B572,B572,$C$10:C572,C572,$D$10:D572,D572,$E$10:E572,E572)=1),(M572-N572)*E572*L572,0)</f>
        <v/>
      </c>
      <c r="S572" s="19">
        <f>IF(D572="",0,N(E572)*L572)</f>
        <v/>
      </c>
    </row>
    <row r="573">
      <c r="A573" s="11" t="n"/>
      <c r="B573" s="12" t="n"/>
      <c r="C573" s="12" t="n"/>
      <c r="D573" s="12" t="n"/>
      <c r="E573" s="13" t="n"/>
      <c r="F573" s="12" t="n"/>
      <c r="G573" s="14" t="n"/>
      <c r="H573" s="15" t="n"/>
      <c r="I573" s="16">
        <f>IF(G573="","",G573*(1-N(H573)))</f>
        <v/>
      </c>
      <c r="J573" s="16">
        <f>IF(I573="","",E573*I573)</f>
        <v/>
      </c>
      <c r="K573">
        <f>IF(D573="","",IFERROR(VLOOKUP(D573,'Ürün Eşleştirme'!$A$6:$D$505,2,FALSE),D573))</f>
        <v/>
      </c>
      <c r="L573" s="17">
        <f>IF(D573="","",IFERROR(VLOOKUP(D573,'Ürün Eşleştirme'!$A$6:$D$505,4,FALSE),1))</f>
        <v/>
      </c>
      <c r="M573" s="16">
        <f>IF(I573="","",I573/L573)</f>
        <v/>
      </c>
      <c r="N573" s="16">
        <f>IF(M573="","",IFERROR(AVERAGEIFS($M$10:$M$1009,$K$10:$K$1009,K573,$A$10:$A$1009,"&lt;"&amp;A573,$A$10:$A$1009,"&gt;="&amp;(A573-$C$6)),""))</f>
        <v/>
      </c>
      <c r="O573" s="16">
        <f>IF(M573="","",_xlfn.MINIFS($M$10:$M$1009,$K$10:$K$1009,K573,$A$10:$A$1009,"&lt;="&amp;A573,$A$10:$A$1009,"&gt;="&amp;(A573-$C$6)))</f>
        <v/>
      </c>
      <c r="P573" s="18">
        <f>IF(OR(N573="",N573=0),"",M573/N573-1)</f>
        <v/>
      </c>
      <c r="Q573">
        <f>IF(D573="","",IF(COUNTIFS($B$10:$B$1009,B573,$C$10:$C$1009,C573,$D$10:$D$1009,D573,$E$10:$E$1009,E573)&gt;1,"MÜKERRER?",IF(P573="","",IF(P573&gt;=$C$5,"İNCELE",IF(P573&lt;=-$C$5,"Düşük",""))))</f>
        <v/>
      </c>
      <c r="R573" s="16">
        <f>IF(AND(P573&lt;&gt;"",N(P573)&gt;=$C$5,COUNTIFS($B$10:B573,B573,$C$10:C573,C573,$D$10:D573,D573,$E$10:E573,E573)=1),(M573-N573)*E573*L573,0)</f>
        <v/>
      </c>
      <c r="S573" s="19">
        <f>IF(D573="",0,N(E573)*L573)</f>
        <v/>
      </c>
    </row>
    <row r="574">
      <c r="A574" s="11" t="n"/>
      <c r="B574" s="12" t="n"/>
      <c r="C574" s="12" t="n"/>
      <c r="D574" s="12" t="n"/>
      <c r="E574" s="13" t="n"/>
      <c r="F574" s="12" t="n"/>
      <c r="G574" s="14" t="n"/>
      <c r="H574" s="15" t="n"/>
      <c r="I574" s="16">
        <f>IF(G574="","",G574*(1-N(H574)))</f>
        <v/>
      </c>
      <c r="J574" s="16">
        <f>IF(I574="","",E574*I574)</f>
        <v/>
      </c>
      <c r="K574">
        <f>IF(D574="","",IFERROR(VLOOKUP(D574,'Ürün Eşleştirme'!$A$6:$D$505,2,FALSE),D574))</f>
        <v/>
      </c>
      <c r="L574" s="17">
        <f>IF(D574="","",IFERROR(VLOOKUP(D574,'Ürün Eşleştirme'!$A$6:$D$505,4,FALSE),1))</f>
        <v/>
      </c>
      <c r="M574" s="16">
        <f>IF(I574="","",I574/L574)</f>
        <v/>
      </c>
      <c r="N574" s="16">
        <f>IF(M574="","",IFERROR(AVERAGEIFS($M$10:$M$1009,$K$10:$K$1009,K574,$A$10:$A$1009,"&lt;"&amp;A574,$A$10:$A$1009,"&gt;="&amp;(A574-$C$6)),""))</f>
        <v/>
      </c>
      <c r="O574" s="16">
        <f>IF(M574="","",_xlfn.MINIFS($M$10:$M$1009,$K$10:$K$1009,K574,$A$10:$A$1009,"&lt;="&amp;A574,$A$10:$A$1009,"&gt;="&amp;(A574-$C$6)))</f>
        <v/>
      </c>
      <c r="P574" s="18">
        <f>IF(OR(N574="",N574=0),"",M574/N574-1)</f>
        <v/>
      </c>
      <c r="Q574">
        <f>IF(D574="","",IF(COUNTIFS($B$10:$B$1009,B574,$C$10:$C$1009,C574,$D$10:$D$1009,D574,$E$10:$E$1009,E574)&gt;1,"MÜKERRER?",IF(P574="","",IF(P574&gt;=$C$5,"İNCELE",IF(P574&lt;=-$C$5,"Düşük",""))))</f>
        <v/>
      </c>
      <c r="R574" s="16">
        <f>IF(AND(P574&lt;&gt;"",N(P574)&gt;=$C$5,COUNTIFS($B$10:B574,B574,$C$10:C574,C574,$D$10:D574,D574,$E$10:E574,E574)=1),(M574-N574)*E574*L574,0)</f>
        <v/>
      </c>
      <c r="S574" s="19">
        <f>IF(D574="",0,N(E574)*L574)</f>
        <v/>
      </c>
    </row>
    <row r="575">
      <c r="A575" s="11" t="n"/>
      <c r="B575" s="12" t="n"/>
      <c r="C575" s="12" t="n"/>
      <c r="D575" s="12" t="n"/>
      <c r="E575" s="13" t="n"/>
      <c r="F575" s="12" t="n"/>
      <c r="G575" s="14" t="n"/>
      <c r="H575" s="15" t="n"/>
      <c r="I575" s="16">
        <f>IF(G575="","",G575*(1-N(H575)))</f>
        <v/>
      </c>
      <c r="J575" s="16">
        <f>IF(I575="","",E575*I575)</f>
        <v/>
      </c>
      <c r="K575">
        <f>IF(D575="","",IFERROR(VLOOKUP(D575,'Ürün Eşleştirme'!$A$6:$D$505,2,FALSE),D575))</f>
        <v/>
      </c>
      <c r="L575" s="17">
        <f>IF(D575="","",IFERROR(VLOOKUP(D575,'Ürün Eşleştirme'!$A$6:$D$505,4,FALSE),1))</f>
        <v/>
      </c>
      <c r="M575" s="16">
        <f>IF(I575="","",I575/L575)</f>
        <v/>
      </c>
      <c r="N575" s="16">
        <f>IF(M575="","",IFERROR(AVERAGEIFS($M$10:$M$1009,$K$10:$K$1009,K575,$A$10:$A$1009,"&lt;"&amp;A575,$A$10:$A$1009,"&gt;="&amp;(A575-$C$6)),""))</f>
        <v/>
      </c>
      <c r="O575" s="16">
        <f>IF(M575="","",_xlfn.MINIFS($M$10:$M$1009,$K$10:$K$1009,K575,$A$10:$A$1009,"&lt;="&amp;A575,$A$10:$A$1009,"&gt;="&amp;(A575-$C$6)))</f>
        <v/>
      </c>
      <c r="P575" s="18">
        <f>IF(OR(N575="",N575=0),"",M575/N575-1)</f>
        <v/>
      </c>
      <c r="Q575">
        <f>IF(D575="","",IF(COUNTIFS($B$10:$B$1009,B575,$C$10:$C$1009,C575,$D$10:$D$1009,D575,$E$10:$E$1009,E575)&gt;1,"MÜKERRER?",IF(P575="","",IF(P575&gt;=$C$5,"İNCELE",IF(P575&lt;=-$C$5,"Düşük",""))))</f>
        <v/>
      </c>
      <c r="R575" s="16">
        <f>IF(AND(P575&lt;&gt;"",N(P575)&gt;=$C$5,COUNTIFS($B$10:B575,B575,$C$10:C575,C575,$D$10:D575,D575,$E$10:E575,E575)=1),(M575-N575)*E575*L575,0)</f>
        <v/>
      </c>
      <c r="S575" s="19">
        <f>IF(D575="",0,N(E575)*L575)</f>
        <v/>
      </c>
    </row>
    <row r="576">
      <c r="A576" s="11" t="n"/>
      <c r="B576" s="12" t="n"/>
      <c r="C576" s="12" t="n"/>
      <c r="D576" s="12" t="n"/>
      <c r="E576" s="13" t="n"/>
      <c r="F576" s="12" t="n"/>
      <c r="G576" s="14" t="n"/>
      <c r="H576" s="15" t="n"/>
      <c r="I576" s="16">
        <f>IF(G576="","",G576*(1-N(H576)))</f>
        <v/>
      </c>
      <c r="J576" s="16">
        <f>IF(I576="","",E576*I576)</f>
        <v/>
      </c>
      <c r="K576">
        <f>IF(D576="","",IFERROR(VLOOKUP(D576,'Ürün Eşleştirme'!$A$6:$D$505,2,FALSE),D576))</f>
        <v/>
      </c>
      <c r="L576" s="17">
        <f>IF(D576="","",IFERROR(VLOOKUP(D576,'Ürün Eşleştirme'!$A$6:$D$505,4,FALSE),1))</f>
        <v/>
      </c>
      <c r="M576" s="16">
        <f>IF(I576="","",I576/L576)</f>
        <v/>
      </c>
      <c r="N576" s="16">
        <f>IF(M576="","",IFERROR(AVERAGEIFS($M$10:$M$1009,$K$10:$K$1009,K576,$A$10:$A$1009,"&lt;"&amp;A576,$A$10:$A$1009,"&gt;="&amp;(A576-$C$6)),""))</f>
        <v/>
      </c>
      <c r="O576" s="16">
        <f>IF(M576="","",_xlfn.MINIFS($M$10:$M$1009,$K$10:$K$1009,K576,$A$10:$A$1009,"&lt;="&amp;A576,$A$10:$A$1009,"&gt;="&amp;(A576-$C$6)))</f>
        <v/>
      </c>
      <c r="P576" s="18">
        <f>IF(OR(N576="",N576=0),"",M576/N576-1)</f>
        <v/>
      </c>
      <c r="Q576">
        <f>IF(D576="","",IF(COUNTIFS($B$10:$B$1009,B576,$C$10:$C$1009,C576,$D$10:$D$1009,D576,$E$10:$E$1009,E576)&gt;1,"MÜKERRER?",IF(P576="","",IF(P576&gt;=$C$5,"İNCELE",IF(P576&lt;=-$C$5,"Düşük",""))))</f>
        <v/>
      </c>
      <c r="R576" s="16">
        <f>IF(AND(P576&lt;&gt;"",N(P576)&gt;=$C$5,COUNTIFS($B$10:B576,B576,$C$10:C576,C576,$D$10:D576,D576,$E$10:E576,E576)=1),(M576-N576)*E576*L576,0)</f>
        <v/>
      </c>
      <c r="S576" s="19">
        <f>IF(D576="",0,N(E576)*L576)</f>
        <v/>
      </c>
    </row>
    <row r="577">
      <c r="A577" s="11" t="n"/>
      <c r="B577" s="12" t="n"/>
      <c r="C577" s="12" t="n"/>
      <c r="D577" s="12" t="n"/>
      <c r="E577" s="13" t="n"/>
      <c r="F577" s="12" t="n"/>
      <c r="G577" s="14" t="n"/>
      <c r="H577" s="15" t="n"/>
      <c r="I577" s="16">
        <f>IF(G577="","",G577*(1-N(H577)))</f>
        <v/>
      </c>
      <c r="J577" s="16">
        <f>IF(I577="","",E577*I577)</f>
        <v/>
      </c>
      <c r="K577">
        <f>IF(D577="","",IFERROR(VLOOKUP(D577,'Ürün Eşleştirme'!$A$6:$D$505,2,FALSE),D577))</f>
        <v/>
      </c>
      <c r="L577" s="17">
        <f>IF(D577="","",IFERROR(VLOOKUP(D577,'Ürün Eşleştirme'!$A$6:$D$505,4,FALSE),1))</f>
        <v/>
      </c>
      <c r="M577" s="16">
        <f>IF(I577="","",I577/L577)</f>
        <v/>
      </c>
      <c r="N577" s="16">
        <f>IF(M577="","",IFERROR(AVERAGEIFS($M$10:$M$1009,$K$10:$K$1009,K577,$A$10:$A$1009,"&lt;"&amp;A577,$A$10:$A$1009,"&gt;="&amp;(A577-$C$6)),""))</f>
        <v/>
      </c>
      <c r="O577" s="16">
        <f>IF(M577="","",_xlfn.MINIFS($M$10:$M$1009,$K$10:$K$1009,K577,$A$10:$A$1009,"&lt;="&amp;A577,$A$10:$A$1009,"&gt;="&amp;(A577-$C$6)))</f>
        <v/>
      </c>
      <c r="P577" s="18">
        <f>IF(OR(N577="",N577=0),"",M577/N577-1)</f>
        <v/>
      </c>
      <c r="Q577">
        <f>IF(D577="","",IF(COUNTIFS($B$10:$B$1009,B577,$C$10:$C$1009,C577,$D$10:$D$1009,D577,$E$10:$E$1009,E577)&gt;1,"MÜKERRER?",IF(P577="","",IF(P577&gt;=$C$5,"İNCELE",IF(P577&lt;=-$C$5,"Düşük",""))))</f>
        <v/>
      </c>
      <c r="R577" s="16">
        <f>IF(AND(P577&lt;&gt;"",N(P577)&gt;=$C$5,COUNTIFS($B$10:B577,B577,$C$10:C577,C577,$D$10:D577,D577,$E$10:E577,E577)=1),(M577-N577)*E577*L577,0)</f>
        <v/>
      </c>
      <c r="S577" s="19">
        <f>IF(D577="",0,N(E577)*L577)</f>
        <v/>
      </c>
    </row>
    <row r="578">
      <c r="A578" s="11" t="n"/>
      <c r="B578" s="12" t="n"/>
      <c r="C578" s="12" t="n"/>
      <c r="D578" s="12" t="n"/>
      <c r="E578" s="13" t="n"/>
      <c r="F578" s="12" t="n"/>
      <c r="G578" s="14" t="n"/>
      <c r="H578" s="15" t="n"/>
      <c r="I578" s="16">
        <f>IF(G578="","",G578*(1-N(H578)))</f>
        <v/>
      </c>
      <c r="J578" s="16">
        <f>IF(I578="","",E578*I578)</f>
        <v/>
      </c>
      <c r="K578">
        <f>IF(D578="","",IFERROR(VLOOKUP(D578,'Ürün Eşleştirme'!$A$6:$D$505,2,FALSE),D578))</f>
        <v/>
      </c>
      <c r="L578" s="17">
        <f>IF(D578="","",IFERROR(VLOOKUP(D578,'Ürün Eşleştirme'!$A$6:$D$505,4,FALSE),1))</f>
        <v/>
      </c>
      <c r="M578" s="16">
        <f>IF(I578="","",I578/L578)</f>
        <v/>
      </c>
      <c r="N578" s="16">
        <f>IF(M578="","",IFERROR(AVERAGEIFS($M$10:$M$1009,$K$10:$K$1009,K578,$A$10:$A$1009,"&lt;"&amp;A578,$A$10:$A$1009,"&gt;="&amp;(A578-$C$6)),""))</f>
        <v/>
      </c>
      <c r="O578" s="16">
        <f>IF(M578="","",_xlfn.MINIFS($M$10:$M$1009,$K$10:$K$1009,K578,$A$10:$A$1009,"&lt;="&amp;A578,$A$10:$A$1009,"&gt;="&amp;(A578-$C$6)))</f>
        <v/>
      </c>
      <c r="P578" s="18">
        <f>IF(OR(N578="",N578=0),"",M578/N578-1)</f>
        <v/>
      </c>
      <c r="Q578">
        <f>IF(D578="","",IF(COUNTIFS($B$10:$B$1009,B578,$C$10:$C$1009,C578,$D$10:$D$1009,D578,$E$10:$E$1009,E578)&gt;1,"MÜKERRER?",IF(P578="","",IF(P578&gt;=$C$5,"İNCELE",IF(P578&lt;=-$C$5,"Düşük",""))))</f>
        <v/>
      </c>
      <c r="R578" s="16">
        <f>IF(AND(P578&lt;&gt;"",N(P578)&gt;=$C$5,COUNTIFS($B$10:B578,B578,$C$10:C578,C578,$D$10:D578,D578,$E$10:E578,E578)=1),(M578-N578)*E578*L578,0)</f>
        <v/>
      </c>
      <c r="S578" s="19">
        <f>IF(D578="",0,N(E578)*L578)</f>
        <v/>
      </c>
    </row>
    <row r="579">
      <c r="A579" s="11" t="n"/>
      <c r="B579" s="12" t="n"/>
      <c r="C579" s="12" t="n"/>
      <c r="D579" s="12" t="n"/>
      <c r="E579" s="13" t="n"/>
      <c r="F579" s="12" t="n"/>
      <c r="G579" s="14" t="n"/>
      <c r="H579" s="15" t="n"/>
      <c r="I579" s="16">
        <f>IF(G579="","",G579*(1-N(H579)))</f>
        <v/>
      </c>
      <c r="J579" s="16">
        <f>IF(I579="","",E579*I579)</f>
        <v/>
      </c>
      <c r="K579">
        <f>IF(D579="","",IFERROR(VLOOKUP(D579,'Ürün Eşleştirme'!$A$6:$D$505,2,FALSE),D579))</f>
        <v/>
      </c>
      <c r="L579" s="17">
        <f>IF(D579="","",IFERROR(VLOOKUP(D579,'Ürün Eşleştirme'!$A$6:$D$505,4,FALSE),1))</f>
        <v/>
      </c>
      <c r="M579" s="16">
        <f>IF(I579="","",I579/L579)</f>
        <v/>
      </c>
      <c r="N579" s="16">
        <f>IF(M579="","",IFERROR(AVERAGEIFS($M$10:$M$1009,$K$10:$K$1009,K579,$A$10:$A$1009,"&lt;"&amp;A579,$A$10:$A$1009,"&gt;="&amp;(A579-$C$6)),""))</f>
        <v/>
      </c>
      <c r="O579" s="16">
        <f>IF(M579="","",_xlfn.MINIFS($M$10:$M$1009,$K$10:$K$1009,K579,$A$10:$A$1009,"&lt;="&amp;A579,$A$10:$A$1009,"&gt;="&amp;(A579-$C$6)))</f>
        <v/>
      </c>
      <c r="P579" s="18">
        <f>IF(OR(N579="",N579=0),"",M579/N579-1)</f>
        <v/>
      </c>
      <c r="Q579">
        <f>IF(D579="","",IF(COUNTIFS($B$10:$B$1009,B579,$C$10:$C$1009,C579,$D$10:$D$1009,D579,$E$10:$E$1009,E579)&gt;1,"MÜKERRER?",IF(P579="","",IF(P579&gt;=$C$5,"İNCELE",IF(P579&lt;=-$C$5,"Düşük",""))))</f>
        <v/>
      </c>
      <c r="R579" s="16">
        <f>IF(AND(P579&lt;&gt;"",N(P579)&gt;=$C$5,COUNTIFS($B$10:B579,B579,$C$10:C579,C579,$D$10:D579,D579,$E$10:E579,E579)=1),(M579-N579)*E579*L579,0)</f>
        <v/>
      </c>
      <c r="S579" s="19">
        <f>IF(D579="",0,N(E579)*L579)</f>
        <v/>
      </c>
    </row>
    <row r="580">
      <c r="A580" s="11" t="n"/>
      <c r="B580" s="12" t="n"/>
      <c r="C580" s="12" t="n"/>
      <c r="D580" s="12" t="n"/>
      <c r="E580" s="13" t="n"/>
      <c r="F580" s="12" t="n"/>
      <c r="G580" s="14" t="n"/>
      <c r="H580" s="15" t="n"/>
      <c r="I580" s="16">
        <f>IF(G580="","",G580*(1-N(H580)))</f>
        <v/>
      </c>
      <c r="J580" s="16">
        <f>IF(I580="","",E580*I580)</f>
        <v/>
      </c>
      <c r="K580">
        <f>IF(D580="","",IFERROR(VLOOKUP(D580,'Ürün Eşleştirme'!$A$6:$D$505,2,FALSE),D580))</f>
        <v/>
      </c>
      <c r="L580" s="17">
        <f>IF(D580="","",IFERROR(VLOOKUP(D580,'Ürün Eşleştirme'!$A$6:$D$505,4,FALSE),1))</f>
        <v/>
      </c>
      <c r="M580" s="16">
        <f>IF(I580="","",I580/L580)</f>
        <v/>
      </c>
      <c r="N580" s="16">
        <f>IF(M580="","",IFERROR(AVERAGEIFS($M$10:$M$1009,$K$10:$K$1009,K580,$A$10:$A$1009,"&lt;"&amp;A580,$A$10:$A$1009,"&gt;="&amp;(A580-$C$6)),""))</f>
        <v/>
      </c>
      <c r="O580" s="16">
        <f>IF(M580="","",_xlfn.MINIFS($M$10:$M$1009,$K$10:$K$1009,K580,$A$10:$A$1009,"&lt;="&amp;A580,$A$10:$A$1009,"&gt;="&amp;(A580-$C$6)))</f>
        <v/>
      </c>
      <c r="P580" s="18">
        <f>IF(OR(N580="",N580=0),"",M580/N580-1)</f>
        <v/>
      </c>
      <c r="Q580">
        <f>IF(D580="","",IF(COUNTIFS($B$10:$B$1009,B580,$C$10:$C$1009,C580,$D$10:$D$1009,D580,$E$10:$E$1009,E580)&gt;1,"MÜKERRER?",IF(P580="","",IF(P580&gt;=$C$5,"İNCELE",IF(P580&lt;=-$C$5,"Düşük",""))))</f>
        <v/>
      </c>
      <c r="R580" s="16">
        <f>IF(AND(P580&lt;&gt;"",N(P580)&gt;=$C$5,COUNTIFS($B$10:B580,B580,$C$10:C580,C580,$D$10:D580,D580,$E$10:E580,E580)=1),(M580-N580)*E580*L580,0)</f>
        <v/>
      </c>
      <c r="S580" s="19">
        <f>IF(D580="",0,N(E580)*L580)</f>
        <v/>
      </c>
    </row>
    <row r="581">
      <c r="A581" s="11" t="n"/>
      <c r="B581" s="12" t="n"/>
      <c r="C581" s="12" t="n"/>
      <c r="D581" s="12" t="n"/>
      <c r="E581" s="13" t="n"/>
      <c r="F581" s="12" t="n"/>
      <c r="G581" s="14" t="n"/>
      <c r="H581" s="15" t="n"/>
      <c r="I581" s="16">
        <f>IF(G581="","",G581*(1-N(H581)))</f>
        <v/>
      </c>
      <c r="J581" s="16">
        <f>IF(I581="","",E581*I581)</f>
        <v/>
      </c>
      <c r="K581">
        <f>IF(D581="","",IFERROR(VLOOKUP(D581,'Ürün Eşleştirme'!$A$6:$D$505,2,FALSE),D581))</f>
        <v/>
      </c>
      <c r="L581" s="17">
        <f>IF(D581="","",IFERROR(VLOOKUP(D581,'Ürün Eşleştirme'!$A$6:$D$505,4,FALSE),1))</f>
        <v/>
      </c>
      <c r="M581" s="16">
        <f>IF(I581="","",I581/L581)</f>
        <v/>
      </c>
      <c r="N581" s="16">
        <f>IF(M581="","",IFERROR(AVERAGEIFS($M$10:$M$1009,$K$10:$K$1009,K581,$A$10:$A$1009,"&lt;"&amp;A581,$A$10:$A$1009,"&gt;="&amp;(A581-$C$6)),""))</f>
        <v/>
      </c>
      <c r="O581" s="16">
        <f>IF(M581="","",_xlfn.MINIFS($M$10:$M$1009,$K$10:$K$1009,K581,$A$10:$A$1009,"&lt;="&amp;A581,$A$10:$A$1009,"&gt;="&amp;(A581-$C$6)))</f>
        <v/>
      </c>
      <c r="P581" s="18">
        <f>IF(OR(N581="",N581=0),"",M581/N581-1)</f>
        <v/>
      </c>
      <c r="Q581">
        <f>IF(D581="","",IF(COUNTIFS($B$10:$B$1009,B581,$C$10:$C$1009,C581,$D$10:$D$1009,D581,$E$10:$E$1009,E581)&gt;1,"MÜKERRER?",IF(P581="","",IF(P581&gt;=$C$5,"İNCELE",IF(P581&lt;=-$C$5,"Düşük",""))))</f>
        <v/>
      </c>
      <c r="R581" s="16">
        <f>IF(AND(P581&lt;&gt;"",N(P581)&gt;=$C$5,COUNTIFS($B$10:B581,B581,$C$10:C581,C581,$D$10:D581,D581,$E$10:E581,E581)=1),(M581-N581)*E581*L581,0)</f>
        <v/>
      </c>
      <c r="S581" s="19">
        <f>IF(D581="",0,N(E581)*L581)</f>
        <v/>
      </c>
    </row>
    <row r="582">
      <c r="A582" s="11" t="n"/>
      <c r="B582" s="12" t="n"/>
      <c r="C582" s="12" t="n"/>
      <c r="D582" s="12" t="n"/>
      <c r="E582" s="13" t="n"/>
      <c r="F582" s="12" t="n"/>
      <c r="G582" s="14" t="n"/>
      <c r="H582" s="15" t="n"/>
      <c r="I582" s="16">
        <f>IF(G582="","",G582*(1-N(H582)))</f>
        <v/>
      </c>
      <c r="J582" s="16">
        <f>IF(I582="","",E582*I582)</f>
        <v/>
      </c>
      <c r="K582">
        <f>IF(D582="","",IFERROR(VLOOKUP(D582,'Ürün Eşleştirme'!$A$6:$D$505,2,FALSE),D582))</f>
        <v/>
      </c>
      <c r="L582" s="17">
        <f>IF(D582="","",IFERROR(VLOOKUP(D582,'Ürün Eşleştirme'!$A$6:$D$505,4,FALSE),1))</f>
        <v/>
      </c>
      <c r="M582" s="16">
        <f>IF(I582="","",I582/L582)</f>
        <v/>
      </c>
      <c r="N582" s="16">
        <f>IF(M582="","",IFERROR(AVERAGEIFS($M$10:$M$1009,$K$10:$K$1009,K582,$A$10:$A$1009,"&lt;"&amp;A582,$A$10:$A$1009,"&gt;="&amp;(A582-$C$6)),""))</f>
        <v/>
      </c>
      <c r="O582" s="16">
        <f>IF(M582="","",_xlfn.MINIFS($M$10:$M$1009,$K$10:$K$1009,K582,$A$10:$A$1009,"&lt;="&amp;A582,$A$10:$A$1009,"&gt;="&amp;(A582-$C$6)))</f>
        <v/>
      </c>
      <c r="P582" s="18">
        <f>IF(OR(N582="",N582=0),"",M582/N582-1)</f>
        <v/>
      </c>
      <c r="Q582">
        <f>IF(D582="","",IF(COUNTIFS($B$10:$B$1009,B582,$C$10:$C$1009,C582,$D$10:$D$1009,D582,$E$10:$E$1009,E582)&gt;1,"MÜKERRER?",IF(P582="","",IF(P582&gt;=$C$5,"İNCELE",IF(P582&lt;=-$C$5,"Düşük",""))))</f>
        <v/>
      </c>
      <c r="R582" s="16">
        <f>IF(AND(P582&lt;&gt;"",N(P582)&gt;=$C$5,COUNTIFS($B$10:B582,B582,$C$10:C582,C582,$D$10:D582,D582,$E$10:E582,E582)=1),(M582-N582)*E582*L582,0)</f>
        <v/>
      </c>
      <c r="S582" s="19">
        <f>IF(D582="",0,N(E582)*L582)</f>
        <v/>
      </c>
    </row>
    <row r="583">
      <c r="A583" s="11" t="n"/>
      <c r="B583" s="12" t="n"/>
      <c r="C583" s="12" t="n"/>
      <c r="D583" s="12" t="n"/>
      <c r="E583" s="13" t="n"/>
      <c r="F583" s="12" t="n"/>
      <c r="G583" s="14" t="n"/>
      <c r="H583" s="15" t="n"/>
      <c r="I583" s="16">
        <f>IF(G583="","",G583*(1-N(H583)))</f>
        <v/>
      </c>
      <c r="J583" s="16">
        <f>IF(I583="","",E583*I583)</f>
        <v/>
      </c>
      <c r="K583">
        <f>IF(D583="","",IFERROR(VLOOKUP(D583,'Ürün Eşleştirme'!$A$6:$D$505,2,FALSE),D583))</f>
        <v/>
      </c>
      <c r="L583" s="17">
        <f>IF(D583="","",IFERROR(VLOOKUP(D583,'Ürün Eşleştirme'!$A$6:$D$505,4,FALSE),1))</f>
        <v/>
      </c>
      <c r="M583" s="16">
        <f>IF(I583="","",I583/L583)</f>
        <v/>
      </c>
      <c r="N583" s="16">
        <f>IF(M583="","",IFERROR(AVERAGEIFS($M$10:$M$1009,$K$10:$K$1009,K583,$A$10:$A$1009,"&lt;"&amp;A583,$A$10:$A$1009,"&gt;="&amp;(A583-$C$6)),""))</f>
        <v/>
      </c>
      <c r="O583" s="16">
        <f>IF(M583="","",_xlfn.MINIFS($M$10:$M$1009,$K$10:$K$1009,K583,$A$10:$A$1009,"&lt;="&amp;A583,$A$10:$A$1009,"&gt;="&amp;(A583-$C$6)))</f>
        <v/>
      </c>
      <c r="P583" s="18">
        <f>IF(OR(N583="",N583=0),"",M583/N583-1)</f>
        <v/>
      </c>
      <c r="Q583">
        <f>IF(D583="","",IF(COUNTIFS($B$10:$B$1009,B583,$C$10:$C$1009,C583,$D$10:$D$1009,D583,$E$10:$E$1009,E583)&gt;1,"MÜKERRER?",IF(P583="","",IF(P583&gt;=$C$5,"İNCELE",IF(P583&lt;=-$C$5,"Düşük",""))))</f>
        <v/>
      </c>
      <c r="R583" s="16">
        <f>IF(AND(P583&lt;&gt;"",N(P583)&gt;=$C$5,COUNTIFS($B$10:B583,B583,$C$10:C583,C583,$D$10:D583,D583,$E$10:E583,E583)=1),(M583-N583)*E583*L583,0)</f>
        <v/>
      </c>
      <c r="S583" s="19">
        <f>IF(D583="",0,N(E583)*L583)</f>
        <v/>
      </c>
    </row>
    <row r="584">
      <c r="A584" s="11" t="n"/>
      <c r="B584" s="12" t="n"/>
      <c r="C584" s="12" t="n"/>
      <c r="D584" s="12" t="n"/>
      <c r="E584" s="13" t="n"/>
      <c r="F584" s="12" t="n"/>
      <c r="G584" s="14" t="n"/>
      <c r="H584" s="15" t="n"/>
      <c r="I584" s="16">
        <f>IF(G584="","",G584*(1-N(H584)))</f>
        <v/>
      </c>
      <c r="J584" s="16">
        <f>IF(I584="","",E584*I584)</f>
        <v/>
      </c>
      <c r="K584">
        <f>IF(D584="","",IFERROR(VLOOKUP(D584,'Ürün Eşleştirme'!$A$6:$D$505,2,FALSE),D584))</f>
        <v/>
      </c>
      <c r="L584" s="17">
        <f>IF(D584="","",IFERROR(VLOOKUP(D584,'Ürün Eşleştirme'!$A$6:$D$505,4,FALSE),1))</f>
        <v/>
      </c>
      <c r="M584" s="16">
        <f>IF(I584="","",I584/L584)</f>
        <v/>
      </c>
      <c r="N584" s="16">
        <f>IF(M584="","",IFERROR(AVERAGEIFS($M$10:$M$1009,$K$10:$K$1009,K584,$A$10:$A$1009,"&lt;"&amp;A584,$A$10:$A$1009,"&gt;="&amp;(A584-$C$6)),""))</f>
        <v/>
      </c>
      <c r="O584" s="16">
        <f>IF(M584="","",_xlfn.MINIFS($M$10:$M$1009,$K$10:$K$1009,K584,$A$10:$A$1009,"&lt;="&amp;A584,$A$10:$A$1009,"&gt;="&amp;(A584-$C$6)))</f>
        <v/>
      </c>
      <c r="P584" s="18">
        <f>IF(OR(N584="",N584=0),"",M584/N584-1)</f>
        <v/>
      </c>
      <c r="Q584">
        <f>IF(D584="","",IF(COUNTIFS($B$10:$B$1009,B584,$C$10:$C$1009,C584,$D$10:$D$1009,D584,$E$10:$E$1009,E584)&gt;1,"MÜKERRER?",IF(P584="","",IF(P584&gt;=$C$5,"İNCELE",IF(P584&lt;=-$C$5,"Düşük",""))))</f>
        <v/>
      </c>
      <c r="R584" s="16">
        <f>IF(AND(P584&lt;&gt;"",N(P584)&gt;=$C$5,COUNTIFS($B$10:B584,B584,$C$10:C584,C584,$D$10:D584,D584,$E$10:E584,E584)=1),(M584-N584)*E584*L584,0)</f>
        <v/>
      </c>
      <c r="S584" s="19">
        <f>IF(D584="",0,N(E584)*L584)</f>
        <v/>
      </c>
    </row>
    <row r="585">
      <c r="A585" s="11" t="n"/>
      <c r="B585" s="12" t="n"/>
      <c r="C585" s="12" t="n"/>
      <c r="D585" s="12" t="n"/>
      <c r="E585" s="13" t="n"/>
      <c r="F585" s="12" t="n"/>
      <c r="G585" s="14" t="n"/>
      <c r="H585" s="15" t="n"/>
      <c r="I585" s="16">
        <f>IF(G585="","",G585*(1-N(H585)))</f>
        <v/>
      </c>
      <c r="J585" s="16">
        <f>IF(I585="","",E585*I585)</f>
        <v/>
      </c>
      <c r="K585">
        <f>IF(D585="","",IFERROR(VLOOKUP(D585,'Ürün Eşleştirme'!$A$6:$D$505,2,FALSE),D585))</f>
        <v/>
      </c>
      <c r="L585" s="17">
        <f>IF(D585="","",IFERROR(VLOOKUP(D585,'Ürün Eşleştirme'!$A$6:$D$505,4,FALSE),1))</f>
        <v/>
      </c>
      <c r="M585" s="16">
        <f>IF(I585="","",I585/L585)</f>
        <v/>
      </c>
      <c r="N585" s="16">
        <f>IF(M585="","",IFERROR(AVERAGEIFS($M$10:$M$1009,$K$10:$K$1009,K585,$A$10:$A$1009,"&lt;"&amp;A585,$A$10:$A$1009,"&gt;="&amp;(A585-$C$6)),""))</f>
        <v/>
      </c>
      <c r="O585" s="16">
        <f>IF(M585="","",_xlfn.MINIFS($M$10:$M$1009,$K$10:$K$1009,K585,$A$10:$A$1009,"&lt;="&amp;A585,$A$10:$A$1009,"&gt;="&amp;(A585-$C$6)))</f>
        <v/>
      </c>
      <c r="P585" s="18">
        <f>IF(OR(N585="",N585=0),"",M585/N585-1)</f>
        <v/>
      </c>
      <c r="Q585">
        <f>IF(D585="","",IF(COUNTIFS($B$10:$B$1009,B585,$C$10:$C$1009,C585,$D$10:$D$1009,D585,$E$10:$E$1009,E585)&gt;1,"MÜKERRER?",IF(P585="","",IF(P585&gt;=$C$5,"İNCELE",IF(P585&lt;=-$C$5,"Düşük",""))))</f>
        <v/>
      </c>
      <c r="R585" s="16">
        <f>IF(AND(P585&lt;&gt;"",N(P585)&gt;=$C$5,COUNTIFS($B$10:B585,B585,$C$10:C585,C585,$D$10:D585,D585,$E$10:E585,E585)=1),(M585-N585)*E585*L585,0)</f>
        <v/>
      </c>
      <c r="S585" s="19">
        <f>IF(D585="",0,N(E585)*L585)</f>
        <v/>
      </c>
    </row>
    <row r="586">
      <c r="A586" s="11" t="n"/>
      <c r="B586" s="12" t="n"/>
      <c r="C586" s="12" t="n"/>
      <c r="D586" s="12" t="n"/>
      <c r="E586" s="13" t="n"/>
      <c r="F586" s="12" t="n"/>
      <c r="G586" s="14" t="n"/>
      <c r="H586" s="15" t="n"/>
      <c r="I586" s="16">
        <f>IF(G586="","",G586*(1-N(H586)))</f>
        <v/>
      </c>
      <c r="J586" s="16">
        <f>IF(I586="","",E586*I586)</f>
        <v/>
      </c>
      <c r="K586">
        <f>IF(D586="","",IFERROR(VLOOKUP(D586,'Ürün Eşleştirme'!$A$6:$D$505,2,FALSE),D586))</f>
        <v/>
      </c>
      <c r="L586" s="17">
        <f>IF(D586="","",IFERROR(VLOOKUP(D586,'Ürün Eşleştirme'!$A$6:$D$505,4,FALSE),1))</f>
        <v/>
      </c>
      <c r="M586" s="16">
        <f>IF(I586="","",I586/L586)</f>
        <v/>
      </c>
      <c r="N586" s="16">
        <f>IF(M586="","",IFERROR(AVERAGEIFS($M$10:$M$1009,$K$10:$K$1009,K586,$A$10:$A$1009,"&lt;"&amp;A586,$A$10:$A$1009,"&gt;="&amp;(A586-$C$6)),""))</f>
        <v/>
      </c>
      <c r="O586" s="16">
        <f>IF(M586="","",_xlfn.MINIFS($M$10:$M$1009,$K$10:$K$1009,K586,$A$10:$A$1009,"&lt;="&amp;A586,$A$10:$A$1009,"&gt;="&amp;(A586-$C$6)))</f>
        <v/>
      </c>
      <c r="P586" s="18">
        <f>IF(OR(N586="",N586=0),"",M586/N586-1)</f>
        <v/>
      </c>
      <c r="Q586">
        <f>IF(D586="","",IF(COUNTIFS($B$10:$B$1009,B586,$C$10:$C$1009,C586,$D$10:$D$1009,D586,$E$10:$E$1009,E586)&gt;1,"MÜKERRER?",IF(P586="","",IF(P586&gt;=$C$5,"İNCELE",IF(P586&lt;=-$C$5,"Düşük",""))))</f>
        <v/>
      </c>
      <c r="R586" s="16">
        <f>IF(AND(P586&lt;&gt;"",N(P586)&gt;=$C$5,COUNTIFS($B$10:B586,B586,$C$10:C586,C586,$D$10:D586,D586,$E$10:E586,E586)=1),(M586-N586)*E586*L586,0)</f>
        <v/>
      </c>
      <c r="S586" s="19">
        <f>IF(D586="",0,N(E586)*L586)</f>
        <v/>
      </c>
    </row>
    <row r="587">
      <c r="A587" s="11" t="n"/>
      <c r="B587" s="12" t="n"/>
      <c r="C587" s="12" t="n"/>
      <c r="D587" s="12" t="n"/>
      <c r="E587" s="13" t="n"/>
      <c r="F587" s="12" t="n"/>
      <c r="G587" s="14" t="n"/>
      <c r="H587" s="15" t="n"/>
      <c r="I587" s="16">
        <f>IF(G587="","",G587*(1-N(H587)))</f>
        <v/>
      </c>
      <c r="J587" s="16">
        <f>IF(I587="","",E587*I587)</f>
        <v/>
      </c>
      <c r="K587">
        <f>IF(D587="","",IFERROR(VLOOKUP(D587,'Ürün Eşleştirme'!$A$6:$D$505,2,FALSE),D587))</f>
        <v/>
      </c>
      <c r="L587" s="17">
        <f>IF(D587="","",IFERROR(VLOOKUP(D587,'Ürün Eşleştirme'!$A$6:$D$505,4,FALSE),1))</f>
        <v/>
      </c>
      <c r="M587" s="16">
        <f>IF(I587="","",I587/L587)</f>
        <v/>
      </c>
      <c r="N587" s="16">
        <f>IF(M587="","",IFERROR(AVERAGEIFS($M$10:$M$1009,$K$10:$K$1009,K587,$A$10:$A$1009,"&lt;"&amp;A587,$A$10:$A$1009,"&gt;="&amp;(A587-$C$6)),""))</f>
        <v/>
      </c>
      <c r="O587" s="16">
        <f>IF(M587="","",_xlfn.MINIFS($M$10:$M$1009,$K$10:$K$1009,K587,$A$10:$A$1009,"&lt;="&amp;A587,$A$10:$A$1009,"&gt;="&amp;(A587-$C$6)))</f>
        <v/>
      </c>
      <c r="P587" s="18">
        <f>IF(OR(N587="",N587=0),"",M587/N587-1)</f>
        <v/>
      </c>
      <c r="Q587">
        <f>IF(D587="","",IF(COUNTIFS($B$10:$B$1009,B587,$C$10:$C$1009,C587,$D$10:$D$1009,D587,$E$10:$E$1009,E587)&gt;1,"MÜKERRER?",IF(P587="","",IF(P587&gt;=$C$5,"İNCELE",IF(P587&lt;=-$C$5,"Düşük",""))))</f>
        <v/>
      </c>
      <c r="R587" s="16">
        <f>IF(AND(P587&lt;&gt;"",N(P587)&gt;=$C$5,COUNTIFS($B$10:B587,B587,$C$10:C587,C587,$D$10:D587,D587,$E$10:E587,E587)=1),(M587-N587)*E587*L587,0)</f>
        <v/>
      </c>
      <c r="S587" s="19">
        <f>IF(D587="",0,N(E587)*L587)</f>
        <v/>
      </c>
    </row>
    <row r="588">
      <c r="A588" s="11" t="n"/>
      <c r="B588" s="12" t="n"/>
      <c r="C588" s="12" t="n"/>
      <c r="D588" s="12" t="n"/>
      <c r="E588" s="13" t="n"/>
      <c r="F588" s="12" t="n"/>
      <c r="G588" s="14" t="n"/>
      <c r="H588" s="15" t="n"/>
      <c r="I588" s="16">
        <f>IF(G588="","",G588*(1-N(H588)))</f>
        <v/>
      </c>
      <c r="J588" s="16">
        <f>IF(I588="","",E588*I588)</f>
        <v/>
      </c>
      <c r="K588">
        <f>IF(D588="","",IFERROR(VLOOKUP(D588,'Ürün Eşleştirme'!$A$6:$D$505,2,FALSE),D588))</f>
        <v/>
      </c>
      <c r="L588" s="17">
        <f>IF(D588="","",IFERROR(VLOOKUP(D588,'Ürün Eşleştirme'!$A$6:$D$505,4,FALSE),1))</f>
        <v/>
      </c>
      <c r="M588" s="16">
        <f>IF(I588="","",I588/L588)</f>
        <v/>
      </c>
      <c r="N588" s="16">
        <f>IF(M588="","",IFERROR(AVERAGEIFS($M$10:$M$1009,$K$10:$K$1009,K588,$A$10:$A$1009,"&lt;"&amp;A588,$A$10:$A$1009,"&gt;="&amp;(A588-$C$6)),""))</f>
        <v/>
      </c>
      <c r="O588" s="16">
        <f>IF(M588="","",_xlfn.MINIFS($M$10:$M$1009,$K$10:$K$1009,K588,$A$10:$A$1009,"&lt;="&amp;A588,$A$10:$A$1009,"&gt;="&amp;(A588-$C$6)))</f>
        <v/>
      </c>
      <c r="P588" s="18">
        <f>IF(OR(N588="",N588=0),"",M588/N588-1)</f>
        <v/>
      </c>
      <c r="Q588">
        <f>IF(D588="","",IF(COUNTIFS($B$10:$B$1009,B588,$C$10:$C$1009,C588,$D$10:$D$1009,D588,$E$10:$E$1009,E588)&gt;1,"MÜKERRER?",IF(P588="","",IF(P588&gt;=$C$5,"İNCELE",IF(P588&lt;=-$C$5,"Düşük",""))))</f>
        <v/>
      </c>
      <c r="R588" s="16">
        <f>IF(AND(P588&lt;&gt;"",N(P588)&gt;=$C$5,COUNTIFS($B$10:B588,B588,$C$10:C588,C588,$D$10:D588,D588,$E$10:E588,E588)=1),(M588-N588)*E588*L588,0)</f>
        <v/>
      </c>
      <c r="S588" s="19">
        <f>IF(D588="",0,N(E588)*L588)</f>
        <v/>
      </c>
    </row>
    <row r="589">
      <c r="A589" s="11" t="n"/>
      <c r="B589" s="12" t="n"/>
      <c r="C589" s="12" t="n"/>
      <c r="D589" s="12" t="n"/>
      <c r="E589" s="13" t="n"/>
      <c r="F589" s="12" t="n"/>
      <c r="G589" s="14" t="n"/>
      <c r="H589" s="15" t="n"/>
      <c r="I589" s="16">
        <f>IF(G589="","",G589*(1-N(H589)))</f>
        <v/>
      </c>
      <c r="J589" s="16">
        <f>IF(I589="","",E589*I589)</f>
        <v/>
      </c>
      <c r="K589">
        <f>IF(D589="","",IFERROR(VLOOKUP(D589,'Ürün Eşleştirme'!$A$6:$D$505,2,FALSE),D589))</f>
        <v/>
      </c>
      <c r="L589" s="17">
        <f>IF(D589="","",IFERROR(VLOOKUP(D589,'Ürün Eşleştirme'!$A$6:$D$505,4,FALSE),1))</f>
        <v/>
      </c>
      <c r="M589" s="16">
        <f>IF(I589="","",I589/L589)</f>
        <v/>
      </c>
      <c r="N589" s="16">
        <f>IF(M589="","",IFERROR(AVERAGEIFS($M$10:$M$1009,$K$10:$K$1009,K589,$A$10:$A$1009,"&lt;"&amp;A589,$A$10:$A$1009,"&gt;="&amp;(A589-$C$6)),""))</f>
        <v/>
      </c>
      <c r="O589" s="16">
        <f>IF(M589="","",_xlfn.MINIFS($M$10:$M$1009,$K$10:$K$1009,K589,$A$10:$A$1009,"&lt;="&amp;A589,$A$10:$A$1009,"&gt;="&amp;(A589-$C$6)))</f>
        <v/>
      </c>
      <c r="P589" s="18">
        <f>IF(OR(N589="",N589=0),"",M589/N589-1)</f>
        <v/>
      </c>
      <c r="Q589">
        <f>IF(D589="","",IF(COUNTIFS($B$10:$B$1009,B589,$C$10:$C$1009,C589,$D$10:$D$1009,D589,$E$10:$E$1009,E589)&gt;1,"MÜKERRER?",IF(P589="","",IF(P589&gt;=$C$5,"İNCELE",IF(P589&lt;=-$C$5,"Düşük",""))))</f>
        <v/>
      </c>
      <c r="R589" s="16">
        <f>IF(AND(P589&lt;&gt;"",N(P589)&gt;=$C$5,COUNTIFS($B$10:B589,B589,$C$10:C589,C589,$D$10:D589,D589,$E$10:E589,E589)=1),(M589-N589)*E589*L589,0)</f>
        <v/>
      </c>
      <c r="S589" s="19">
        <f>IF(D589="",0,N(E589)*L589)</f>
        <v/>
      </c>
    </row>
    <row r="590">
      <c r="A590" s="11" t="n"/>
      <c r="B590" s="12" t="n"/>
      <c r="C590" s="12" t="n"/>
      <c r="D590" s="12" t="n"/>
      <c r="E590" s="13" t="n"/>
      <c r="F590" s="12" t="n"/>
      <c r="G590" s="14" t="n"/>
      <c r="H590" s="15" t="n"/>
      <c r="I590" s="16">
        <f>IF(G590="","",G590*(1-N(H590)))</f>
        <v/>
      </c>
      <c r="J590" s="16">
        <f>IF(I590="","",E590*I590)</f>
        <v/>
      </c>
      <c r="K590">
        <f>IF(D590="","",IFERROR(VLOOKUP(D590,'Ürün Eşleştirme'!$A$6:$D$505,2,FALSE),D590))</f>
        <v/>
      </c>
      <c r="L590" s="17">
        <f>IF(D590="","",IFERROR(VLOOKUP(D590,'Ürün Eşleştirme'!$A$6:$D$505,4,FALSE),1))</f>
        <v/>
      </c>
      <c r="M590" s="16">
        <f>IF(I590="","",I590/L590)</f>
        <v/>
      </c>
      <c r="N590" s="16">
        <f>IF(M590="","",IFERROR(AVERAGEIFS($M$10:$M$1009,$K$10:$K$1009,K590,$A$10:$A$1009,"&lt;"&amp;A590,$A$10:$A$1009,"&gt;="&amp;(A590-$C$6)),""))</f>
        <v/>
      </c>
      <c r="O590" s="16">
        <f>IF(M590="","",_xlfn.MINIFS($M$10:$M$1009,$K$10:$K$1009,K590,$A$10:$A$1009,"&lt;="&amp;A590,$A$10:$A$1009,"&gt;="&amp;(A590-$C$6)))</f>
        <v/>
      </c>
      <c r="P590" s="18">
        <f>IF(OR(N590="",N590=0),"",M590/N590-1)</f>
        <v/>
      </c>
      <c r="Q590">
        <f>IF(D590="","",IF(COUNTIFS($B$10:$B$1009,B590,$C$10:$C$1009,C590,$D$10:$D$1009,D590,$E$10:$E$1009,E590)&gt;1,"MÜKERRER?",IF(P590="","",IF(P590&gt;=$C$5,"İNCELE",IF(P590&lt;=-$C$5,"Düşük",""))))</f>
        <v/>
      </c>
      <c r="R590" s="16">
        <f>IF(AND(P590&lt;&gt;"",N(P590)&gt;=$C$5,COUNTIFS($B$10:B590,B590,$C$10:C590,C590,$D$10:D590,D590,$E$10:E590,E590)=1),(M590-N590)*E590*L590,0)</f>
        <v/>
      </c>
      <c r="S590" s="19">
        <f>IF(D590="",0,N(E590)*L590)</f>
        <v/>
      </c>
    </row>
    <row r="591">
      <c r="A591" s="11" t="n"/>
      <c r="B591" s="12" t="n"/>
      <c r="C591" s="12" t="n"/>
      <c r="D591" s="12" t="n"/>
      <c r="E591" s="13" t="n"/>
      <c r="F591" s="12" t="n"/>
      <c r="G591" s="14" t="n"/>
      <c r="H591" s="15" t="n"/>
      <c r="I591" s="16">
        <f>IF(G591="","",G591*(1-N(H591)))</f>
        <v/>
      </c>
      <c r="J591" s="16">
        <f>IF(I591="","",E591*I591)</f>
        <v/>
      </c>
      <c r="K591">
        <f>IF(D591="","",IFERROR(VLOOKUP(D591,'Ürün Eşleştirme'!$A$6:$D$505,2,FALSE),D591))</f>
        <v/>
      </c>
      <c r="L591" s="17">
        <f>IF(D591="","",IFERROR(VLOOKUP(D591,'Ürün Eşleştirme'!$A$6:$D$505,4,FALSE),1))</f>
        <v/>
      </c>
      <c r="M591" s="16">
        <f>IF(I591="","",I591/L591)</f>
        <v/>
      </c>
      <c r="N591" s="16">
        <f>IF(M591="","",IFERROR(AVERAGEIFS($M$10:$M$1009,$K$10:$K$1009,K591,$A$10:$A$1009,"&lt;"&amp;A591,$A$10:$A$1009,"&gt;="&amp;(A591-$C$6)),""))</f>
        <v/>
      </c>
      <c r="O591" s="16">
        <f>IF(M591="","",_xlfn.MINIFS($M$10:$M$1009,$K$10:$K$1009,K591,$A$10:$A$1009,"&lt;="&amp;A591,$A$10:$A$1009,"&gt;="&amp;(A591-$C$6)))</f>
        <v/>
      </c>
      <c r="P591" s="18">
        <f>IF(OR(N591="",N591=0),"",M591/N591-1)</f>
        <v/>
      </c>
      <c r="Q591">
        <f>IF(D591="","",IF(COUNTIFS($B$10:$B$1009,B591,$C$10:$C$1009,C591,$D$10:$D$1009,D591,$E$10:$E$1009,E591)&gt;1,"MÜKERRER?",IF(P591="","",IF(P591&gt;=$C$5,"İNCELE",IF(P591&lt;=-$C$5,"Düşük",""))))</f>
        <v/>
      </c>
      <c r="R591" s="16">
        <f>IF(AND(P591&lt;&gt;"",N(P591)&gt;=$C$5,COUNTIFS($B$10:B591,B591,$C$10:C591,C591,$D$10:D591,D591,$E$10:E591,E591)=1),(M591-N591)*E591*L591,0)</f>
        <v/>
      </c>
      <c r="S591" s="19">
        <f>IF(D591="",0,N(E591)*L591)</f>
        <v/>
      </c>
    </row>
    <row r="592">
      <c r="A592" s="11" t="n"/>
      <c r="B592" s="12" t="n"/>
      <c r="C592" s="12" t="n"/>
      <c r="D592" s="12" t="n"/>
      <c r="E592" s="13" t="n"/>
      <c r="F592" s="12" t="n"/>
      <c r="G592" s="14" t="n"/>
      <c r="H592" s="15" t="n"/>
      <c r="I592" s="16">
        <f>IF(G592="","",G592*(1-N(H592)))</f>
        <v/>
      </c>
      <c r="J592" s="16">
        <f>IF(I592="","",E592*I592)</f>
        <v/>
      </c>
      <c r="K592">
        <f>IF(D592="","",IFERROR(VLOOKUP(D592,'Ürün Eşleştirme'!$A$6:$D$505,2,FALSE),D592))</f>
        <v/>
      </c>
      <c r="L592" s="17">
        <f>IF(D592="","",IFERROR(VLOOKUP(D592,'Ürün Eşleştirme'!$A$6:$D$505,4,FALSE),1))</f>
        <v/>
      </c>
      <c r="M592" s="16">
        <f>IF(I592="","",I592/L592)</f>
        <v/>
      </c>
      <c r="N592" s="16">
        <f>IF(M592="","",IFERROR(AVERAGEIFS($M$10:$M$1009,$K$10:$K$1009,K592,$A$10:$A$1009,"&lt;"&amp;A592,$A$10:$A$1009,"&gt;="&amp;(A592-$C$6)),""))</f>
        <v/>
      </c>
      <c r="O592" s="16">
        <f>IF(M592="","",_xlfn.MINIFS($M$10:$M$1009,$K$10:$K$1009,K592,$A$10:$A$1009,"&lt;="&amp;A592,$A$10:$A$1009,"&gt;="&amp;(A592-$C$6)))</f>
        <v/>
      </c>
      <c r="P592" s="18">
        <f>IF(OR(N592="",N592=0),"",M592/N592-1)</f>
        <v/>
      </c>
      <c r="Q592">
        <f>IF(D592="","",IF(COUNTIFS($B$10:$B$1009,B592,$C$10:$C$1009,C592,$D$10:$D$1009,D592,$E$10:$E$1009,E592)&gt;1,"MÜKERRER?",IF(P592="","",IF(P592&gt;=$C$5,"İNCELE",IF(P592&lt;=-$C$5,"Düşük",""))))</f>
        <v/>
      </c>
      <c r="R592" s="16">
        <f>IF(AND(P592&lt;&gt;"",N(P592)&gt;=$C$5,COUNTIFS($B$10:B592,B592,$C$10:C592,C592,$D$10:D592,D592,$E$10:E592,E592)=1),(M592-N592)*E592*L592,0)</f>
        <v/>
      </c>
      <c r="S592" s="19">
        <f>IF(D592="",0,N(E592)*L592)</f>
        <v/>
      </c>
    </row>
    <row r="593">
      <c r="A593" s="11" t="n"/>
      <c r="B593" s="12" t="n"/>
      <c r="C593" s="12" t="n"/>
      <c r="D593" s="12" t="n"/>
      <c r="E593" s="13" t="n"/>
      <c r="F593" s="12" t="n"/>
      <c r="G593" s="14" t="n"/>
      <c r="H593" s="15" t="n"/>
      <c r="I593" s="16">
        <f>IF(G593="","",G593*(1-N(H593)))</f>
        <v/>
      </c>
      <c r="J593" s="16">
        <f>IF(I593="","",E593*I593)</f>
        <v/>
      </c>
      <c r="K593">
        <f>IF(D593="","",IFERROR(VLOOKUP(D593,'Ürün Eşleştirme'!$A$6:$D$505,2,FALSE),D593))</f>
        <v/>
      </c>
      <c r="L593" s="17">
        <f>IF(D593="","",IFERROR(VLOOKUP(D593,'Ürün Eşleştirme'!$A$6:$D$505,4,FALSE),1))</f>
        <v/>
      </c>
      <c r="M593" s="16">
        <f>IF(I593="","",I593/L593)</f>
        <v/>
      </c>
      <c r="N593" s="16">
        <f>IF(M593="","",IFERROR(AVERAGEIFS($M$10:$M$1009,$K$10:$K$1009,K593,$A$10:$A$1009,"&lt;"&amp;A593,$A$10:$A$1009,"&gt;="&amp;(A593-$C$6)),""))</f>
        <v/>
      </c>
      <c r="O593" s="16">
        <f>IF(M593="","",_xlfn.MINIFS($M$10:$M$1009,$K$10:$K$1009,K593,$A$10:$A$1009,"&lt;="&amp;A593,$A$10:$A$1009,"&gt;="&amp;(A593-$C$6)))</f>
        <v/>
      </c>
      <c r="P593" s="18">
        <f>IF(OR(N593="",N593=0),"",M593/N593-1)</f>
        <v/>
      </c>
      <c r="Q593">
        <f>IF(D593="","",IF(COUNTIFS($B$10:$B$1009,B593,$C$10:$C$1009,C593,$D$10:$D$1009,D593,$E$10:$E$1009,E593)&gt;1,"MÜKERRER?",IF(P593="","",IF(P593&gt;=$C$5,"İNCELE",IF(P593&lt;=-$C$5,"Düşük",""))))</f>
        <v/>
      </c>
      <c r="R593" s="16">
        <f>IF(AND(P593&lt;&gt;"",N(P593)&gt;=$C$5,COUNTIFS($B$10:B593,B593,$C$10:C593,C593,$D$10:D593,D593,$E$10:E593,E593)=1),(M593-N593)*E593*L593,0)</f>
        <v/>
      </c>
      <c r="S593" s="19">
        <f>IF(D593="",0,N(E593)*L593)</f>
        <v/>
      </c>
    </row>
    <row r="594">
      <c r="A594" s="11" t="n"/>
      <c r="B594" s="12" t="n"/>
      <c r="C594" s="12" t="n"/>
      <c r="D594" s="12" t="n"/>
      <c r="E594" s="13" t="n"/>
      <c r="F594" s="12" t="n"/>
      <c r="G594" s="14" t="n"/>
      <c r="H594" s="15" t="n"/>
      <c r="I594" s="16">
        <f>IF(G594="","",G594*(1-N(H594)))</f>
        <v/>
      </c>
      <c r="J594" s="16">
        <f>IF(I594="","",E594*I594)</f>
        <v/>
      </c>
      <c r="K594">
        <f>IF(D594="","",IFERROR(VLOOKUP(D594,'Ürün Eşleştirme'!$A$6:$D$505,2,FALSE),D594))</f>
        <v/>
      </c>
      <c r="L594" s="17">
        <f>IF(D594="","",IFERROR(VLOOKUP(D594,'Ürün Eşleştirme'!$A$6:$D$505,4,FALSE),1))</f>
        <v/>
      </c>
      <c r="M594" s="16">
        <f>IF(I594="","",I594/L594)</f>
        <v/>
      </c>
      <c r="N594" s="16">
        <f>IF(M594="","",IFERROR(AVERAGEIFS($M$10:$M$1009,$K$10:$K$1009,K594,$A$10:$A$1009,"&lt;"&amp;A594,$A$10:$A$1009,"&gt;="&amp;(A594-$C$6)),""))</f>
        <v/>
      </c>
      <c r="O594" s="16">
        <f>IF(M594="","",_xlfn.MINIFS($M$10:$M$1009,$K$10:$K$1009,K594,$A$10:$A$1009,"&lt;="&amp;A594,$A$10:$A$1009,"&gt;="&amp;(A594-$C$6)))</f>
        <v/>
      </c>
      <c r="P594" s="18">
        <f>IF(OR(N594="",N594=0),"",M594/N594-1)</f>
        <v/>
      </c>
      <c r="Q594">
        <f>IF(D594="","",IF(COUNTIFS($B$10:$B$1009,B594,$C$10:$C$1009,C594,$D$10:$D$1009,D594,$E$10:$E$1009,E594)&gt;1,"MÜKERRER?",IF(P594="","",IF(P594&gt;=$C$5,"İNCELE",IF(P594&lt;=-$C$5,"Düşük",""))))</f>
        <v/>
      </c>
      <c r="R594" s="16">
        <f>IF(AND(P594&lt;&gt;"",N(P594)&gt;=$C$5,COUNTIFS($B$10:B594,B594,$C$10:C594,C594,$D$10:D594,D594,$E$10:E594,E594)=1),(M594-N594)*E594*L594,0)</f>
        <v/>
      </c>
      <c r="S594" s="19">
        <f>IF(D594="",0,N(E594)*L594)</f>
        <v/>
      </c>
    </row>
    <row r="595">
      <c r="A595" s="11" t="n"/>
      <c r="B595" s="12" t="n"/>
      <c r="C595" s="12" t="n"/>
      <c r="D595" s="12" t="n"/>
      <c r="E595" s="13" t="n"/>
      <c r="F595" s="12" t="n"/>
      <c r="G595" s="14" t="n"/>
      <c r="H595" s="15" t="n"/>
      <c r="I595" s="16">
        <f>IF(G595="","",G595*(1-N(H595)))</f>
        <v/>
      </c>
      <c r="J595" s="16">
        <f>IF(I595="","",E595*I595)</f>
        <v/>
      </c>
      <c r="K595">
        <f>IF(D595="","",IFERROR(VLOOKUP(D595,'Ürün Eşleştirme'!$A$6:$D$505,2,FALSE),D595))</f>
        <v/>
      </c>
      <c r="L595" s="17">
        <f>IF(D595="","",IFERROR(VLOOKUP(D595,'Ürün Eşleştirme'!$A$6:$D$505,4,FALSE),1))</f>
        <v/>
      </c>
      <c r="M595" s="16">
        <f>IF(I595="","",I595/L595)</f>
        <v/>
      </c>
      <c r="N595" s="16">
        <f>IF(M595="","",IFERROR(AVERAGEIFS($M$10:$M$1009,$K$10:$K$1009,K595,$A$10:$A$1009,"&lt;"&amp;A595,$A$10:$A$1009,"&gt;="&amp;(A595-$C$6)),""))</f>
        <v/>
      </c>
      <c r="O595" s="16">
        <f>IF(M595="","",_xlfn.MINIFS($M$10:$M$1009,$K$10:$K$1009,K595,$A$10:$A$1009,"&lt;="&amp;A595,$A$10:$A$1009,"&gt;="&amp;(A595-$C$6)))</f>
        <v/>
      </c>
      <c r="P595" s="18">
        <f>IF(OR(N595="",N595=0),"",M595/N595-1)</f>
        <v/>
      </c>
      <c r="Q595">
        <f>IF(D595="","",IF(COUNTIFS($B$10:$B$1009,B595,$C$10:$C$1009,C595,$D$10:$D$1009,D595,$E$10:$E$1009,E595)&gt;1,"MÜKERRER?",IF(P595="","",IF(P595&gt;=$C$5,"İNCELE",IF(P595&lt;=-$C$5,"Düşük",""))))</f>
        <v/>
      </c>
      <c r="R595" s="16">
        <f>IF(AND(P595&lt;&gt;"",N(P595)&gt;=$C$5,COUNTIFS($B$10:B595,B595,$C$10:C595,C595,$D$10:D595,D595,$E$10:E595,E595)=1),(M595-N595)*E595*L595,0)</f>
        <v/>
      </c>
      <c r="S595" s="19">
        <f>IF(D595="",0,N(E595)*L595)</f>
        <v/>
      </c>
    </row>
    <row r="596">
      <c r="A596" s="11" t="n"/>
      <c r="B596" s="12" t="n"/>
      <c r="C596" s="12" t="n"/>
      <c r="D596" s="12" t="n"/>
      <c r="E596" s="13" t="n"/>
      <c r="F596" s="12" t="n"/>
      <c r="G596" s="14" t="n"/>
      <c r="H596" s="15" t="n"/>
      <c r="I596" s="16">
        <f>IF(G596="","",G596*(1-N(H596)))</f>
        <v/>
      </c>
      <c r="J596" s="16">
        <f>IF(I596="","",E596*I596)</f>
        <v/>
      </c>
      <c r="K596">
        <f>IF(D596="","",IFERROR(VLOOKUP(D596,'Ürün Eşleştirme'!$A$6:$D$505,2,FALSE),D596))</f>
        <v/>
      </c>
      <c r="L596" s="17">
        <f>IF(D596="","",IFERROR(VLOOKUP(D596,'Ürün Eşleştirme'!$A$6:$D$505,4,FALSE),1))</f>
        <v/>
      </c>
      <c r="M596" s="16">
        <f>IF(I596="","",I596/L596)</f>
        <v/>
      </c>
      <c r="N596" s="16">
        <f>IF(M596="","",IFERROR(AVERAGEIFS($M$10:$M$1009,$K$10:$K$1009,K596,$A$10:$A$1009,"&lt;"&amp;A596,$A$10:$A$1009,"&gt;="&amp;(A596-$C$6)),""))</f>
        <v/>
      </c>
      <c r="O596" s="16">
        <f>IF(M596="","",_xlfn.MINIFS($M$10:$M$1009,$K$10:$K$1009,K596,$A$10:$A$1009,"&lt;="&amp;A596,$A$10:$A$1009,"&gt;="&amp;(A596-$C$6)))</f>
        <v/>
      </c>
      <c r="P596" s="18">
        <f>IF(OR(N596="",N596=0),"",M596/N596-1)</f>
        <v/>
      </c>
      <c r="Q596">
        <f>IF(D596="","",IF(COUNTIFS($B$10:$B$1009,B596,$C$10:$C$1009,C596,$D$10:$D$1009,D596,$E$10:$E$1009,E596)&gt;1,"MÜKERRER?",IF(P596="","",IF(P596&gt;=$C$5,"İNCELE",IF(P596&lt;=-$C$5,"Düşük",""))))</f>
        <v/>
      </c>
      <c r="R596" s="16">
        <f>IF(AND(P596&lt;&gt;"",N(P596)&gt;=$C$5,COUNTIFS($B$10:B596,B596,$C$10:C596,C596,$D$10:D596,D596,$E$10:E596,E596)=1),(M596-N596)*E596*L596,0)</f>
        <v/>
      </c>
      <c r="S596" s="19">
        <f>IF(D596="",0,N(E596)*L596)</f>
        <v/>
      </c>
    </row>
    <row r="597">
      <c r="A597" s="11" t="n"/>
      <c r="B597" s="12" t="n"/>
      <c r="C597" s="12" t="n"/>
      <c r="D597" s="12" t="n"/>
      <c r="E597" s="13" t="n"/>
      <c r="F597" s="12" t="n"/>
      <c r="G597" s="14" t="n"/>
      <c r="H597" s="15" t="n"/>
      <c r="I597" s="16">
        <f>IF(G597="","",G597*(1-N(H597)))</f>
        <v/>
      </c>
      <c r="J597" s="16">
        <f>IF(I597="","",E597*I597)</f>
        <v/>
      </c>
      <c r="K597">
        <f>IF(D597="","",IFERROR(VLOOKUP(D597,'Ürün Eşleştirme'!$A$6:$D$505,2,FALSE),D597))</f>
        <v/>
      </c>
      <c r="L597" s="17">
        <f>IF(D597="","",IFERROR(VLOOKUP(D597,'Ürün Eşleştirme'!$A$6:$D$505,4,FALSE),1))</f>
        <v/>
      </c>
      <c r="M597" s="16">
        <f>IF(I597="","",I597/L597)</f>
        <v/>
      </c>
      <c r="N597" s="16">
        <f>IF(M597="","",IFERROR(AVERAGEIFS($M$10:$M$1009,$K$10:$K$1009,K597,$A$10:$A$1009,"&lt;"&amp;A597,$A$10:$A$1009,"&gt;="&amp;(A597-$C$6)),""))</f>
        <v/>
      </c>
      <c r="O597" s="16">
        <f>IF(M597="","",_xlfn.MINIFS($M$10:$M$1009,$K$10:$K$1009,K597,$A$10:$A$1009,"&lt;="&amp;A597,$A$10:$A$1009,"&gt;="&amp;(A597-$C$6)))</f>
        <v/>
      </c>
      <c r="P597" s="18">
        <f>IF(OR(N597="",N597=0),"",M597/N597-1)</f>
        <v/>
      </c>
      <c r="Q597">
        <f>IF(D597="","",IF(COUNTIFS($B$10:$B$1009,B597,$C$10:$C$1009,C597,$D$10:$D$1009,D597,$E$10:$E$1009,E597)&gt;1,"MÜKERRER?",IF(P597="","",IF(P597&gt;=$C$5,"İNCELE",IF(P597&lt;=-$C$5,"Düşük",""))))</f>
        <v/>
      </c>
      <c r="R597" s="16">
        <f>IF(AND(P597&lt;&gt;"",N(P597)&gt;=$C$5,COUNTIFS($B$10:B597,B597,$C$10:C597,C597,$D$10:D597,D597,$E$10:E597,E597)=1),(M597-N597)*E597*L597,0)</f>
        <v/>
      </c>
      <c r="S597" s="19">
        <f>IF(D597="",0,N(E597)*L597)</f>
        <v/>
      </c>
    </row>
    <row r="598">
      <c r="A598" s="11" t="n"/>
      <c r="B598" s="12" t="n"/>
      <c r="C598" s="12" t="n"/>
      <c r="D598" s="12" t="n"/>
      <c r="E598" s="13" t="n"/>
      <c r="F598" s="12" t="n"/>
      <c r="G598" s="14" t="n"/>
      <c r="H598" s="15" t="n"/>
      <c r="I598" s="16">
        <f>IF(G598="","",G598*(1-N(H598)))</f>
        <v/>
      </c>
      <c r="J598" s="16">
        <f>IF(I598="","",E598*I598)</f>
        <v/>
      </c>
      <c r="K598">
        <f>IF(D598="","",IFERROR(VLOOKUP(D598,'Ürün Eşleştirme'!$A$6:$D$505,2,FALSE),D598))</f>
        <v/>
      </c>
      <c r="L598" s="17">
        <f>IF(D598="","",IFERROR(VLOOKUP(D598,'Ürün Eşleştirme'!$A$6:$D$505,4,FALSE),1))</f>
        <v/>
      </c>
      <c r="M598" s="16">
        <f>IF(I598="","",I598/L598)</f>
        <v/>
      </c>
      <c r="N598" s="16">
        <f>IF(M598="","",IFERROR(AVERAGEIFS($M$10:$M$1009,$K$10:$K$1009,K598,$A$10:$A$1009,"&lt;"&amp;A598,$A$10:$A$1009,"&gt;="&amp;(A598-$C$6)),""))</f>
        <v/>
      </c>
      <c r="O598" s="16">
        <f>IF(M598="","",_xlfn.MINIFS($M$10:$M$1009,$K$10:$K$1009,K598,$A$10:$A$1009,"&lt;="&amp;A598,$A$10:$A$1009,"&gt;="&amp;(A598-$C$6)))</f>
        <v/>
      </c>
      <c r="P598" s="18">
        <f>IF(OR(N598="",N598=0),"",M598/N598-1)</f>
        <v/>
      </c>
      <c r="Q598">
        <f>IF(D598="","",IF(COUNTIFS($B$10:$B$1009,B598,$C$10:$C$1009,C598,$D$10:$D$1009,D598,$E$10:$E$1009,E598)&gt;1,"MÜKERRER?",IF(P598="","",IF(P598&gt;=$C$5,"İNCELE",IF(P598&lt;=-$C$5,"Düşük",""))))</f>
        <v/>
      </c>
      <c r="R598" s="16">
        <f>IF(AND(P598&lt;&gt;"",N(P598)&gt;=$C$5,COUNTIFS($B$10:B598,B598,$C$10:C598,C598,$D$10:D598,D598,$E$10:E598,E598)=1),(M598-N598)*E598*L598,0)</f>
        <v/>
      </c>
      <c r="S598" s="19">
        <f>IF(D598="",0,N(E598)*L598)</f>
        <v/>
      </c>
    </row>
    <row r="599">
      <c r="A599" s="11" t="n"/>
      <c r="B599" s="12" t="n"/>
      <c r="C599" s="12" t="n"/>
      <c r="D599" s="12" t="n"/>
      <c r="E599" s="13" t="n"/>
      <c r="F599" s="12" t="n"/>
      <c r="G599" s="14" t="n"/>
      <c r="H599" s="15" t="n"/>
      <c r="I599" s="16">
        <f>IF(G599="","",G599*(1-N(H599)))</f>
        <v/>
      </c>
      <c r="J599" s="16">
        <f>IF(I599="","",E599*I599)</f>
        <v/>
      </c>
      <c r="K599">
        <f>IF(D599="","",IFERROR(VLOOKUP(D599,'Ürün Eşleştirme'!$A$6:$D$505,2,FALSE),D599))</f>
        <v/>
      </c>
      <c r="L599" s="17">
        <f>IF(D599="","",IFERROR(VLOOKUP(D599,'Ürün Eşleştirme'!$A$6:$D$505,4,FALSE),1))</f>
        <v/>
      </c>
      <c r="M599" s="16">
        <f>IF(I599="","",I599/L599)</f>
        <v/>
      </c>
      <c r="N599" s="16">
        <f>IF(M599="","",IFERROR(AVERAGEIFS($M$10:$M$1009,$K$10:$K$1009,K599,$A$10:$A$1009,"&lt;"&amp;A599,$A$10:$A$1009,"&gt;="&amp;(A599-$C$6)),""))</f>
        <v/>
      </c>
      <c r="O599" s="16">
        <f>IF(M599="","",_xlfn.MINIFS($M$10:$M$1009,$K$10:$K$1009,K599,$A$10:$A$1009,"&lt;="&amp;A599,$A$10:$A$1009,"&gt;="&amp;(A599-$C$6)))</f>
        <v/>
      </c>
      <c r="P599" s="18">
        <f>IF(OR(N599="",N599=0),"",M599/N599-1)</f>
        <v/>
      </c>
      <c r="Q599">
        <f>IF(D599="","",IF(COUNTIFS($B$10:$B$1009,B599,$C$10:$C$1009,C599,$D$10:$D$1009,D599,$E$10:$E$1009,E599)&gt;1,"MÜKERRER?",IF(P599="","",IF(P599&gt;=$C$5,"İNCELE",IF(P599&lt;=-$C$5,"Düşük",""))))</f>
        <v/>
      </c>
      <c r="R599" s="16">
        <f>IF(AND(P599&lt;&gt;"",N(P599)&gt;=$C$5,COUNTIFS($B$10:B599,B599,$C$10:C599,C599,$D$10:D599,D599,$E$10:E599,E599)=1),(M599-N599)*E599*L599,0)</f>
        <v/>
      </c>
      <c r="S599" s="19">
        <f>IF(D599="",0,N(E599)*L599)</f>
        <v/>
      </c>
    </row>
    <row r="600">
      <c r="A600" s="11" t="n"/>
      <c r="B600" s="12" t="n"/>
      <c r="C600" s="12" t="n"/>
      <c r="D600" s="12" t="n"/>
      <c r="E600" s="13" t="n"/>
      <c r="F600" s="12" t="n"/>
      <c r="G600" s="14" t="n"/>
      <c r="H600" s="15" t="n"/>
      <c r="I600" s="16">
        <f>IF(G600="","",G600*(1-N(H600)))</f>
        <v/>
      </c>
      <c r="J600" s="16">
        <f>IF(I600="","",E600*I600)</f>
        <v/>
      </c>
      <c r="K600">
        <f>IF(D600="","",IFERROR(VLOOKUP(D600,'Ürün Eşleştirme'!$A$6:$D$505,2,FALSE),D600))</f>
        <v/>
      </c>
      <c r="L600" s="17">
        <f>IF(D600="","",IFERROR(VLOOKUP(D600,'Ürün Eşleştirme'!$A$6:$D$505,4,FALSE),1))</f>
        <v/>
      </c>
      <c r="M600" s="16">
        <f>IF(I600="","",I600/L600)</f>
        <v/>
      </c>
      <c r="N600" s="16">
        <f>IF(M600="","",IFERROR(AVERAGEIFS($M$10:$M$1009,$K$10:$K$1009,K600,$A$10:$A$1009,"&lt;"&amp;A600,$A$10:$A$1009,"&gt;="&amp;(A600-$C$6)),""))</f>
        <v/>
      </c>
      <c r="O600" s="16">
        <f>IF(M600="","",_xlfn.MINIFS($M$10:$M$1009,$K$10:$K$1009,K600,$A$10:$A$1009,"&lt;="&amp;A600,$A$10:$A$1009,"&gt;="&amp;(A600-$C$6)))</f>
        <v/>
      </c>
      <c r="P600" s="18">
        <f>IF(OR(N600="",N600=0),"",M600/N600-1)</f>
        <v/>
      </c>
      <c r="Q600">
        <f>IF(D600="","",IF(COUNTIFS($B$10:$B$1009,B600,$C$10:$C$1009,C600,$D$10:$D$1009,D600,$E$10:$E$1009,E600)&gt;1,"MÜKERRER?",IF(P600="","",IF(P600&gt;=$C$5,"İNCELE",IF(P600&lt;=-$C$5,"Düşük",""))))</f>
        <v/>
      </c>
      <c r="R600" s="16">
        <f>IF(AND(P600&lt;&gt;"",N(P600)&gt;=$C$5,COUNTIFS($B$10:B600,B600,$C$10:C600,C600,$D$10:D600,D600,$E$10:E600,E600)=1),(M600-N600)*E600*L600,0)</f>
        <v/>
      </c>
      <c r="S600" s="19">
        <f>IF(D600="",0,N(E600)*L600)</f>
        <v/>
      </c>
    </row>
    <row r="601">
      <c r="A601" s="11" t="n"/>
      <c r="B601" s="12" t="n"/>
      <c r="C601" s="12" t="n"/>
      <c r="D601" s="12" t="n"/>
      <c r="E601" s="13" t="n"/>
      <c r="F601" s="12" t="n"/>
      <c r="G601" s="14" t="n"/>
      <c r="H601" s="15" t="n"/>
      <c r="I601" s="16">
        <f>IF(G601="","",G601*(1-N(H601)))</f>
        <v/>
      </c>
      <c r="J601" s="16">
        <f>IF(I601="","",E601*I601)</f>
        <v/>
      </c>
      <c r="K601">
        <f>IF(D601="","",IFERROR(VLOOKUP(D601,'Ürün Eşleştirme'!$A$6:$D$505,2,FALSE),D601))</f>
        <v/>
      </c>
      <c r="L601" s="17">
        <f>IF(D601="","",IFERROR(VLOOKUP(D601,'Ürün Eşleştirme'!$A$6:$D$505,4,FALSE),1))</f>
        <v/>
      </c>
      <c r="M601" s="16">
        <f>IF(I601="","",I601/L601)</f>
        <v/>
      </c>
      <c r="N601" s="16">
        <f>IF(M601="","",IFERROR(AVERAGEIFS($M$10:$M$1009,$K$10:$K$1009,K601,$A$10:$A$1009,"&lt;"&amp;A601,$A$10:$A$1009,"&gt;="&amp;(A601-$C$6)),""))</f>
        <v/>
      </c>
      <c r="O601" s="16">
        <f>IF(M601="","",_xlfn.MINIFS($M$10:$M$1009,$K$10:$K$1009,K601,$A$10:$A$1009,"&lt;="&amp;A601,$A$10:$A$1009,"&gt;="&amp;(A601-$C$6)))</f>
        <v/>
      </c>
      <c r="P601" s="18">
        <f>IF(OR(N601="",N601=0),"",M601/N601-1)</f>
        <v/>
      </c>
      <c r="Q601">
        <f>IF(D601="","",IF(COUNTIFS($B$10:$B$1009,B601,$C$10:$C$1009,C601,$D$10:$D$1009,D601,$E$10:$E$1009,E601)&gt;1,"MÜKERRER?",IF(P601="","",IF(P601&gt;=$C$5,"İNCELE",IF(P601&lt;=-$C$5,"Düşük",""))))</f>
        <v/>
      </c>
      <c r="R601" s="16">
        <f>IF(AND(P601&lt;&gt;"",N(P601)&gt;=$C$5,COUNTIFS($B$10:B601,B601,$C$10:C601,C601,$D$10:D601,D601,$E$10:E601,E601)=1),(M601-N601)*E601*L601,0)</f>
        <v/>
      </c>
      <c r="S601" s="19">
        <f>IF(D601="",0,N(E601)*L601)</f>
        <v/>
      </c>
    </row>
    <row r="602">
      <c r="A602" s="11" t="n"/>
      <c r="B602" s="12" t="n"/>
      <c r="C602" s="12" t="n"/>
      <c r="D602" s="12" t="n"/>
      <c r="E602" s="13" t="n"/>
      <c r="F602" s="12" t="n"/>
      <c r="G602" s="14" t="n"/>
      <c r="H602" s="15" t="n"/>
      <c r="I602" s="16">
        <f>IF(G602="","",G602*(1-N(H602)))</f>
        <v/>
      </c>
      <c r="J602" s="16">
        <f>IF(I602="","",E602*I602)</f>
        <v/>
      </c>
      <c r="K602">
        <f>IF(D602="","",IFERROR(VLOOKUP(D602,'Ürün Eşleştirme'!$A$6:$D$505,2,FALSE),D602))</f>
        <v/>
      </c>
      <c r="L602" s="17">
        <f>IF(D602="","",IFERROR(VLOOKUP(D602,'Ürün Eşleştirme'!$A$6:$D$505,4,FALSE),1))</f>
        <v/>
      </c>
      <c r="M602" s="16">
        <f>IF(I602="","",I602/L602)</f>
        <v/>
      </c>
      <c r="N602" s="16">
        <f>IF(M602="","",IFERROR(AVERAGEIFS($M$10:$M$1009,$K$10:$K$1009,K602,$A$10:$A$1009,"&lt;"&amp;A602,$A$10:$A$1009,"&gt;="&amp;(A602-$C$6)),""))</f>
        <v/>
      </c>
      <c r="O602" s="16">
        <f>IF(M602="","",_xlfn.MINIFS($M$10:$M$1009,$K$10:$K$1009,K602,$A$10:$A$1009,"&lt;="&amp;A602,$A$10:$A$1009,"&gt;="&amp;(A602-$C$6)))</f>
        <v/>
      </c>
      <c r="P602" s="18">
        <f>IF(OR(N602="",N602=0),"",M602/N602-1)</f>
        <v/>
      </c>
      <c r="Q602">
        <f>IF(D602="","",IF(COUNTIFS($B$10:$B$1009,B602,$C$10:$C$1009,C602,$D$10:$D$1009,D602,$E$10:$E$1009,E602)&gt;1,"MÜKERRER?",IF(P602="","",IF(P602&gt;=$C$5,"İNCELE",IF(P602&lt;=-$C$5,"Düşük",""))))</f>
        <v/>
      </c>
      <c r="R602" s="16">
        <f>IF(AND(P602&lt;&gt;"",N(P602)&gt;=$C$5,COUNTIFS($B$10:B602,B602,$C$10:C602,C602,$D$10:D602,D602,$E$10:E602,E602)=1),(M602-N602)*E602*L602,0)</f>
        <v/>
      </c>
      <c r="S602" s="19">
        <f>IF(D602="",0,N(E602)*L602)</f>
        <v/>
      </c>
    </row>
    <row r="603">
      <c r="A603" s="11" t="n"/>
      <c r="B603" s="12" t="n"/>
      <c r="C603" s="12" t="n"/>
      <c r="D603" s="12" t="n"/>
      <c r="E603" s="13" t="n"/>
      <c r="F603" s="12" t="n"/>
      <c r="G603" s="14" t="n"/>
      <c r="H603" s="15" t="n"/>
      <c r="I603" s="16">
        <f>IF(G603="","",G603*(1-N(H603)))</f>
        <v/>
      </c>
      <c r="J603" s="16">
        <f>IF(I603="","",E603*I603)</f>
        <v/>
      </c>
      <c r="K603">
        <f>IF(D603="","",IFERROR(VLOOKUP(D603,'Ürün Eşleştirme'!$A$6:$D$505,2,FALSE),D603))</f>
        <v/>
      </c>
      <c r="L603" s="17">
        <f>IF(D603="","",IFERROR(VLOOKUP(D603,'Ürün Eşleştirme'!$A$6:$D$505,4,FALSE),1))</f>
        <v/>
      </c>
      <c r="M603" s="16">
        <f>IF(I603="","",I603/L603)</f>
        <v/>
      </c>
      <c r="N603" s="16">
        <f>IF(M603="","",IFERROR(AVERAGEIFS($M$10:$M$1009,$K$10:$K$1009,K603,$A$10:$A$1009,"&lt;"&amp;A603,$A$10:$A$1009,"&gt;="&amp;(A603-$C$6)),""))</f>
        <v/>
      </c>
      <c r="O603" s="16">
        <f>IF(M603="","",_xlfn.MINIFS($M$10:$M$1009,$K$10:$K$1009,K603,$A$10:$A$1009,"&lt;="&amp;A603,$A$10:$A$1009,"&gt;="&amp;(A603-$C$6)))</f>
        <v/>
      </c>
      <c r="P603" s="18">
        <f>IF(OR(N603="",N603=0),"",M603/N603-1)</f>
        <v/>
      </c>
      <c r="Q603">
        <f>IF(D603="","",IF(COUNTIFS($B$10:$B$1009,B603,$C$10:$C$1009,C603,$D$10:$D$1009,D603,$E$10:$E$1009,E603)&gt;1,"MÜKERRER?",IF(P603="","",IF(P603&gt;=$C$5,"İNCELE",IF(P603&lt;=-$C$5,"Düşük",""))))</f>
        <v/>
      </c>
      <c r="R603" s="16">
        <f>IF(AND(P603&lt;&gt;"",N(P603)&gt;=$C$5,COUNTIFS($B$10:B603,B603,$C$10:C603,C603,$D$10:D603,D603,$E$10:E603,E603)=1),(M603-N603)*E603*L603,0)</f>
        <v/>
      </c>
      <c r="S603" s="19">
        <f>IF(D603="",0,N(E603)*L603)</f>
        <v/>
      </c>
    </row>
    <row r="604">
      <c r="A604" s="11" t="n"/>
      <c r="B604" s="12" t="n"/>
      <c r="C604" s="12" t="n"/>
      <c r="D604" s="12" t="n"/>
      <c r="E604" s="13" t="n"/>
      <c r="F604" s="12" t="n"/>
      <c r="G604" s="14" t="n"/>
      <c r="H604" s="15" t="n"/>
      <c r="I604" s="16">
        <f>IF(G604="","",G604*(1-N(H604)))</f>
        <v/>
      </c>
      <c r="J604" s="16">
        <f>IF(I604="","",E604*I604)</f>
        <v/>
      </c>
      <c r="K604">
        <f>IF(D604="","",IFERROR(VLOOKUP(D604,'Ürün Eşleştirme'!$A$6:$D$505,2,FALSE),D604))</f>
        <v/>
      </c>
      <c r="L604" s="17">
        <f>IF(D604="","",IFERROR(VLOOKUP(D604,'Ürün Eşleştirme'!$A$6:$D$505,4,FALSE),1))</f>
        <v/>
      </c>
      <c r="M604" s="16">
        <f>IF(I604="","",I604/L604)</f>
        <v/>
      </c>
      <c r="N604" s="16">
        <f>IF(M604="","",IFERROR(AVERAGEIFS($M$10:$M$1009,$K$10:$K$1009,K604,$A$10:$A$1009,"&lt;"&amp;A604,$A$10:$A$1009,"&gt;="&amp;(A604-$C$6)),""))</f>
        <v/>
      </c>
      <c r="O604" s="16">
        <f>IF(M604="","",_xlfn.MINIFS($M$10:$M$1009,$K$10:$K$1009,K604,$A$10:$A$1009,"&lt;="&amp;A604,$A$10:$A$1009,"&gt;="&amp;(A604-$C$6)))</f>
        <v/>
      </c>
      <c r="P604" s="18">
        <f>IF(OR(N604="",N604=0),"",M604/N604-1)</f>
        <v/>
      </c>
      <c r="Q604">
        <f>IF(D604="","",IF(COUNTIFS($B$10:$B$1009,B604,$C$10:$C$1009,C604,$D$10:$D$1009,D604,$E$10:$E$1009,E604)&gt;1,"MÜKERRER?",IF(P604="","",IF(P604&gt;=$C$5,"İNCELE",IF(P604&lt;=-$C$5,"Düşük",""))))</f>
        <v/>
      </c>
      <c r="R604" s="16">
        <f>IF(AND(P604&lt;&gt;"",N(P604)&gt;=$C$5,COUNTIFS($B$10:B604,B604,$C$10:C604,C604,$D$10:D604,D604,$E$10:E604,E604)=1),(M604-N604)*E604*L604,0)</f>
        <v/>
      </c>
      <c r="S604" s="19">
        <f>IF(D604="",0,N(E604)*L604)</f>
        <v/>
      </c>
    </row>
    <row r="605">
      <c r="A605" s="11" t="n"/>
      <c r="B605" s="12" t="n"/>
      <c r="C605" s="12" t="n"/>
      <c r="D605" s="12" t="n"/>
      <c r="E605" s="13" t="n"/>
      <c r="F605" s="12" t="n"/>
      <c r="G605" s="14" t="n"/>
      <c r="H605" s="15" t="n"/>
      <c r="I605" s="16">
        <f>IF(G605="","",G605*(1-N(H605)))</f>
        <v/>
      </c>
      <c r="J605" s="16">
        <f>IF(I605="","",E605*I605)</f>
        <v/>
      </c>
      <c r="K605">
        <f>IF(D605="","",IFERROR(VLOOKUP(D605,'Ürün Eşleştirme'!$A$6:$D$505,2,FALSE),D605))</f>
        <v/>
      </c>
      <c r="L605" s="17">
        <f>IF(D605="","",IFERROR(VLOOKUP(D605,'Ürün Eşleştirme'!$A$6:$D$505,4,FALSE),1))</f>
        <v/>
      </c>
      <c r="M605" s="16">
        <f>IF(I605="","",I605/L605)</f>
        <v/>
      </c>
      <c r="N605" s="16">
        <f>IF(M605="","",IFERROR(AVERAGEIFS($M$10:$M$1009,$K$10:$K$1009,K605,$A$10:$A$1009,"&lt;"&amp;A605,$A$10:$A$1009,"&gt;="&amp;(A605-$C$6)),""))</f>
        <v/>
      </c>
      <c r="O605" s="16">
        <f>IF(M605="","",_xlfn.MINIFS($M$10:$M$1009,$K$10:$K$1009,K605,$A$10:$A$1009,"&lt;="&amp;A605,$A$10:$A$1009,"&gt;="&amp;(A605-$C$6)))</f>
        <v/>
      </c>
      <c r="P605" s="18">
        <f>IF(OR(N605="",N605=0),"",M605/N605-1)</f>
        <v/>
      </c>
      <c r="Q605">
        <f>IF(D605="","",IF(COUNTIFS($B$10:$B$1009,B605,$C$10:$C$1009,C605,$D$10:$D$1009,D605,$E$10:$E$1009,E605)&gt;1,"MÜKERRER?",IF(P605="","",IF(P605&gt;=$C$5,"İNCELE",IF(P605&lt;=-$C$5,"Düşük",""))))</f>
        <v/>
      </c>
      <c r="R605" s="16">
        <f>IF(AND(P605&lt;&gt;"",N(P605)&gt;=$C$5,COUNTIFS($B$10:B605,B605,$C$10:C605,C605,$D$10:D605,D605,$E$10:E605,E605)=1),(M605-N605)*E605*L605,0)</f>
        <v/>
      </c>
      <c r="S605" s="19">
        <f>IF(D605="",0,N(E605)*L605)</f>
        <v/>
      </c>
    </row>
    <row r="606">
      <c r="A606" s="11" t="n"/>
      <c r="B606" s="12" t="n"/>
      <c r="C606" s="12" t="n"/>
      <c r="D606" s="12" t="n"/>
      <c r="E606" s="13" t="n"/>
      <c r="F606" s="12" t="n"/>
      <c r="G606" s="14" t="n"/>
      <c r="H606" s="15" t="n"/>
      <c r="I606" s="16">
        <f>IF(G606="","",G606*(1-N(H606)))</f>
        <v/>
      </c>
      <c r="J606" s="16">
        <f>IF(I606="","",E606*I606)</f>
        <v/>
      </c>
      <c r="K606">
        <f>IF(D606="","",IFERROR(VLOOKUP(D606,'Ürün Eşleştirme'!$A$6:$D$505,2,FALSE),D606))</f>
        <v/>
      </c>
      <c r="L606" s="17">
        <f>IF(D606="","",IFERROR(VLOOKUP(D606,'Ürün Eşleştirme'!$A$6:$D$505,4,FALSE),1))</f>
        <v/>
      </c>
      <c r="M606" s="16">
        <f>IF(I606="","",I606/L606)</f>
        <v/>
      </c>
      <c r="N606" s="16">
        <f>IF(M606="","",IFERROR(AVERAGEIFS($M$10:$M$1009,$K$10:$K$1009,K606,$A$10:$A$1009,"&lt;"&amp;A606,$A$10:$A$1009,"&gt;="&amp;(A606-$C$6)),""))</f>
        <v/>
      </c>
      <c r="O606" s="16">
        <f>IF(M606="","",_xlfn.MINIFS($M$10:$M$1009,$K$10:$K$1009,K606,$A$10:$A$1009,"&lt;="&amp;A606,$A$10:$A$1009,"&gt;="&amp;(A606-$C$6)))</f>
        <v/>
      </c>
      <c r="P606" s="18">
        <f>IF(OR(N606="",N606=0),"",M606/N606-1)</f>
        <v/>
      </c>
      <c r="Q606">
        <f>IF(D606="","",IF(COUNTIFS($B$10:$B$1009,B606,$C$10:$C$1009,C606,$D$10:$D$1009,D606,$E$10:$E$1009,E606)&gt;1,"MÜKERRER?",IF(P606="","",IF(P606&gt;=$C$5,"İNCELE",IF(P606&lt;=-$C$5,"Düşük",""))))</f>
        <v/>
      </c>
      <c r="R606" s="16">
        <f>IF(AND(P606&lt;&gt;"",N(P606)&gt;=$C$5,COUNTIFS($B$10:B606,B606,$C$10:C606,C606,$D$10:D606,D606,$E$10:E606,E606)=1),(M606-N606)*E606*L606,0)</f>
        <v/>
      </c>
      <c r="S606" s="19">
        <f>IF(D606="",0,N(E606)*L606)</f>
        <v/>
      </c>
    </row>
    <row r="607">
      <c r="A607" s="11" t="n"/>
      <c r="B607" s="12" t="n"/>
      <c r="C607" s="12" t="n"/>
      <c r="D607" s="12" t="n"/>
      <c r="E607" s="13" t="n"/>
      <c r="F607" s="12" t="n"/>
      <c r="G607" s="14" t="n"/>
      <c r="H607" s="15" t="n"/>
      <c r="I607" s="16">
        <f>IF(G607="","",G607*(1-N(H607)))</f>
        <v/>
      </c>
      <c r="J607" s="16">
        <f>IF(I607="","",E607*I607)</f>
        <v/>
      </c>
      <c r="K607">
        <f>IF(D607="","",IFERROR(VLOOKUP(D607,'Ürün Eşleştirme'!$A$6:$D$505,2,FALSE),D607))</f>
        <v/>
      </c>
      <c r="L607" s="17">
        <f>IF(D607="","",IFERROR(VLOOKUP(D607,'Ürün Eşleştirme'!$A$6:$D$505,4,FALSE),1))</f>
        <v/>
      </c>
      <c r="M607" s="16">
        <f>IF(I607="","",I607/L607)</f>
        <v/>
      </c>
      <c r="N607" s="16">
        <f>IF(M607="","",IFERROR(AVERAGEIFS($M$10:$M$1009,$K$10:$K$1009,K607,$A$10:$A$1009,"&lt;"&amp;A607,$A$10:$A$1009,"&gt;="&amp;(A607-$C$6)),""))</f>
        <v/>
      </c>
      <c r="O607" s="16">
        <f>IF(M607="","",_xlfn.MINIFS($M$10:$M$1009,$K$10:$K$1009,K607,$A$10:$A$1009,"&lt;="&amp;A607,$A$10:$A$1009,"&gt;="&amp;(A607-$C$6)))</f>
        <v/>
      </c>
      <c r="P607" s="18">
        <f>IF(OR(N607="",N607=0),"",M607/N607-1)</f>
        <v/>
      </c>
      <c r="Q607">
        <f>IF(D607="","",IF(COUNTIFS($B$10:$B$1009,B607,$C$10:$C$1009,C607,$D$10:$D$1009,D607,$E$10:$E$1009,E607)&gt;1,"MÜKERRER?",IF(P607="","",IF(P607&gt;=$C$5,"İNCELE",IF(P607&lt;=-$C$5,"Düşük",""))))</f>
        <v/>
      </c>
      <c r="R607" s="16">
        <f>IF(AND(P607&lt;&gt;"",N(P607)&gt;=$C$5,COUNTIFS($B$10:B607,B607,$C$10:C607,C607,$D$10:D607,D607,$E$10:E607,E607)=1),(M607-N607)*E607*L607,0)</f>
        <v/>
      </c>
      <c r="S607" s="19">
        <f>IF(D607="",0,N(E607)*L607)</f>
        <v/>
      </c>
    </row>
    <row r="608">
      <c r="A608" s="11" t="n"/>
      <c r="B608" s="12" t="n"/>
      <c r="C608" s="12" t="n"/>
      <c r="D608" s="12" t="n"/>
      <c r="E608" s="13" t="n"/>
      <c r="F608" s="12" t="n"/>
      <c r="G608" s="14" t="n"/>
      <c r="H608" s="15" t="n"/>
      <c r="I608" s="16">
        <f>IF(G608="","",G608*(1-N(H608)))</f>
        <v/>
      </c>
      <c r="J608" s="16">
        <f>IF(I608="","",E608*I608)</f>
        <v/>
      </c>
      <c r="K608">
        <f>IF(D608="","",IFERROR(VLOOKUP(D608,'Ürün Eşleştirme'!$A$6:$D$505,2,FALSE),D608))</f>
        <v/>
      </c>
      <c r="L608" s="17">
        <f>IF(D608="","",IFERROR(VLOOKUP(D608,'Ürün Eşleştirme'!$A$6:$D$505,4,FALSE),1))</f>
        <v/>
      </c>
      <c r="M608" s="16">
        <f>IF(I608="","",I608/L608)</f>
        <v/>
      </c>
      <c r="N608" s="16">
        <f>IF(M608="","",IFERROR(AVERAGEIFS($M$10:$M$1009,$K$10:$K$1009,K608,$A$10:$A$1009,"&lt;"&amp;A608,$A$10:$A$1009,"&gt;="&amp;(A608-$C$6)),""))</f>
        <v/>
      </c>
      <c r="O608" s="16">
        <f>IF(M608="","",_xlfn.MINIFS($M$10:$M$1009,$K$10:$K$1009,K608,$A$10:$A$1009,"&lt;="&amp;A608,$A$10:$A$1009,"&gt;="&amp;(A608-$C$6)))</f>
        <v/>
      </c>
      <c r="P608" s="18">
        <f>IF(OR(N608="",N608=0),"",M608/N608-1)</f>
        <v/>
      </c>
      <c r="Q608">
        <f>IF(D608="","",IF(COUNTIFS($B$10:$B$1009,B608,$C$10:$C$1009,C608,$D$10:$D$1009,D608,$E$10:$E$1009,E608)&gt;1,"MÜKERRER?",IF(P608="","",IF(P608&gt;=$C$5,"İNCELE",IF(P608&lt;=-$C$5,"Düşük",""))))</f>
        <v/>
      </c>
      <c r="R608" s="16">
        <f>IF(AND(P608&lt;&gt;"",N(P608)&gt;=$C$5,COUNTIFS($B$10:B608,B608,$C$10:C608,C608,$D$10:D608,D608,$E$10:E608,E608)=1),(M608-N608)*E608*L608,0)</f>
        <v/>
      </c>
      <c r="S608" s="19">
        <f>IF(D608="",0,N(E608)*L608)</f>
        <v/>
      </c>
    </row>
    <row r="609">
      <c r="A609" s="11" t="n"/>
      <c r="B609" s="12" t="n"/>
      <c r="C609" s="12" t="n"/>
      <c r="D609" s="12" t="n"/>
      <c r="E609" s="13" t="n"/>
      <c r="F609" s="12" t="n"/>
      <c r="G609" s="14" t="n"/>
      <c r="H609" s="15" t="n"/>
      <c r="I609" s="16">
        <f>IF(G609="","",G609*(1-N(H609)))</f>
        <v/>
      </c>
      <c r="J609" s="16">
        <f>IF(I609="","",E609*I609)</f>
        <v/>
      </c>
      <c r="K609">
        <f>IF(D609="","",IFERROR(VLOOKUP(D609,'Ürün Eşleştirme'!$A$6:$D$505,2,FALSE),D609))</f>
        <v/>
      </c>
      <c r="L609" s="17">
        <f>IF(D609="","",IFERROR(VLOOKUP(D609,'Ürün Eşleştirme'!$A$6:$D$505,4,FALSE),1))</f>
        <v/>
      </c>
      <c r="M609" s="16">
        <f>IF(I609="","",I609/L609)</f>
        <v/>
      </c>
      <c r="N609" s="16">
        <f>IF(M609="","",IFERROR(AVERAGEIFS($M$10:$M$1009,$K$10:$K$1009,K609,$A$10:$A$1009,"&lt;"&amp;A609,$A$10:$A$1009,"&gt;="&amp;(A609-$C$6)),""))</f>
        <v/>
      </c>
      <c r="O609" s="16">
        <f>IF(M609="","",_xlfn.MINIFS($M$10:$M$1009,$K$10:$K$1009,K609,$A$10:$A$1009,"&lt;="&amp;A609,$A$10:$A$1009,"&gt;="&amp;(A609-$C$6)))</f>
        <v/>
      </c>
      <c r="P609" s="18">
        <f>IF(OR(N609="",N609=0),"",M609/N609-1)</f>
        <v/>
      </c>
      <c r="Q609">
        <f>IF(D609="","",IF(COUNTIFS($B$10:$B$1009,B609,$C$10:$C$1009,C609,$D$10:$D$1009,D609,$E$10:$E$1009,E609)&gt;1,"MÜKERRER?",IF(P609="","",IF(P609&gt;=$C$5,"İNCELE",IF(P609&lt;=-$C$5,"Düşük",""))))</f>
        <v/>
      </c>
      <c r="R609" s="16">
        <f>IF(AND(P609&lt;&gt;"",N(P609)&gt;=$C$5,COUNTIFS($B$10:B609,B609,$C$10:C609,C609,$D$10:D609,D609,$E$10:E609,E609)=1),(M609-N609)*E609*L609,0)</f>
        <v/>
      </c>
      <c r="S609" s="19">
        <f>IF(D609="",0,N(E609)*L609)</f>
        <v/>
      </c>
    </row>
    <row r="610">
      <c r="A610" s="11" t="n"/>
      <c r="B610" s="12" t="n"/>
      <c r="C610" s="12" t="n"/>
      <c r="D610" s="12" t="n"/>
      <c r="E610" s="13" t="n"/>
      <c r="F610" s="12" t="n"/>
      <c r="G610" s="14" t="n"/>
      <c r="H610" s="15" t="n"/>
      <c r="I610" s="16">
        <f>IF(G610="","",G610*(1-N(H610)))</f>
        <v/>
      </c>
      <c r="J610" s="16">
        <f>IF(I610="","",E610*I610)</f>
        <v/>
      </c>
      <c r="K610">
        <f>IF(D610="","",IFERROR(VLOOKUP(D610,'Ürün Eşleştirme'!$A$6:$D$505,2,FALSE),D610))</f>
        <v/>
      </c>
      <c r="L610" s="17">
        <f>IF(D610="","",IFERROR(VLOOKUP(D610,'Ürün Eşleştirme'!$A$6:$D$505,4,FALSE),1))</f>
        <v/>
      </c>
      <c r="M610" s="16">
        <f>IF(I610="","",I610/L610)</f>
        <v/>
      </c>
      <c r="N610" s="16">
        <f>IF(M610="","",IFERROR(AVERAGEIFS($M$10:$M$1009,$K$10:$K$1009,K610,$A$10:$A$1009,"&lt;"&amp;A610,$A$10:$A$1009,"&gt;="&amp;(A610-$C$6)),""))</f>
        <v/>
      </c>
      <c r="O610" s="16">
        <f>IF(M610="","",_xlfn.MINIFS($M$10:$M$1009,$K$10:$K$1009,K610,$A$10:$A$1009,"&lt;="&amp;A610,$A$10:$A$1009,"&gt;="&amp;(A610-$C$6)))</f>
        <v/>
      </c>
      <c r="P610" s="18">
        <f>IF(OR(N610="",N610=0),"",M610/N610-1)</f>
        <v/>
      </c>
      <c r="Q610">
        <f>IF(D610="","",IF(COUNTIFS($B$10:$B$1009,B610,$C$10:$C$1009,C610,$D$10:$D$1009,D610,$E$10:$E$1009,E610)&gt;1,"MÜKERRER?",IF(P610="","",IF(P610&gt;=$C$5,"İNCELE",IF(P610&lt;=-$C$5,"Düşük",""))))</f>
        <v/>
      </c>
      <c r="R610" s="16">
        <f>IF(AND(P610&lt;&gt;"",N(P610)&gt;=$C$5,COUNTIFS($B$10:B610,B610,$C$10:C610,C610,$D$10:D610,D610,$E$10:E610,E610)=1),(M610-N610)*E610*L610,0)</f>
        <v/>
      </c>
      <c r="S610" s="19">
        <f>IF(D610="",0,N(E610)*L610)</f>
        <v/>
      </c>
    </row>
    <row r="611">
      <c r="A611" s="11" t="n"/>
      <c r="B611" s="12" t="n"/>
      <c r="C611" s="12" t="n"/>
      <c r="D611" s="12" t="n"/>
      <c r="E611" s="13" t="n"/>
      <c r="F611" s="12" t="n"/>
      <c r="G611" s="14" t="n"/>
      <c r="H611" s="15" t="n"/>
      <c r="I611" s="16">
        <f>IF(G611="","",G611*(1-N(H611)))</f>
        <v/>
      </c>
      <c r="J611" s="16">
        <f>IF(I611="","",E611*I611)</f>
        <v/>
      </c>
      <c r="K611">
        <f>IF(D611="","",IFERROR(VLOOKUP(D611,'Ürün Eşleştirme'!$A$6:$D$505,2,FALSE),D611))</f>
        <v/>
      </c>
      <c r="L611" s="17">
        <f>IF(D611="","",IFERROR(VLOOKUP(D611,'Ürün Eşleştirme'!$A$6:$D$505,4,FALSE),1))</f>
        <v/>
      </c>
      <c r="M611" s="16">
        <f>IF(I611="","",I611/L611)</f>
        <v/>
      </c>
      <c r="N611" s="16">
        <f>IF(M611="","",IFERROR(AVERAGEIFS($M$10:$M$1009,$K$10:$K$1009,K611,$A$10:$A$1009,"&lt;"&amp;A611,$A$10:$A$1009,"&gt;="&amp;(A611-$C$6)),""))</f>
        <v/>
      </c>
      <c r="O611" s="16">
        <f>IF(M611="","",_xlfn.MINIFS($M$10:$M$1009,$K$10:$K$1009,K611,$A$10:$A$1009,"&lt;="&amp;A611,$A$10:$A$1009,"&gt;="&amp;(A611-$C$6)))</f>
        <v/>
      </c>
      <c r="P611" s="18">
        <f>IF(OR(N611="",N611=0),"",M611/N611-1)</f>
        <v/>
      </c>
      <c r="Q611">
        <f>IF(D611="","",IF(COUNTIFS($B$10:$B$1009,B611,$C$10:$C$1009,C611,$D$10:$D$1009,D611,$E$10:$E$1009,E611)&gt;1,"MÜKERRER?",IF(P611="","",IF(P611&gt;=$C$5,"İNCELE",IF(P611&lt;=-$C$5,"Düşük",""))))</f>
        <v/>
      </c>
      <c r="R611" s="16">
        <f>IF(AND(P611&lt;&gt;"",N(P611)&gt;=$C$5,COUNTIFS($B$10:B611,B611,$C$10:C611,C611,$D$10:D611,D611,$E$10:E611,E611)=1),(M611-N611)*E611*L611,0)</f>
        <v/>
      </c>
      <c r="S611" s="19">
        <f>IF(D611="",0,N(E611)*L611)</f>
        <v/>
      </c>
    </row>
    <row r="612">
      <c r="A612" s="11" t="n"/>
      <c r="B612" s="12" t="n"/>
      <c r="C612" s="12" t="n"/>
      <c r="D612" s="12" t="n"/>
      <c r="E612" s="13" t="n"/>
      <c r="F612" s="12" t="n"/>
      <c r="G612" s="14" t="n"/>
      <c r="H612" s="15" t="n"/>
      <c r="I612" s="16">
        <f>IF(G612="","",G612*(1-N(H612)))</f>
        <v/>
      </c>
      <c r="J612" s="16">
        <f>IF(I612="","",E612*I612)</f>
        <v/>
      </c>
      <c r="K612">
        <f>IF(D612="","",IFERROR(VLOOKUP(D612,'Ürün Eşleştirme'!$A$6:$D$505,2,FALSE),D612))</f>
        <v/>
      </c>
      <c r="L612" s="17">
        <f>IF(D612="","",IFERROR(VLOOKUP(D612,'Ürün Eşleştirme'!$A$6:$D$505,4,FALSE),1))</f>
        <v/>
      </c>
      <c r="M612" s="16">
        <f>IF(I612="","",I612/L612)</f>
        <v/>
      </c>
      <c r="N612" s="16">
        <f>IF(M612="","",IFERROR(AVERAGEIFS($M$10:$M$1009,$K$10:$K$1009,K612,$A$10:$A$1009,"&lt;"&amp;A612,$A$10:$A$1009,"&gt;="&amp;(A612-$C$6)),""))</f>
        <v/>
      </c>
      <c r="O612" s="16">
        <f>IF(M612="","",_xlfn.MINIFS($M$10:$M$1009,$K$10:$K$1009,K612,$A$10:$A$1009,"&lt;="&amp;A612,$A$10:$A$1009,"&gt;="&amp;(A612-$C$6)))</f>
        <v/>
      </c>
      <c r="P612" s="18">
        <f>IF(OR(N612="",N612=0),"",M612/N612-1)</f>
        <v/>
      </c>
      <c r="Q612">
        <f>IF(D612="","",IF(COUNTIFS($B$10:$B$1009,B612,$C$10:$C$1009,C612,$D$10:$D$1009,D612,$E$10:$E$1009,E612)&gt;1,"MÜKERRER?",IF(P612="","",IF(P612&gt;=$C$5,"İNCELE",IF(P612&lt;=-$C$5,"Düşük",""))))</f>
        <v/>
      </c>
      <c r="R612" s="16">
        <f>IF(AND(P612&lt;&gt;"",N(P612)&gt;=$C$5,COUNTIFS($B$10:B612,B612,$C$10:C612,C612,$D$10:D612,D612,$E$10:E612,E612)=1),(M612-N612)*E612*L612,0)</f>
        <v/>
      </c>
      <c r="S612" s="19">
        <f>IF(D612="",0,N(E612)*L612)</f>
        <v/>
      </c>
    </row>
    <row r="613">
      <c r="A613" s="11" t="n"/>
      <c r="B613" s="12" t="n"/>
      <c r="C613" s="12" t="n"/>
      <c r="D613" s="12" t="n"/>
      <c r="E613" s="13" t="n"/>
      <c r="F613" s="12" t="n"/>
      <c r="G613" s="14" t="n"/>
      <c r="H613" s="15" t="n"/>
      <c r="I613" s="16">
        <f>IF(G613="","",G613*(1-N(H613)))</f>
        <v/>
      </c>
      <c r="J613" s="16">
        <f>IF(I613="","",E613*I613)</f>
        <v/>
      </c>
      <c r="K613">
        <f>IF(D613="","",IFERROR(VLOOKUP(D613,'Ürün Eşleştirme'!$A$6:$D$505,2,FALSE),D613))</f>
        <v/>
      </c>
      <c r="L613" s="17">
        <f>IF(D613="","",IFERROR(VLOOKUP(D613,'Ürün Eşleştirme'!$A$6:$D$505,4,FALSE),1))</f>
        <v/>
      </c>
      <c r="M613" s="16">
        <f>IF(I613="","",I613/L613)</f>
        <v/>
      </c>
      <c r="N613" s="16">
        <f>IF(M613="","",IFERROR(AVERAGEIFS($M$10:$M$1009,$K$10:$K$1009,K613,$A$10:$A$1009,"&lt;"&amp;A613,$A$10:$A$1009,"&gt;="&amp;(A613-$C$6)),""))</f>
        <v/>
      </c>
      <c r="O613" s="16">
        <f>IF(M613="","",_xlfn.MINIFS($M$10:$M$1009,$K$10:$K$1009,K613,$A$10:$A$1009,"&lt;="&amp;A613,$A$10:$A$1009,"&gt;="&amp;(A613-$C$6)))</f>
        <v/>
      </c>
      <c r="P613" s="18">
        <f>IF(OR(N613="",N613=0),"",M613/N613-1)</f>
        <v/>
      </c>
      <c r="Q613">
        <f>IF(D613="","",IF(COUNTIFS($B$10:$B$1009,B613,$C$10:$C$1009,C613,$D$10:$D$1009,D613,$E$10:$E$1009,E613)&gt;1,"MÜKERRER?",IF(P613="","",IF(P613&gt;=$C$5,"İNCELE",IF(P613&lt;=-$C$5,"Düşük",""))))</f>
        <v/>
      </c>
      <c r="R613" s="16">
        <f>IF(AND(P613&lt;&gt;"",N(P613)&gt;=$C$5,COUNTIFS($B$10:B613,B613,$C$10:C613,C613,$D$10:D613,D613,$E$10:E613,E613)=1),(M613-N613)*E613*L613,0)</f>
        <v/>
      </c>
      <c r="S613" s="19">
        <f>IF(D613="",0,N(E613)*L613)</f>
        <v/>
      </c>
    </row>
    <row r="614">
      <c r="A614" s="11" t="n"/>
      <c r="B614" s="12" t="n"/>
      <c r="C614" s="12" t="n"/>
      <c r="D614" s="12" t="n"/>
      <c r="E614" s="13" t="n"/>
      <c r="F614" s="12" t="n"/>
      <c r="G614" s="14" t="n"/>
      <c r="H614" s="15" t="n"/>
      <c r="I614" s="16">
        <f>IF(G614="","",G614*(1-N(H614)))</f>
        <v/>
      </c>
      <c r="J614" s="16">
        <f>IF(I614="","",E614*I614)</f>
        <v/>
      </c>
      <c r="K614">
        <f>IF(D614="","",IFERROR(VLOOKUP(D614,'Ürün Eşleştirme'!$A$6:$D$505,2,FALSE),D614))</f>
        <v/>
      </c>
      <c r="L614" s="17">
        <f>IF(D614="","",IFERROR(VLOOKUP(D614,'Ürün Eşleştirme'!$A$6:$D$505,4,FALSE),1))</f>
        <v/>
      </c>
      <c r="M614" s="16">
        <f>IF(I614="","",I614/L614)</f>
        <v/>
      </c>
      <c r="N614" s="16">
        <f>IF(M614="","",IFERROR(AVERAGEIFS($M$10:$M$1009,$K$10:$K$1009,K614,$A$10:$A$1009,"&lt;"&amp;A614,$A$10:$A$1009,"&gt;="&amp;(A614-$C$6)),""))</f>
        <v/>
      </c>
      <c r="O614" s="16">
        <f>IF(M614="","",_xlfn.MINIFS($M$10:$M$1009,$K$10:$K$1009,K614,$A$10:$A$1009,"&lt;="&amp;A614,$A$10:$A$1009,"&gt;="&amp;(A614-$C$6)))</f>
        <v/>
      </c>
      <c r="P614" s="18">
        <f>IF(OR(N614="",N614=0),"",M614/N614-1)</f>
        <v/>
      </c>
      <c r="Q614">
        <f>IF(D614="","",IF(COUNTIFS($B$10:$B$1009,B614,$C$10:$C$1009,C614,$D$10:$D$1009,D614,$E$10:$E$1009,E614)&gt;1,"MÜKERRER?",IF(P614="","",IF(P614&gt;=$C$5,"İNCELE",IF(P614&lt;=-$C$5,"Düşük",""))))</f>
        <v/>
      </c>
      <c r="R614" s="16">
        <f>IF(AND(P614&lt;&gt;"",N(P614)&gt;=$C$5,COUNTIFS($B$10:B614,B614,$C$10:C614,C614,$D$10:D614,D614,$E$10:E614,E614)=1),(M614-N614)*E614*L614,0)</f>
        <v/>
      </c>
      <c r="S614" s="19">
        <f>IF(D614="",0,N(E614)*L614)</f>
        <v/>
      </c>
    </row>
    <row r="615">
      <c r="A615" s="11" t="n"/>
      <c r="B615" s="12" t="n"/>
      <c r="C615" s="12" t="n"/>
      <c r="D615" s="12" t="n"/>
      <c r="E615" s="13" t="n"/>
      <c r="F615" s="12" t="n"/>
      <c r="G615" s="14" t="n"/>
      <c r="H615" s="15" t="n"/>
      <c r="I615" s="16">
        <f>IF(G615="","",G615*(1-N(H615)))</f>
        <v/>
      </c>
      <c r="J615" s="16">
        <f>IF(I615="","",E615*I615)</f>
        <v/>
      </c>
      <c r="K615">
        <f>IF(D615="","",IFERROR(VLOOKUP(D615,'Ürün Eşleştirme'!$A$6:$D$505,2,FALSE),D615))</f>
        <v/>
      </c>
      <c r="L615" s="17">
        <f>IF(D615="","",IFERROR(VLOOKUP(D615,'Ürün Eşleştirme'!$A$6:$D$505,4,FALSE),1))</f>
        <v/>
      </c>
      <c r="M615" s="16">
        <f>IF(I615="","",I615/L615)</f>
        <v/>
      </c>
      <c r="N615" s="16">
        <f>IF(M615="","",IFERROR(AVERAGEIFS($M$10:$M$1009,$K$10:$K$1009,K615,$A$10:$A$1009,"&lt;"&amp;A615,$A$10:$A$1009,"&gt;="&amp;(A615-$C$6)),""))</f>
        <v/>
      </c>
      <c r="O615" s="16">
        <f>IF(M615="","",_xlfn.MINIFS($M$10:$M$1009,$K$10:$K$1009,K615,$A$10:$A$1009,"&lt;="&amp;A615,$A$10:$A$1009,"&gt;="&amp;(A615-$C$6)))</f>
        <v/>
      </c>
      <c r="P615" s="18">
        <f>IF(OR(N615="",N615=0),"",M615/N615-1)</f>
        <v/>
      </c>
      <c r="Q615">
        <f>IF(D615="","",IF(COUNTIFS($B$10:$B$1009,B615,$C$10:$C$1009,C615,$D$10:$D$1009,D615,$E$10:$E$1009,E615)&gt;1,"MÜKERRER?",IF(P615="","",IF(P615&gt;=$C$5,"İNCELE",IF(P615&lt;=-$C$5,"Düşük",""))))</f>
        <v/>
      </c>
      <c r="R615" s="16">
        <f>IF(AND(P615&lt;&gt;"",N(P615)&gt;=$C$5,COUNTIFS($B$10:B615,B615,$C$10:C615,C615,$D$10:D615,D615,$E$10:E615,E615)=1),(M615-N615)*E615*L615,0)</f>
        <v/>
      </c>
      <c r="S615" s="19">
        <f>IF(D615="",0,N(E615)*L615)</f>
        <v/>
      </c>
    </row>
    <row r="616">
      <c r="A616" s="11" t="n"/>
      <c r="B616" s="12" t="n"/>
      <c r="C616" s="12" t="n"/>
      <c r="D616" s="12" t="n"/>
      <c r="E616" s="13" t="n"/>
      <c r="F616" s="12" t="n"/>
      <c r="G616" s="14" t="n"/>
      <c r="H616" s="15" t="n"/>
      <c r="I616" s="16">
        <f>IF(G616="","",G616*(1-N(H616)))</f>
        <v/>
      </c>
      <c r="J616" s="16">
        <f>IF(I616="","",E616*I616)</f>
        <v/>
      </c>
      <c r="K616">
        <f>IF(D616="","",IFERROR(VLOOKUP(D616,'Ürün Eşleştirme'!$A$6:$D$505,2,FALSE),D616))</f>
        <v/>
      </c>
      <c r="L616" s="17">
        <f>IF(D616="","",IFERROR(VLOOKUP(D616,'Ürün Eşleştirme'!$A$6:$D$505,4,FALSE),1))</f>
        <v/>
      </c>
      <c r="M616" s="16">
        <f>IF(I616="","",I616/L616)</f>
        <v/>
      </c>
      <c r="N616" s="16">
        <f>IF(M616="","",IFERROR(AVERAGEIFS($M$10:$M$1009,$K$10:$K$1009,K616,$A$10:$A$1009,"&lt;"&amp;A616,$A$10:$A$1009,"&gt;="&amp;(A616-$C$6)),""))</f>
        <v/>
      </c>
      <c r="O616" s="16">
        <f>IF(M616="","",_xlfn.MINIFS($M$10:$M$1009,$K$10:$K$1009,K616,$A$10:$A$1009,"&lt;="&amp;A616,$A$10:$A$1009,"&gt;="&amp;(A616-$C$6)))</f>
        <v/>
      </c>
      <c r="P616" s="18">
        <f>IF(OR(N616="",N616=0),"",M616/N616-1)</f>
        <v/>
      </c>
      <c r="Q616">
        <f>IF(D616="","",IF(COUNTIFS($B$10:$B$1009,B616,$C$10:$C$1009,C616,$D$10:$D$1009,D616,$E$10:$E$1009,E616)&gt;1,"MÜKERRER?",IF(P616="","",IF(P616&gt;=$C$5,"İNCELE",IF(P616&lt;=-$C$5,"Düşük",""))))</f>
        <v/>
      </c>
      <c r="R616" s="16">
        <f>IF(AND(P616&lt;&gt;"",N(P616)&gt;=$C$5,COUNTIFS($B$10:B616,B616,$C$10:C616,C616,$D$10:D616,D616,$E$10:E616,E616)=1),(M616-N616)*E616*L616,0)</f>
        <v/>
      </c>
      <c r="S616" s="19">
        <f>IF(D616="",0,N(E616)*L616)</f>
        <v/>
      </c>
    </row>
    <row r="617">
      <c r="A617" s="11" t="n"/>
      <c r="B617" s="12" t="n"/>
      <c r="C617" s="12" t="n"/>
      <c r="D617" s="12" t="n"/>
      <c r="E617" s="13" t="n"/>
      <c r="F617" s="12" t="n"/>
      <c r="G617" s="14" t="n"/>
      <c r="H617" s="15" t="n"/>
      <c r="I617" s="16">
        <f>IF(G617="","",G617*(1-N(H617)))</f>
        <v/>
      </c>
      <c r="J617" s="16">
        <f>IF(I617="","",E617*I617)</f>
        <v/>
      </c>
      <c r="K617">
        <f>IF(D617="","",IFERROR(VLOOKUP(D617,'Ürün Eşleştirme'!$A$6:$D$505,2,FALSE),D617))</f>
        <v/>
      </c>
      <c r="L617" s="17">
        <f>IF(D617="","",IFERROR(VLOOKUP(D617,'Ürün Eşleştirme'!$A$6:$D$505,4,FALSE),1))</f>
        <v/>
      </c>
      <c r="M617" s="16">
        <f>IF(I617="","",I617/L617)</f>
        <v/>
      </c>
      <c r="N617" s="16">
        <f>IF(M617="","",IFERROR(AVERAGEIFS($M$10:$M$1009,$K$10:$K$1009,K617,$A$10:$A$1009,"&lt;"&amp;A617,$A$10:$A$1009,"&gt;="&amp;(A617-$C$6)),""))</f>
        <v/>
      </c>
      <c r="O617" s="16">
        <f>IF(M617="","",_xlfn.MINIFS($M$10:$M$1009,$K$10:$K$1009,K617,$A$10:$A$1009,"&lt;="&amp;A617,$A$10:$A$1009,"&gt;="&amp;(A617-$C$6)))</f>
        <v/>
      </c>
      <c r="P617" s="18">
        <f>IF(OR(N617="",N617=0),"",M617/N617-1)</f>
        <v/>
      </c>
      <c r="Q617">
        <f>IF(D617="","",IF(COUNTIFS($B$10:$B$1009,B617,$C$10:$C$1009,C617,$D$10:$D$1009,D617,$E$10:$E$1009,E617)&gt;1,"MÜKERRER?",IF(P617="","",IF(P617&gt;=$C$5,"İNCELE",IF(P617&lt;=-$C$5,"Düşük",""))))</f>
        <v/>
      </c>
      <c r="R617" s="16">
        <f>IF(AND(P617&lt;&gt;"",N(P617)&gt;=$C$5,COUNTIFS($B$10:B617,B617,$C$10:C617,C617,$D$10:D617,D617,$E$10:E617,E617)=1),(M617-N617)*E617*L617,0)</f>
        <v/>
      </c>
      <c r="S617" s="19">
        <f>IF(D617="",0,N(E617)*L617)</f>
        <v/>
      </c>
    </row>
    <row r="618">
      <c r="A618" s="11" t="n"/>
      <c r="B618" s="12" t="n"/>
      <c r="C618" s="12" t="n"/>
      <c r="D618" s="12" t="n"/>
      <c r="E618" s="13" t="n"/>
      <c r="F618" s="12" t="n"/>
      <c r="G618" s="14" t="n"/>
      <c r="H618" s="15" t="n"/>
      <c r="I618" s="16">
        <f>IF(G618="","",G618*(1-N(H618)))</f>
        <v/>
      </c>
      <c r="J618" s="16">
        <f>IF(I618="","",E618*I618)</f>
        <v/>
      </c>
      <c r="K618">
        <f>IF(D618="","",IFERROR(VLOOKUP(D618,'Ürün Eşleştirme'!$A$6:$D$505,2,FALSE),D618))</f>
        <v/>
      </c>
      <c r="L618" s="17">
        <f>IF(D618="","",IFERROR(VLOOKUP(D618,'Ürün Eşleştirme'!$A$6:$D$505,4,FALSE),1))</f>
        <v/>
      </c>
      <c r="M618" s="16">
        <f>IF(I618="","",I618/L618)</f>
        <v/>
      </c>
      <c r="N618" s="16">
        <f>IF(M618="","",IFERROR(AVERAGEIFS($M$10:$M$1009,$K$10:$K$1009,K618,$A$10:$A$1009,"&lt;"&amp;A618,$A$10:$A$1009,"&gt;="&amp;(A618-$C$6)),""))</f>
        <v/>
      </c>
      <c r="O618" s="16">
        <f>IF(M618="","",_xlfn.MINIFS($M$10:$M$1009,$K$10:$K$1009,K618,$A$10:$A$1009,"&lt;="&amp;A618,$A$10:$A$1009,"&gt;="&amp;(A618-$C$6)))</f>
        <v/>
      </c>
      <c r="P618" s="18">
        <f>IF(OR(N618="",N618=0),"",M618/N618-1)</f>
        <v/>
      </c>
      <c r="Q618">
        <f>IF(D618="","",IF(COUNTIFS($B$10:$B$1009,B618,$C$10:$C$1009,C618,$D$10:$D$1009,D618,$E$10:$E$1009,E618)&gt;1,"MÜKERRER?",IF(P618="","",IF(P618&gt;=$C$5,"İNCELE",IF(P618&lt;=-$C$5,"Düşük",""))))</f>
        <v/>
      </c>
      <c r="R618" s="16">
        <f>IF(AND(P618&lt;&gt;"",N(P618)&gt;=$C$5,COUNTIFS($B$10:B618,B618,$C$10:C618,C618,$D$10:D618,D618,$E$10:E618,E618)=1),(M618-N618)*E618*L618,0)</f>
        <v/>
      </c>
      <c r="S618" s="19">
        <f>IF(D618="",0,N(E618)*L618)</f>
        <v/>
      </c>
    </row>
    <row r="619">
      <c r="A619" s="11" t="n"/>
      <c r="B619" s="12" t="n"/>
      <c r="C619" s="12" t="n"/>
      <c r="D619" s="12" t="n"/>
      <c r="E619" s="13" t="n"/>
      <c r="F619" s="12" t="n"/>
      <c r="G619" s="14" t="n"/>
      <c r="H619" s="15" t="n"/>
      <c r="I619" s="16">
        <f>IF(G619="","",G619*(1-N(H619)))</f>
        <v/>
      </c>
      <c r="J619" s="16">
        <f>IF(I619="","",E619*I619)</f>
        <v/>
      </c>
      <c r="K619">
        <f>IF(D619="","",IFERROR(VLOOKUP(D619,'Ürün Eşleştirme'!$A$6:$D$505,2,FALSE),D619))</f>
        <v/>
      </c>
      <c r="L619" s="17">
        <f>IF(D619="","",IFERROR(VLOOKUP(D619,'Ürün Eşleştirme'!$A$6:$D$505,4,FALSE),1))</f>
        <v/>
      </c>
      <c r="M619" s="16">
        <f>IF(I619="","",I619/L619)</f>
        <v/>
      </c>
      <c r="N619" s="16">
        <f>IF(M619="","",IFERROR(AVERAGEIFS($M$10:$M$1009,$K$10:$K$1009,K619,$A$10:$A$1009,"&lt;"&amp;A619,$A$10:$A$1009,"&gt;="&amp;(A619-$C$6)),""))</f>
        <v/>
      </c>
      <c r="O619" s="16">
        <f>IF(M619="","",_xlfn.MINIFS($M$10:$M$1009,$K$10:$K$1009,K619,$A$10:$A$1009,"&lt;="&amp;A619,$A$10:$A$1009,"&gt;="&amp;(A619-$C$6)))</f>
        <v/>
      </c>
      <c r="P619" s="18">
        <f>IF(OR(N619="",N619=0),"",M619/N619-1)</f>
        <v/>
      </c>
      <c r="Q619">
        <f>IF(D619="","",IF(COUNTIFS($B$10:$B$1009,B619,$C$10:$C$1009,C619,$D$10:$D$1009,D619,$E$10:$E$1009,E619)&gt;1,"MÜKERRER?",IF(P619="","",IF(P619&gt;=$C$5,"İNCELE",IF(P619&lt;=-$C$5,"Düşük",""))))</f>
        <v/>
      </c>
      <c r="R619" s="16">
        <f>IF(AND(P619&lt;&gt;"",N(P619)&gt;=$C$5,COUNTIFS($B$10:B619,B619,$C$10:C619,C619,$D$10:D619,D619,$E$10:E619,E619)=1),(M619-N619)*E619*L619,0)</f>
        <v/>
      </c>
      <c r="S619" s="19">
        <f>IF(D619="",0,N(E619)*L619)</f>
        <v/>
      </c>
    </row>
    <row r="620">
      <c r="A620" s="11" t="n"/>
      <c r="B620" s="12" t="n"/>
      <c r="C620" s="12" t="n"/>
      <c r="D620" s="12" t="n"/>
      <c r="E620" s="13" t="n"/>
      <c r="F620" s="12" t="n"/>
      <c r="G620" s="14" t="n"/>
      <c r="H620" s="15" t="n"/>
      <c r="I620" s="16">
        <f>IF(G620="","",G620*(1-N(H620)))</f>
        <v/>
      </c>
      <c r="J620" s="16">
        <f>IF(I620="","",E620*I620)</f>
        <v/>
      </c>
      <c r="K620">
        <f>IF(D620="","",IFERROR(VLOOKUP(D620,'Ürün Eşleştirme'!$A$6:$D$505,2,FALSE),D620))</f>
        <v/>
      </c>
      <c r="L620" s="17">
        <f>IF(D620="","",IFERROR(VLOOKUP(D620,'Ürün Eşleştirme'!$A$6:$D$505,4,FALSE),1))</f>
        <v/>
      </c>
      <c r="M620" s="16">
        <f>IF(I620="","",I620/L620)</f>
        <v/>
      </c>
      <c r="N620" s="16">
        <f>IF(M620="","",IFERROR(AVERAGEIFS($M$10:$M$1009,$K$10:$K$1009,K620,$A$10:$A$1009,"&lt;"&amp;A620,$A$10:$A$1009,"&gt;="&amp;(A620-$C$6)),""))</f>
        <v/>
      </c>
      <c r="O620" s="16">
        <f>IF(M620="","",_xlfn.MINIFS($M$10:$M$1009,$K$10:$K$1009,K620,$A$10:$A$1009,"&lt;="&amp;A620,$A$10:$A$1009,"&gt;="&amp;(A620-$C$6)))</f>
        <v/>
      </c>
      <c r="P620" s="18">
        <f>IF(OR(N620="",N620=0),"",M620/N620-1)</f>
        <v/>
      </c>
      <c r="Q620">
        <f>IF(D620="","",IF(COUNTIFS($B$10:$B$1009,B620,$C$10:$C$1009,C620,$D$10:$D$1009,D620,$E$10:$E$1009,E620)&gt;1,"MÜKERRER?",IF(P620="","",IF(P620&gt;=$C$5,"İNCELE",IF(P620&lt;=-$C$5,"Düşük",""))))</f>
        <v/>
      </c>
      <c r="R620" s="16">
        <f>IF(AND(P620&lt;&gt;"",N(P620)&gt;=$C$5,COUNTIFS($B$10:B620,B620,$C$10:C620,C620,$D$10:D620,D620,$E$10:E620,E620)=1),(M620-N620)*E620*L620,0)</f>
        <v/>
      </c>
      <c r="S620" s="19">
        <f>IF(D620="",0,N(E620)*L620)</f>
        <v/>
      </c>
    </row>
    <row r="621">
      <c r="A621" s="11" t="n"/>
      <c r="B621" s="12" t="n"/>
      <c r="C621" s="12" t="n"/>
      <c r="D621" s="12" t="n"/>
      <c r="E621" s="13" t="n"/>
      <c r="F621" s="12" t="n"/>
      <c r="G621" s="14" t="n"/>
      <c r="H621" s="15" t="n"/>
      <c r="I621" s="16">
        <f>IF(G621="","",G621*(1-N(H621)))</f>
        <v/>
      </c>
      <c r="J621" s="16">
        <f>IF(I621="","",E621*I621)</f>
        <v/>
      </c>
      <c r="K621">
        <f>IF(D621="","",IFERROR(VLOOKUP(D621,'Ürün Eşleştirme'!$A$6:$D$505,2,FALSE),D621))</f>
        <v/>
      </c>
      <c r="L621" s="17">
        <f>IF(D621="","",IFERROR(VLOOKUP(D621,'Ürün Eşleştirme'!$A$6:$D$505,4,FALSE),1))</f>
        <v/>
      </c>
      <c r="M621" s="16">
        <f>IF(I621="","",I621/L621)</f>
        <v/>
      </c>
      <c r="N621" s="16">
        <f>IF(M621="","",IFERROR(AVERAGEIFS($M$10:$M$1009,$K$10:$K$1009,K621,$A$10:$A$1009,"&lt;"&amp;A621,$A$10:$A$1009,"&gt;="&amp;(A621-$C$6)),""))</f>
        <v/>
      </c>
      <c r="O621" s="16">
        <f>IF(M621="","",_xlfn.MINIFS($M$10:$M$1009,$K$10:$K$1009,K621,$A$10:$A$1009,"&lt;="&amp;A621,$A$10:$A$1009,"&gt;="&amp;(A621-$C$6)))</f>
        <v/>
      </c>
      <c r="P621" s="18">
        <f>IF(OR(N621="",N621=0),"",M621/N621-1)</f>
        <v/>
      </c>
      <c r="Q621">
        <f>IF(D621="","",IF(COUNTIFS($B$10:$B$1009,B621,$C$10:$C$1009,C621,$D$10:$D$1009,D621,$E$10:$E$1009,E621)&gt;1,"MÜKERRER?",IF(P621="","",IF(P621&gt;=$C$5,"İNCELE",IF(P621&lt;=-$C$5,"Düşük",""))))</f>
        <v/>
      </c>
      <c r="R621" s="16">
        <f>IF(AND(P621&lt;&gt;"",N(P621)&gt;=$C$5,COUNTIFS($B$10:B621,B621,$C$10:C621,C621,$D$10:D621,D621,$E$10:E621,E621)=1),(M621-N621)*E621*L621,0)</f>
        <v/>
      </c>
      <c r="S621" s="19">
        <f>IF(D621="",0,N(E621)*L621)</f>
        <v/>
      </c>
    </row>
    <row r="622">
      <c r="A622" s="11" t="n"/>
      <c r="B622" s="12" t="n"/>
      <c r="C622" s="12" t="n"/>
      <c r="D622" s="12" t="n"/>
      <c r="E622" s="13" t="n"/>
      <c r="F622" s="12" t="n"/>
      <c r="G622" s="14" t="n"/>
      <c r="H622" s="15" t="n"/>
      <c r="I622" s="16">
        <f>IF(G622="","",G622*(1-N(H622)))</f>
        <v/>
      </c>
      <c r="J622" s="16">
        <f>IF(I622="","",E622*I622)</f>
        <v/>
      </c>
      <c r="K622">
        <f>IF(D622="","",IFERROR(VLOOKUP(D622,'Ürün Eşleştirme'!$A$6:$D$505,2,FALSE),D622))</f>
        <v/>
      </c>
      <c r="L622" s="17">
        <f>IF(D622="","",IFERROR(VLOOKUP(D622,'Ürün Eşleştirme'!$A$6:$D$505,4,FALSE),1))</f>
        <v/>
      </c>
      <c r="M622" s="16">
        <f>IF(I622="","",I622/L622)</f>
        <v/>
      </c>
      <c r="N622" s="16">
        <f>IF(M622="","",IFERROR(AVERAGEIFS($M$10:$M$1009,$K$10:$K$1009,K622,$A$10:$A$1009,"&lt;"&amp;A622,$A$10:$A$1009,"&gt;="&amp;(A622-$C$6)),""))</f>
        <v/>
      </c>
      <c r="O622" s="16">
        <f>IF(M622="","",_xlfn.MINIFS($M$10:$M$1009,$K$10:$K$1009,K622,$A$10:$A$1009,"&lt;="&amp;A622,$A$10:$A$1009,"&gt;="&amp;(A622-$C$6)))</f>
        <v/>
      </c>
      <c r="P622" s="18">
        <f>IF(OR(N622="",N622=0),"",M622/N622-1)</f>
        <v/>
      </c>
      <c r="Q622">
        <f>IF(D622="","",IF(COUNTIFS($B$10:$B$1009,B622,$C$10:$C$1009,C622,$D$10:$D$1009,D622,$E$10:$E$1009,E622)&gt;1,"MÜKERRER?",IF(P622="","",IF(P622&gt;=$C$5,"İNCELE",IF(P622&lt;=-$C$5,"Düşük",""))))</f>
        <v/>
      </c>
      <c r="R622" s="16">
        <f>IF(AND(P622&lt;&gt;"",N(P622)&gt;=$C$5,COUNTIFS($B$10:B622,B622,$C$10:C622,C622,$D$10:D622,D622,$E$10:E622,E622)=1),(M622-N622)*E622*L622,0)</f>
        <v/>
      </c>
      <c r="S622" s="19">
        <f>IF(D622="",0,N(E622)*L622)</f>
        <v/>
      </c>
    </row>
    <row r="623">
      <c r="A623" s="11" t="n"/>
      <c r="B623" s="12" t="n"/>
      <c r="C623" s="12" t="n"/>
      <c r="D623" s="12" t="n"/>
      <c r="E623" s="13" t="n"/>
      <c r="F623" s="12" t="n"/>
      <c r="G623" s="14" t="n"/>
      <c r="H623" s="15" t="n"/>
      <c r="I623" s="16">
        <f>IF(G623="","",G623*(1-N(H623)))</f>
        <v/>
      </c>
      <c r="J623" s="16">
        <f>IF(I623="","",E623*I623)</f>
        <v/>
      </c>
      <c r="K623">
        <f>IF(D623="","",IFERROR(VLOOKUP(D623,'Ürün Eşleştirme'!$A$6:$D$505,2,FALSE),D623))</f>
        <v/>
      </c>
      <c r="L623" s="17">
        <f>IF(D623="","",IFERROR(VLOOKUP(D623,'Ürün Eşleştirme'!$A$6:$D$505,4,FALSE),1))</f>
        <v/>
      </c>
      <c r="M623" s="16">
        <f>IF(I623="","",I623/L623)</f>
        <v/>
      </c>
      <c r="N623" s="16">
        <f>IF(M623="","",IFERROR(AVERAGEIFS($M$10:$M$1009,$K$10:$K$1009,K623,$A$10:$A$1009,"&lt;"&amp;A623,$A$10:$A$1009,"&gt;="&amp;(A623-$C$6)),""))</f>
        <v/>
      </c>
      <c r="O623" s="16">
        <f>IF(M623="","",_xlfn.MINIFS($M$10:$M$1009,$K$10:$K$1009,K623,$A$10:$A$1009,"&lt;="&amp;A623,$A$10:$A$1009,"&gt;="&amp;(A623-$C$6)))</f>
        <v/>
      </c>
      <c r="P623" s="18">
        <f>IF(OR(N623="",N623=0),"",M623/N623-1)</f>
        <v/>
      </c>
      <c r="Q623">
        <f>IF(D623="","",IF(COUNTIFS($B$10:$B$1009,B623,$C$10:$C$1009,C623,$D$10:$D$1009,D623,$E$10:$E$1009,E623)&gt;1,"MÜKERRER?",IF(P623="","",IF(P623&gt;=$C$5,"İNCELE",IF(P623&lt;=-$C$5,"Düşük",""))))</f>
        <v/>
      </c>
      <c r="R623" s="16">
        <f>IF(AND(P623&lt;&gt;"",N(P623)&gt;=$C$5,COUNTIFS($B$10:B623,B623,$C$10:C623,C623,$D$10:D623,D623,$E$10:E623,E623)=1),(M623-N623)*E623*L623,0)</f>
        <v/>
      </c>
      <c r="S623" s="19">
        <f>IF(D623="",0,N(E623)*L623)</f>
        <v/>
      </c>
    </row>
    <row r="624">
      <c r="A624" s="11" t="n"/>
      <c r="B624" s="12" t="n"/>
      <c r="C624" s="12" t="n"/>
      <c r="D624" s="12" t="n"/>
      <c r="E624" s="13" t="n"/>
      <c r="F624" s="12" t="n"/>
      <c r="G624" s="14" t="n"/>
      <c r="H624" s="15" t="n"/>
      <c r="I624" s="16">
        <f>IF(G624="","",G624*(1-N(H624)))</f>
        <v/>
      </c>
      <c r="J624" s="16">
        <f>IF(I624="","",E624*I624)</f>
        <v/>
      </c>
      <c r="K624">
        <f>IF(D624="","",IFERROR(VLOOKUP(D624,'Ürün Eşleştirme'!$A$6:$D$505,2,FALSE),D624))</f>
        <v/>
      </c>
      <c r="L624" s="17">
        <f>IF(D624="","",IFERROR(VLOOKUP(D624,'Ürün Eşleştirme'!$A$6:$D$505,4,FALSE),1))</f>
        <v/>
      </c>
      <c r="M624" s="16">
        <f>IF(I624="","",I624/L624)</f>
        <v/>
      </c>
      <c r="N624" s="16">
        <f>IF(M624="","",IFERROR(AVERAGEIFS($M$10:$M$1009,$K$10:$K$1009,K624,$A$10:$A$1009,"&lt;"&amp;A624,$A$10:$A$1009,"&gt;="&amp;(A624-$C$6)),""))</f>
        <v/>
      </c>
      <c r="O624" s="16">
        <f>IF(M624="","",_xlfn.MINIFS($M$10:$M$1009,$K$10:$K$1009,K624,$A$10:$A$1009,"&lt;="&amp;A624,$A$10:$A$1009,"&gt;="&amp;(A624-$C$6)))</f>
        <v/>
      </c>
      <c r="P624" s="18">
        <f>IF(OR(N624="",N624=0),"",M624/N624-1)</f>
        <v/>
      </c>
      <c r="Q624">
        <f>IF(D624="","",IF(COUNTIFS($B$10:$B$1009,B624,$C$10:$C$1009,C624,$D$10:$D$1009,D624,$E$10:$E$1009,E624)&gt;1,"MÜKERRER?",IF(P624="","",IF(P624&gt;=$C$5,"İNCELE",IF(P624&lt;=-$C$5,"Düşük",""))))</f>
        <v/>
      </c>
      <c r="R624" s="16">
        <f>IF(AND(P624&lt;&gt;"",N(P624)&gt;=$C$5,COUNTIFS($B$10:B624,B624,$C$10:C624,C624,$D$10:D624,D624,$E$10:E624,E624)=1),(M624-N624)*E624*L624,0)</f>
        <v/>
      </c>
      <c r="S624" s="19">
        <f>IF(D624="",0,N(E624)*L624)</f>
        <v/>
      </c>
    </row>
    <row r="625">
      <c r="A625" s="11" t="n"/>
      <c r="B625" s="12" t="n"/>
      <c r="C625" s="12" t="n"/>
      <c r="D625" s="12" t="n"/>
      <c r="E625" s="13" t="n"/>
      <c r="F625" s="12" t="n"/>
      <c r="G625" s="14" t="n"/>
      <c r="H625" s="15" t="n"/>
      <c r="I625" s="16">
        <f>IF(G625="","",G625*(1-N(H625)))</f>
        <v/>
      </c>
      <c r="J625" s="16">
        <f>IF(I625="","",E625*I625)</f>
        <v/>
      </c>
      <c r="K625">
        <f>IF(D625="","",IFERROR(VLOOKUP(D625,'Ürün Eşleştirme'!$A$6:$D$505,2,FALSE),D625))</f>
        <v/>
      </c>
      <c r="L625" s="17">
        <f>IF(D625="","",IFERROR(VLOOKUP(D625,'Ürün Eşleştirme'!$A$6:$D$505,4,FALSE),1))</f>
        <v/>
      </c>
      <c r="M625" s="16">
        <f>IF(I625="","",I625/L625)</f>
        <v/>
      </c>
      <c r="N625" s="16">
        <f>IF(M625="","",IFERROR(AVERAGEIFS($M$10:$M$1009,$K$10:$K$1009,K625,$A$10:$A$1009,"&lt;"&amp;A625,$A$10:$A$1009,"&gt;="&amp;(A625-$C$6)),""))</f>
        <v/>
      </c>
      <c r="O625" s="16">
        <f>IF(M625="","",_xlfn.MINIFS($M$10:$M$1009,$K$10:$K$1009,K625,$A$10:$A$1009,"&lt;="&amp;A625,$A$10:$A$1009,"&gt;="&amp;(A625-$C$6)))</f>
        <v/>
      </c>
      <c r="P625" s="18">
        <f>IF(OR(N625="",N625=0),"",M625/N625-1)</f>
        <v/>
      </c>
      <c r="Q625">
        <f>IF(D625="","",IF(COUNTIFS($B$10:$B$1009,B625,$C$10:$C$1009,C625,$D$10:$D$1009,D625,$E$10:$E$1009,E625)&gt;1,"MÜKERRER?",IF(P625="","",IF(P625&gt;=$C$5,"İNCELE",IF(P625&lt;=-$C$5,"Düşük",""))))</f>
        <v/>
      </c>
      <c r="R625" s="16">
        <f>IF(AND(P625&lt;&gt;"",N(P625)&gt;=$C$5,COUNTIFS($B$10:B625,B625,$C$10:C625,C625,$D$10:D625,D625,$E$10:E625,E625)=1),(M625-N625)*E625*L625,0)</f>
        <v/>
      </c>
      <c r="S625" s="19">
        <f>IF(D625="",0,N(E625)*L625)</f>
        <v/>
      </c>
    </row>
    <row r="626">
      <c r="A626" s="11" t="n"/>
      <c r="B626" s="12" t="n"/>
      <c r="C626" s="12" t="n"/>
      <c r="D626" s="12" t="n"/>
      <c r="E626" s="13" t="n"/>
      <c r="F626" s="12" t="n"/>
      <c r="G626" s="14" t="n"/>
      <c r="H626" s="15" t="n"/>
      <c r="I626" s="16">
        <f>IF(G626="","",G626*(1-N(H626)))</f>
        <v/>
      </c>
      <c r="J626" s="16">
        <f>IF(I626="","",E626*I626)</f>
        <v/>
      </c>
      <c r="K626">
        <f>IF(D626="","",IFERROR(VLOOKUP(D626,'Ürün Eşleştirme'!$A$6:$D$505,2,FALSE),D626))</f>
        <v/>
      </c>
      <c r="L626" s="17">
        <f>IF(D626="","",IFERROR(VLOOKUP(D626,'Ürün Eşleştirme'!$A$6:$D$505,4,FALSE),1))</f>
        <v/>
      </c>
      <c r="M626" s="16">
        <f>IF(I626="","",I626/L626)</f>
        <v/>
      </c>
      <c r="N626" s="16">
        <f>IF(M626="","",IFERROR(AVERAGEIFS($M$10:$M$1009,$K$10:$K$1009,K626,$A$10:$A$1009,"&lt;"&amp;A626,$A$10:$A$1009,"&gt;="&amp;(A626-$C$6)),""))</f>
        <v/>
      </c>
      <c r="O626" s="16">
        <f>IF(M626="","",_xlfn.MINIFS($M$10:$M$1009,$K$10:$K$1009,K626,$A$10:$A$1009,"&lt;="&amp;A626,$A$10:$A$1009,"&gt;="&amp;(A626-$C$6)))</f>
        <v/>
      </c>
      <c r="P626" s="18">
        <f>IF(OR(N626="",N626=0),"",M626/N626-1)</f>
        <v/>
      </c>
      <c r="Q626">
        <f>IF(D626="","",IF(COUNTIFS($B$10:$B$1009,B626,$C$10:$C$1009,C626,$D$10:$D$1009,D626,$E$10:$E$1009,E626)&gt;1,"MÜKERRER?",IF(P626="","",IF(P626&gt;=$C$5,"İNCELE",IF(P626&lt;=-$C$5,"Düşük",""))))</f>
        <v/>
      </c>
      <c r="R626" s="16">
        <f>IF(AND(P626&lt;&gt;"",N(P626)&gt;=$C$5,COUNTIFS($B$10:B626,B626,$C$10:C626,C626,$D$10:D626,D626,$E$10:E626,E626)=1),(M626-N626)*E626*L626,0)</f>
        <v/>
      </c>
      <c r="S626" s="19">
        <f>IF(D626="",0,N(E626)*L626)</f>
        <v/>
      </c>
    </row>
    <row r="627">
      <c r="A627" s="11" t="n"/>
      <c r="B627" s="12" t="n"/>
      <c r="C627" s="12" t="n"/>
      <c r="D627" s="12" t="n"/>
      <c r="E627" s="13" t="n"/>
      <c r="F627" s="12" t="n"/>
      <c r="G627" s="14" t="n"/>
      <c r="H627" s="15" t="n"/>
      <c r="I627" s="16">
        <f>IF(G627="","",G627*(1-N(H627)))</f>
        <v/>
      </c>
      <c r="J627" s="16">
        <f>IF(I627="","",E627*I627)</f>
        <v/>
      </c>
      <c r="K627">
        <f>IF(D627="","",IFERROR(VLOOKUP(D627,'Ürün Eşleştirme'!$A$6:$D$505,2,FALSE),D627))</f>
        <v/>
      </c>
      <c r="L627" s="17">
        <f>IF(D627="","",IFERROR(VLOOKUP(D627,'Ürün Eşleştirme'!$A$6:$D$505,4,FALSE),1))</f>
        <v/>
      </c>
      <c r="M627" s="16">
        <f>IF(I627="","",I627/L627)</f>
        <v/>
      </c>
      <c r="N627" s="16">
        <f>IF(M627="","",IFERROR(AVERAGEIFS($M$10:$M$1009,$K$10:$K$1009,K627,$A$10:$A$1009,"&lt;"&amp;A627,$A$10:$A$1009,"&gt;="&amp;(A627-$C$6)),""))</f>
        <v/>
      </c>
      <c r="O627" s="16">
        <f>IF(M627="","",_xlfn.MINIFS($M$10:$M$1009,$K$10:$K$1009,K627,$A$10:$A$1009,"&lt;="&amp;A627,$A$10:$A$1009,"&gt;="&amp;(A627-$C$6)))</f>
        <v/>
      </c>
      <c r="P627" s="18">
        <f>IF(OR(N627="",N627=0),"",M627/N627-1)</f>
        <v/>
      </c>
      <c r="Q627">
        <f>IF(D627="","",IF(COUNTIFS($B$10:$B$1009,B627,$C$10:$C$1009,C627,$D$10:$D$1009,D627,$E$10:$E$1009,E627)&gt;1,"MÜKERRER?",IF(P627="","",IF(P627&gt;=$C$5,"İNCELE",IF(P627&lt;=-$C$5,"Düşük",""))))</f>
        <v/>
      </c>
      <c r="R627" s="16">
        <f>IF(AND(P627&lt;&gt;"",N(P627)&gt;=$C$5,COUNTIFS($B$10:B627,B627,$C$10:C627,C627,$D$10:D627,D627,$E$10:E627,E627)=1),(M627-N627)*E627*L627,0)</f>
        <v/>
      </c>
      <c r="S627" s="19">
        <f>IF(D627="",0,N(E627)*L627)</f>
        <v/>
      </c>
    </row>
    <row r="628">
      <c r="A628" s="11" t="n"/>
      <c r="B628" s="12" t="n"/>
      <c r="C628" s="12" t="n"/>
      <c r="D628" s="12" t="n"/>
      <c r="E628" s="13" t="n"/>
      <c r="F628" s="12" t="n"/>
      <c r="G628" s="14" t="n"/>
      <c r="H628" s="15" t="n"/>
      <c r="I628" s="16">
        <f>IF(G628="","",G628*(1-N(H628)))</f>
        <v/>
      </c>
      <c r="J628" s="16">
        <f>IF(I628="","",E628*I628)</f>
        <v/>
      </c>
      <c r="K628">
        <f>IF(D628="","",IFERROR(VLOOKUP(D628,'Ürün Eşleştirme'!$A$6:$D$505,2,FALSE),D628))</f>
        <v/>
      </c>
      <c r="L628" s="17">
        <f>IF(D628="","",IFERROR(VLOOKUP(D628,'Ürün Eşleştirme'!$A$6:$D$505,4,FALSE),1))</f>
        <v/>
      </c>
      <c r="M628" s="16">
        <f>IF(I628="","",I628/L628)</f>
        <v/>
      </c>
      <c r="N628" s="16">
        <f>IF(M628="","",IFERROR(AVERAGEIFS($M$10:$M$1009,$K$10:$K$1009,K628,$A$10:$A$1009,"&lt;"&amp;A628,$A$10:$A$1009,"&gt;="&amp;(A628-$C$6)),""))</f>
        <v/>
      </c>
      <c r="O628" s="16">
        <f>IF(M628="","",_xlfn.MINIFS($M$10:$M$1009,$K$10:$K$1009,K628,$A$10:$A$1009,"&lt;="&amp;A628,$A$10:$A$1009,"&gt;="&amp;(A628-$C$6)))</f>
        <v/>
      </c>
      <c r="P628" s="18">
        <f>IF(OR(N628="",N628=0),"",M628/N628-1)</f>
        <v/>
      </c>
      <c r="Q628">
        <f>IF(D628="","",IF(COUNTIFS($B$10:$B$1009,B628,$C$10:$C$1009,C628,$D$10:$D$1009,D628,$E$10:$E$1009,E628)&gt;1,"MÜKERRER?",IF(P628="","",IF(P628&gt;=$C$5,"İNCELE",IF(P628&lt;=-$C$5,"Düşük",""))))</f>
        <v/>
      </c>
      <c r="R628" s="16">
        <f>IF(AND(P628&lt;&gt;"",N(P628)&gt;=$C$5,COUNTIFS($B$10:B628,B628,$C$10:C628,C628,$D$10:D628,D628,$E$10:E628,E628)=1),(M628-N628)*E628*L628,0)</f>
        <v/>
      </c>
      <c r="S628" s="19">
        <f>IF(D628="",0,N(E628)*L628)</f>
        <v/>
      </c>
    </row>
    <row r="629">
      <c r="A629" s="11" t="n"/>
      <c r="B629" s="12" t="n"/>
      <c r="C629" s="12" t="n"/>
      <c r="D629" s="12" t="n"/>
      <c r="E629" s="13" t="n"/>
      <c r="F629" s="12" t="n"/>
      <c r="G629" s="14" t="n"/>
      <c r="H629" s="15" t="n"/>
      <c r="I629" s="16">
        <f>IF(G629="","",G629*(1-N(H629)))</f>
        <v/>
      </c>
      <c r="J629" s="16">
        <f>IF(I629="","",E629*I629)</f>
        <v/>
      </c>
      <c r="K629">
        <f>IF(D629="","",IFERROR(VLOOKUP(D629,'Ürün Eşleştirme'!$A$6:$D$505,2,FALSE),D629))</f>
        <v/>
      </c>
      <c r="L629" s="17">
        <f>IF(D629="","",IFERROR(VLOOKUP(D629,'Ürün Eşleştirme'!$A$6:$D$505,4,FALSE),1))</f>
        <v/>
      </c>
      <c r="M629" s="16">
        <f>IF(I629="","",I629/L629)</f>
        <v/>
      </c>
      <c r="N629" s="16">
        <f>IF(M629="","",IFERROR(AVERAGEIFS($M$10:$M$1009,$K$10:$K$1009,K629,$A$10:$A$1009,"&lt;"&amp;A629,$A$10:$A$1009,"&gt;="&amp;(A629-$C$6)),""))</f>
        <v/>
      </c>
      <c r="O629" s="16">
        <f>IF(M629="","",_xlfn.MINIFS($M$10:$M$1009,$K$10:$K$1009,K629,$A$10:$A$1009,"&lt;="&amp;A629,$A$10:$A$1009,"&gt;="&amp;(A629-$C$6)))</f>
        <v/>
      </c>
      <c r="P629" s="18">
        <f>IF(OR(N629="",N629=0),"",M629/N629-1)</f>
        <v/>
      </c>
      <c r="Q629">
        <f>IF(D629="","",IF(COUNTIFS($B$10:$B$1009,B629,$C$10:$C$1009,C629,$D$10:$D$1009,D629,$E$10:$E$1009,E629)&gt;1,"MÜKERRER?",IF(P629="","",IF(P629&gt;=$C$5,"İNCELE",IF(P629&lt;=-$C$5,"Düşük",""))))</f>
        <v/>
      </c>
      <c r="R629" s="16">
        <f>IF(AND(P629&lt;&gt;"",N(P629)&gt;=$C$5,COUNTIFS($B$10:B629,B629,$C$10:C629,C629,$D$10:D629,D629,$E$10:E629,E629)=1),(M629-N629)*E629*L629,0)</f>
        <v/>
      </c>
      <c r="S629" s="19">
        <f>IF(D629="",0,N(E629)*L629)</f>
        <v/>
      </c>
    </row>
    <row r="630">
      <c r="A630" s="11" t="n"/>
      <c r="B630" s="12" t="n"/>
      <c r="C630" s="12" t="n"/>
      <c r="D630" s="12" t="n"/>
      <c r="E630" s="13" t="n"/>
      <c r="F630" s="12" t="n"/>
      <c r="G630" s="14" t="n"/>
      <c r="H630" s="15" t="n"/>
      <c r="I630" s="16">
        <f>IF(G630="","",G630*(1-N(H630)))</f>
        <v/>
      </c>
      <c r="J630" s="16">
        <f>IF(I630="","",E630*I630)</f>
        <v/>
      </c>
      <c r="K630">
        <f>IF(D630="","",IFERROR(VLOOKUP(D630,'Ürün Eşleştirme'!$A$6:$D$505,2,FALSE),D630))</f>
        <v/>
      </c>
      <c r="L630" s="17">
        <f>IF(D630="","",IFERROR(VLOOKUP(D630,'Ürün Eşleştirme'!$A$6:$D$505,4,FALSE),1))</f>
        <v/>
      </c>
      <c r="M630" s="16">
        <f>IF(I630="","",I630/L630)</f>
        <v/>
      </c>
      <c r="N630" s="16">
        <f>IF(M630="","",IFERROR(AVERAGEIFS($M$10:$M$1009,$K$10:$K$1009,K630,$A$10:$A$1009,"&lt;"&amp;A630,$A$10:$A$1009,"&gt;="&amp;(A630-$C$6)),""))</f>
        <v/>
      </c>
      <c r="O630" s="16">
        <f>IF(M630="","",_xlfn.MINIFS($M$10:$M$1009,$K$10:$K$1009,K630,$A$10:$A$1009,"&lt;="&amp;A630,$A$10:$A$1009,"&gt;="&amp;(A630-$C$6)))</f>
        <v/>
      </c>
      <c r="P630" s="18">
        <f>IF(OR(N630="",N630=0),"",M630/N630-1)</f>
        <v/>
      </c>
      <c r="Q630">
        <f>IF(D630="","",IF(COUNTIFS($B$10:$B$1009,B630,$C$10:$C$1009,C630,$D$10:$D$1009,D630,$E$10:$E$1009,E630)&gt;1,"MÜKERRER?",IF(P630="","",IF(P630&gt;=$C$5,"İNCELE",IF(P630&lt;=-$C$5,"Düşük",""))))</f>
        <v/>
      </c>
      <c r="R630" s="16">
        <f>IF(AND(P630&lt;&gt;"",N(P630)&gt;=$C$5,COUNTIFS($B$10:B630,B630,$C$10:C630,C630,$D$10:D630,D630,$E$10:E630,E630)=1),(M630-N630)*E630*L630,0)</f>
        <v/>
      </c>
      <c r="S630" s="19">
        <f>IF(D630="",0,N(E630)*L630)</f>
        <v/>
      </c>
    </row>
    <row r="631">
      <c r="A631" s="11" t="n"/>
      <c r="B631" s="12" t="n"/>
      <c r="C631" s="12" t="n"/>
      <c r="D631" s="12" t="n"/>
      <c r="E631" s="13" t="n"/>
      <c r="F631" s="12" t="n"/>
      <c r="G631" s="14" t="n"/>
      <c r="H631" s="15" t="n"/>
      <c r="I631" s="16">
        <f>IF(G631="","",G631*(1-N(H631)))</f>
        <v/>
      </c>
      <c r="J631" s="16">
        <f>IF(I631="","",E631*I631)</f>
        <v/>
      </c>
      <c r="K631">
        <f>IF(D631="","",IFERROR(VLOOKUP(D631,'Ürün Eşleştirme'!$A$6:$D$505,2,FALSE),D631))</f>
        <v/>
      </c>
      <c r="L631" s="17">
        <f>IF(D631="","",IFERROR(VLOOKUP(D631,'Ürün Eşleştirme'!$A$6:$D$505,4,FALSE),1))</f>
        <v/>
      </c>
      <c r="M631" s="16">
        <f>IF(I631="","",I631/L631)</f>
        <v/>
      </c>
      <c r="N631" s="16">
        <f>IF(M631="","",IFERROR(AVERAGEIFS($M$10:$M$1009,$K$10:$K$1009,K631,$A$10:$A$1009,"&lt;"&amp;A631,$A$10:$A$1009,"&gt;="&amp;(A631-$C$6)),""))</f>
        <v/>
      </c>
      <c r="O631" s="16">
        <f>IF(M631="","",_xlfn.MINIFS($M$10:$M$1009,$K$10:$K$1009,K631,$A$10:$A$1009,"&lt;="&amp;A631,$A$10:$A$1009,"&gt;="&amp;(A631-$C$6)))</f>
        <v/>
      </c>
      <c r="P631" s="18">
        <f>IF(OR(N631="",N631=0),"",M631/N631-1)</f>
        <v/>
      </c>
      <c r="Q631">
        <f>IF(D631="","",IF(COUNTIFS($B$10:$B$1009,B631,$C$10:$C$1009,C631,$D$10:$D$1009,D631,$E$10:$E$1009,E631)&gt;1,"MÜKERRER?",IF(P631="","",IF(P631&gt;=$C$5,"İNCELE",IF(P631&lt;=-$C$5,"Düşük",""))))</f>
        <v/>
      </c>
      <c r="R631" s="16">
        <f>IF(AND(P631&lt;&gt;"",N(P631)&gt;=$C$5,COUNTIFS($B$10:B631,B631,$C$10:C631,C631,$D$10:D631,D631,$E$10:E631,E631)=1),(M631-N631)*E631*L631,0)</f>
        <v/>
      </c>
      <c r="S631" s="19">
        <f>IF(D631="",0,N(E631)*L631)</f>
        <v/>
      </c>
    </row>
    <row r="632">
      <c r="A632" s="11" t="n"/>
      <c r="B632" s="12" t="n"/>
      <c r="C632" s="12" t="n"/>
      <c r="D632" s="12" t="n"/>
      <c r="E632" s="13" t="n"/>
      <c r="F632" s="12" t="n"/>
      <c r="G632" s="14" t="n"/>
      <c r="H632" s="15" t="n"/>
      <c r="I632" s="16">
        <f>IF(G632="","",G632*(1-N(H632)))</f>
        <v/>
      </c>
      <c r="J632" s="16">
        <f>IF(I632="","",E632*I632)</f>
        <v/>
      </c>
      <c r="K632">
        <f>IF(D632="","",IFERROR(VLOOKUP(D632,'Ürün Eşleştirme'!$A$6:$D$505,2,FALSE),D632))</f>
        <v/>
      </c>
      <c r="L632" s="17">
        <f>IF(D632="","",IFERROR(VLOOKUP(D632,'Ürün Eşleştirme'!$A$6:$D$505,4,FALSE),1))</f>
        <v/>
      </c>
      <c r="M632" s="16">
        <f>IF(I632="","",I632/L632)</f>
        <v/>
      </c>
      <c r="N632" s="16">
        <f>IF(M632="","",IFERROR(AVERAGEIFS($M$10:$M$1009,$K$10:$K$1009,K632,$A$10:$A$1009,"&lt;"&amp;A632,$A$10:$A$1009,"&gt;="&amp;(A632-$C$6)),""))</f>
        <v/>
      </c>
      <c r="O632" s="16">
        <f>IF(M632="","",_xlfn.MINIFS($M$10:$M$1009,$K$10:$K$1009,K632,$A$10:$A$1009,"&lt;="&amp;A632,$A$10:$A$1009,"&gt;="&amp;(A632-$C$6)))</f>
        <v/>
      </c>
      <c r="P632" s="18">
        <f>IF(OR(N632="",N632=0),"",M632/N632-1)</f>
        <v/>
      </c>
      <c r="Q632">
        <f>IF(D632="","",IF(COUNTIFS($B$10:$B$1009,B632,$C$10:$C$1009,C632,$D$10:$D$1009,D632,$E$10:$E$1009,E632)&gt;1,"MÜKERRER?",IF(P632="","",IF(P632&gt;=$C$5,"İNCELE",IF(P632&lt;=-$C$5,"Düşük",""))))</f>
        <v/>
      </c>
      <c r="R632" s="16">
        <f>IF(AND(P632&lt;&gt;"",N(P632)&gt;=$C$5,COUNTIFS($B$10:B632,B632,$C$10:C632,C632,$D$10:D632,D632,$E$10:E632,E632)=1),(M632-N632)*E632*L632,0)</f>
        <v/>
      </c>
      <c r="S632" s="19">
        <f>IF(D632="",0,N(E632)*L632)</f>
        <v/>
      </c>
    </row>
    <row r="633">
      <c r="A633" s="11" t="n"/>
      <c r="B633" s="12" t="n"/>
      <c r="C633" s="12" t="n"/>
      <c r="D633" s="12" t="n"/>
      <c r="E633" s="13" t="n"/>
      <c r="F633" s="12" t="n"/>
      <c r="G633" s="14" t="n"/>
      <c r="H633" s="15" t="n"/>
      <c r="I633" s="16">
        <f>IF(G633="","",G633*(1-N(H633)))</f>
        <v/>
      </c>
      <c r="J633" s="16">
        <f>IF(I633="","",E633*I633)</f>
        <v/>
      </c>
      <c r="K633">
        <f>IF(D633="","",IFERROR(VLOOKUP(D633,'Ürün Eşleştirme'!$A$6:$D$505,2,FALSE),D633))</f>
        <v/>
      </c>
      <c r="L633" s="17">
        <f>IF(D633="","",IFERROR(VLOOKUP(D633,'Ürün Eşleştirme'!$A$6:$D$505,4,FALSE),1))</f>
        <v/>
      </c>
      <c r="M633" s="16">
        <f>IF(I633="","",I633/L633)</f>
        <v/>
      </c>
      <c r="N633" s="16">
        <f>IF(M633="","",IFERROR(AVERAGEIFS($M$10:$M$1009,$K$10:$K$1009,K633,$A$10:$A$1009,"&lt;"&amp;A633,$A$10:$A$1009,"&gt;="&amp;(A633-$C$6)),""))</f>
        <v/>
      </c>
      <c r="O633" s="16">
        <f>IF(M633="","",_xlfn.MINIFS($M$10:$M$1009,$K$10:$K$1009,K633,$A$10:$A$1009,"&lt;="&amp;A633,$A$10:$A$1009,"&gt;="&amp;(A633-$C$6)))</f>
        <v/>
      </c>
      <c r="P633" s="18">
        <f>IF(OR(N633="",N633=0),"",M633/N633-1)</f>
        <v/>
      </c>
      <c r="Q633">
        <f>IF(D633="","",IF(COUNTIFS($B$10:$B$1009,B633,$C$10:$C$1009,C633,$D$10:$D$1009,D633,$E$10:$E$1009,E633)&gt;1,"MÜKERRER?",IF(P633="","",IF(P633&gt;=$C$5,"İNCELE",IF(P633&lt;=-$C$5,"Düşük",""))))</f>
        <v/>
      </c>
      <c r="R633" s="16">
        <f>IF(AND(P633&lt;&gt;"",N(P633)&gt;=$C$5,COUNTIFS($B$10:B633,B633,$C$10:C633,C633,$D$10:D633,D633,$E$10:E633,E633)=1),(M633-N633)*E633*L633,0)</f>
        <v/>
      </c>
      <c r="S633" s="19">
        <f>IF(D633="",0,N(E633)*L633)</f>
        <v/>
      </c>
    </row>
    <row r="634">
      <c r="A634" s="11" t="n"/>
      <c r="B634" s="12" t="n"/>
      <c r="C634" s="12" t="n"/>
      <c r="D634" s="12" t="n"/>
      <c r="E634" s="13" t="n"/>
      <c r="F634" s="12" t="n"/>
      <c r="G634" s="14" t="n"/>
      <c r="H634" s="15" t="n"/>
      <c r="I634" s="16">
        <f>IF(G634="","",G634*(1-N(H634)))</f>
        <v/>
      </c>
      <c r="J634" s="16">
        <f>IF(I634="","",E634*I634)</f>
        <v/>
      </c>
      <c r="K634">
        <f>IF(D634="","",IFERROR(VLOOKUP(D634,'Ürün Eşleştirme'!$A$6:$D$505,2,FALSE),D634))</f>
        <v/>
      </c>
      <c r="L634" s="17">
        <f>IF(D634="","",IFERROR(VLOOKUP(D634,'Ürün Eşleştirme'!$A$6:$D$505,4,FALSE),1))</f>
        <v/>
      </c>
      <c r="M634" s="16">
        <f>IF(I634="","",I634/L634)</f>
        <v/>
      </c>
      <c r="N634" s="16">
        <f>IF(M634="","",IFERROR(AVERAGEIFS($M$10:$M$1009,$K$10:$K$1009,K634,$A$10:$A$1009,"&lt;"&amp;A634,$A$10:$A$1009,"&gt;="&amp;(A634-$C$6)),""))</f>
        <v/>
      </c>
      <c r="O634" s="16">
        <f>IF(M634="","",_xlfn.MINIFS($M$10:$M$1009,$K$10:$K$1009,K634,$A$10:$A$1009,"&lt;="&amp;A634,$A$10:$A$1009,"&gt;="&amp;(A634-$C$6)))</f>
        <v/>
      </c>
      <c r="P634" s="18">
        <f>IF(OR(N634="",N634=0),"",M634/N634-1)</f>
        <v/>
      </c>
      <c r="Q634">
        <f>IF(D634="","",IF(COUNTIFS($B$10:$B$1009,B634,$C$10:$C$1009,C634,$D$10:$D$1009,D634,$E$10:$E$1009,E634)&gt;1,"MÜKERRER?",IF(P634="","",IF(P634&gt;=$C$5,"İNCELE",IF(P634&lt;=-$C$5,"Düşük",""))))</f>
        <v/>
      </c>
      <c r="R634" s="16">
        <f>IF(AND(P634&lt;&gt;"",N(P634)&gt;=$C$5,COUNTIFS($B$10:B634,B634,$C$10:C634,C634,$D$10:D634,D634,$E$10:E634,E634)=1),(M634-N634)*E634*L634,0)</f>
        <v/>
      </c>
      <c r="S634" s="19">
        <f>IF(D634="",0,N(E634)*L634)</f>
        <v/>
      </c>
    </row>
    <row r="635">
      <c r="A635" s="11" t="n"/>
      <c r="B635" s="12" t="n"/>
      <c r="C635" s="12" t="n"/>
      <c r="D635" s="12" t="n"/>
      <c r="E635" s="13" t="n"/>
      <c r="F635" s="12" t="n"/>
      <c r="G635" s="14" t="n"/>
      <c r="H635" s="15" t="n"/>
      <c r="I635" s="16">
        <f>IF(G635="","",G635*(1-N(H635)))</f>
        <v/>
      </c>
      <c r="J635" s="16">
        <f>IF(I635="","",E635*I635)</f>
        <v/>
      </c>
      <c r="K635">
        <f>IF(D635="","",IFERROR(VLOOKUP(D635,'Ürün Eşleştirme'!$A$6:$D$505,2,FALSE),D635))</f>
        <v/>
      </c>
      <c r="L635" s="17">
        <f>IF(D635="","",IFERROR(VLOOKUP(D635,'Ürün Eşleştirme'!$A$6:$D$505,4,FALSE),1))</f>
        <v/>
      </c>
      <c r="M635" s="16">
        <f>IF(I635="","",I635/L635)</f>
        <v/>
      </c>
      <c r="N635" s="16">
        <f>IF(M635="","",IFERROR(AVERAGEIFS($M$10:$M$1009,$K$10:$K$1009,K635,$A$10:$A$1009,"&lt;"&amp;A635,$A$10:$A$1009,"&gt;="&amp;(A635-$C$6)),""))</f>
        <v/>
      </c>
      <c r="O635" s="16">
        <f>IF(M635="","",_xlfn.MINIFS($M$10:$M$1009,$K$10:$K$1009,K635,$A$10:$A$1009,"&lt;="&amp;A635,$A$10:$A$1009,"&gt;="&amp;(A635-$C$6)))</f>
        <v/>
      </c>
      <c r="P635" s="18">
        <f>IF(OR(N635="",N635=0),"",M635/N635-1)</f>
        <v/>
      </c>
      <c r="Q635">
        <f>IF(D635="","",IF(COUNTIFS($B$10:$B$1009,B635,$C$10:$C$1009,C635,$D$10:$D$1009,D635,$E$10:$E$1009,E635)&gt;1,"MÜKERRER?",IF(P635="","",IF(P635&gt;=$C$5,"İNCELE",IF(P635&lt;=-$C$5,"Düşük",""))))</f>
        <v/>
      </c>
      <c r="R635" s="16">
        <f>IF(AND(P635&lt;&gt;"",N(P635)&gt;=$C$5,COUNTIFS($B$10:B635,B635,$C$10:C635,C635,$D$10:D635,D635,$E$10:E635,E635)=1),(M635-N635)*E635*L635,0)</f>
        <v/>
      </c>
      <c r="S635" s="19">
        <f>IF(D635="",0,N(E635)*L635)</f>
        <v/>
      </c>
    </row>
    <row r="636">
      <c r="A636" s="11" t="n"/>
      <c r="B636" s="12" t="n"/>
      <c r="C636" s="12" t="n"/>
      <c r="D636" s="12" t="n"/>
      <c r="E636" s="13" t="n"/>
      <c r="F636" s="12" t="n"/>
      <c r="G636" s="14" t="n"/>
      <c r="H636" s="15" t="n"/>
      <c r="I636" s="16">
        <f>IF(G636="","",G636*(1-N(H636)))</f>
        <v/>
      </c>
      <c r="J636" s="16">
        <f>IF(I636="","",E636*I636)</f>
        <v/>
      </c>
      <c r="K636">
        <f>IF(D636="","",IFERROR(VLOOKUP(D636,'Ürün Eşleştirme'!$A$6:$D$505,2,FALSE),D636))</f>
        <v/>
      </c>
      <c r="L636" s="17">
        <f>IF(D636="","",IFERROR(VLOOKUP(D636,'Ürün Eşleştirme'!$A$6:$D$505,4,FALSE),1))</f>
        <v/>
      </c>
      <c r="M636" s="16">
        <f>IF(I636="","",I636/L636)</f>
        <v/>
      </c>
      <c r="N636" s="16">
        <f>IF(M636="","",IFERROR(AVERAGEIFS($M$10:$M$1009,$K$10:$K$1009,K636,$A$10:$A$1009,"&lt;"&amp;A636,$A$10:$A$1009,"&gt;="&amp;(A636-$C$6)),""))</f>
        <v/>
      </c>
      <c r="O636" s="16">
        <f>IF(M636="","",_xlfn.MINIFS($M$10:$M$1009,$K$10:$K$1009,K636,$A$10:$A$1009,"&lt;="&amp;A636,$A$10:$A$1009,"&gt;="&amp;(A636-$C$6)))</f>
        <v/>
      </c>
      <c r="P636" s="18">
        <f>IF(OR(N636="",N636=0),"",M636/N636-1)</f>
        <v/>
      </c>
      <c r="Q636">
        <f>IF(D636="","",IF(COUNTIFS($B$10:$B$1009,B636,$C$10:$C$1009,C636,$D$10:$D$1009,D636,$E$10:$E$1009,E636)&gt;1,"MÜKERRER?",IF(P636="","",IF(P636&gt;=$C$5,"İNCELE",IF(P636&lt;=-$C$5,"Düşük",""))))</f>
        <v/>
      </c>
      <c r="R636" s="16">
        <f>IF(AND(P636&lt;&gt;"",N(P636)&gt;=$C$5,COUNTIFS($B$10:B636,B636,$C$10:C636,C636,$D$10:D636,D636,$E$10:E636,E636)=1),(M636-N636)*E636*L636,0)</f>
        <v/>
      </c>
      <c r="S636" s="19">
        <f>IF(D636="",0,N(E636)*L636)</f>
        <v/>
      </c>
    </row>
    <row r="637">
      <c r="A637" s="11" t="n"/>
      <c r="B637" s="12" t="n"/>
      <c r="C637" s="12" t="n"/>
      <c r="D637" s="12" t="n"/>
      <c r="E637" s="13" t="n"/>
      <c r="F637" s="12" t="n"/>
      <c r="G637" s="14" t="n"/>
      <c r="H637" s="15" t="n"/>
      <c r="I637" s="16">
        <f>IF(G637="","",G637*(1-N(H637)))</f>
        <v/>
      </c>
      <c r="J637" s="16">
        <f>IF(I637="","",E637*I637)</f>
        <v/>
      </c>
      <c r="K637">
        <f>IF(D637="","",IFERROR(VLOOKUP(D637,'Ürün Eşleştirme'!$A$6:$D$505,2,FALSE),D637))</f>
        <v/>
      </c>
      <c r="L637" s="17">
        <f>IF(D637="","",IFERROR(VLOOKUP(D637,'Ürün Eşleştirme'!$A$6:$D$505,4,FALSE),1))</f>
        <v/>
      </c>
      <c r="M637" s="16">
        <f>IF(I637="","",I637/L637)</f>
        <v/>
      </c>
      <c r="N637" s="16">
        <f>IF(M637="","",IFERROR(AVERAGEIFS($M$10:$M$1009,$K$10:$K$1009,K637,$A$10:$A$1009,"&lt;"&amp;A637,$A$10:$A$1009,"&gt;="&amp;(A637-$C$6)),""))</f>
        <v/>
      </c>
      <c r="O637" s="16">
        <f>IF(M637="","",_xlfn.MINIFS($M$10:$M$1009,$K$10:$K$1009,K637,$A$10:$A$1009,"&lt;="&amp;A637,$A$10:$A$1009,"&gt;="&amp;(A637-$C$6)))</f>
        <v/>
      </c>
      <c r="P637" s="18">
        <f>IF(OR(N637="",N637=0),"",M637/N637-1)</f>
        <v/>
      </c>
      <c r="Q637">
        <f>IF(D637="","",IF(COUNTIFS($B$10:$B$1009,B637,$C$10:$C$1009,C637,$D$10:$D$1009,D637,$E$10:$E$1009,E637)&gt;1,"MÜKERRER?",IF(P637="","",IF(P637&gt;=$C$5,"İNCELE",IF(P637&lt;=-$C$5,"Düşük",""))))</f>
        <v/>
      </c>
      <c r="R637" s="16">
        <f>IF(AND(P637&lt;&gt;"",N(P637)&gt;=$C$5,COUNTIFS($B$10:B637,B637,$C$10:C637,C637,$D$10:D637,D637,$E$10:E637,E637)=1),(M637-N637)*E637*L637,0)</f>
        <v/>
      </c>
      <c r="S637" s="19">
        <f>IF(D637="",0,N(E637)*L637)</f>
        <v/>
      </c>
    </row>
    <row r="638">
      <c r="A638" s="11" t="n"/>
      <c r="B638" s="12" t="n"/>
      <c r="C638" s="12" t="n"/>
      <c r="D638" s="12" t="n"/>
      <c r="E638" s="13" t="n"/>
      <c r="F638" s="12" t="n"/>
      <c r="G638" s="14" t="n"/>
      <c r="H638" s="15" t="n"/>
      <c r="I638" s="16">
        <f>IF(G638="","",G638*(1-N(H638)))</f>
        <v/>
      </c>
      <c r="J638" s="16">
        <f>IF(I638="","",E638*I638)</f>
        <v/>
      </c>
      <c r="K638">
        <f>IF(D638="","",IFERROR(VLOOKUP(D638,'Ürün Eşleştirme'!$A$6:$D$505,2,FALSE),D638))</f>
        <v/>
      </c>
      <c r="L638" s="17">
        <f>IF(D638="","",IFERROR(VLOOKUP(D638,'Ürün Eşleştirme'!$A$6:$D$505,4,FALSE),1))</f>
        <v/>
      </c>
      <c r="M638" s="16">
        <f>IF(I638="","",I638/L638)</f>
        <v/>
      </c>
      <c r="N638" s="16">
        <f>IF(M638="","",IFERROR(AVERAGEIFS($M$10:$M$1009,$K$10:$K$1009,K638,$A$10:$A$1009,"&lt;"&amp;A638,$A$10:$A$1009,"&gt;="&amp;(A638-$C$6)),""))</f>
        <v/>
      </c>
      <c r="O638" s="16">
        <f>IF(M638="","",_xlfn.MINIFS($M$10:$M$1009,$K$10:$K$1009,K638,$A$10:$A$1009,"&lt;="&amp;A638,$A$10:$A$1009,"&gt;="&amp;(A638-$C$6)))</f>
        <v/>
      </c>
      <c r="P638" s="18">
        <f>IF(OR(N638="",N638=0),"",M638/N638-1)</f>
        <v/>
      </c>
      <c r="Q638">
        <f>IF(D638="","",IF(COUNTIFS($B$10:$B$1009,B638,$C$10:$C$1009,C638,$D$10:$D$1009,D638,$E$10:$E$1009,E638)&gt;1,"MÜKERRER?",IF(P638="","",IF(P638&gt;=$C$5,"İNCELE",IF(P638&lt;=-$C$5,"Düşük",""))))</f>
        <v/>
      </c>
      <c r="R638" s="16">
        <f>IF(AND(P638&lt;&gt;"",N(P638)&gt;=$C$5,COUNTIFS($B$10:B638,B638,$C$10:C638,C638,$D$10:D638,D638,$E$10:E638,E638)=1),(M638-N638)*E638*L638,0)</f>
        <v/>
      </c>
      <c r="S638" s="19">
        <f>IF(D638="",0,N(E638)*L638)</f>
        <v/>
      </c>
    </row>
    <row r="639">
      <c r="A639" s="11" t="n"/>
      <c r="B639" s="12" t="n"/>
      <c r="C639" s="12" t="n"/>
      <c r="D639" s="12" t="n"/>
      <c r="E639" s="13" t="n"/>
      <c r="F639" s="12" t="n"/>
      <c r="G639" s="14" t="n"/>
      <c r="H639" s="15" t="n"/>
      <c r="I639" s="16">
        <f>IF(G639="","",G639*(1-N(H639)))</f>
        <v/>
      </c>
      <c r="J639" s="16">
        <f>IF(I639="","",E639*I639)</f>
        <v/>
      </c>
      <c r="K639">
        <f>IF(D639="","",IFERROR(VLOOKUP(D639,'Ürün Eşleştirme'!$A$6:$D$505,2,FALSE),D639))</f>
        <v/>
      </c>
      <c r="L639" s="17">
        <f>IF(D639="","",IFERROR(VLOOKUP(D639,'Ürün Eşleştirme'!$A$6:$D$505,4,FALSE),1))</f>
        <v/>
      </c>
      <c r="M639" s="16">
        <f>IF(I639="","",I639/L639)</f>
        <v/>
      </c>
      <c r="N639" s="16">
        <f>IF(M639="","",IFERROR(AVERAGEIFS($M$10:$M$1009,$K$10:$K$1009,K639,$A$10:$A$1009,"&lt;"&amp;A639,$A$10:$A$1009,"&gt;="&amp;(A639-$C$6)),""))</f>
        <v/>
      </c>
      <c r="O639" s="16">
        <f>IF(M639="","",_xlfn.MINIFS($M$10:$M$1009,$K$10:$K$1009,K639,$A$10:$A$1009,"&lt;="&amp;A639,$A$10:$A$1009,"&gt;="&amp;(A639-$C$6)))</f>
        <v/>
      </c>
      <c r="P639" s="18">
        <f>IF(OR(N639="",N639=0),"",M639/N639-1)</f>
        <v/>
      </c>
      <c r="Q639">
        <f>IF(D639="","",IF(COUNTIFS($B$10:$B$1009,B639,$C$10:$C$1009,C639,$D$10:$D$1009,D639,$E$10:$E$1009,E639)&gt;1,"MÜKERRER?",IF(P639="","",IF(P639&gt;=$C$5,"İNCELE",IF(P639&lt;=-$C$5,"Düşük",""))))</f>
        <v/>
      </c>
      <c r="R639" s="16">
        <f>IF(AND(P639&lt;&gt;"",N(P639)&gt;=$C$5,COUNTIFS($B$10:B639,B639,$C$10:C639,C639,$D$10:D639,D639,$E$10:E639,E639)=1),(M639-N639)*E639*L639,0)</f>
        <v/>
      </c>
      <c r="S639" s="19">
        <f>IF(D639="",0,N(E639)*L639)</f>
        <v/>
      </c>
    </row>
    <row r="640">
      <c r="A640" s="11" t="n"/>
      <c r="B640" s="12" t="n"/>
      <c r="C640" s="12" t="n"/>
      <c r="D640" s="12" t="n"/>
      <c r="E640" s="13" t="n"/>
      <c r="F640" s="12" t="n"/>
      <c r="G640" s="14" t="n"/>
      <c r="H640" s="15" t="n"/>
      <c r="I640" s="16">
        <f>IF(G640="","",G640*(1-N(H640)))</f>
        <v/>
      </c>
      <c r="J640" s="16">
        <f>IF(I640="","",E640*I640)</f>
        <v/>
      </c>
      <c r="K640">
        <f>IF(D640="","",IFERROR(VLOOKUP(D640,'Ürün Eşleştirme'!$A$6:$D$505,2,FALSE),D640))</f>
        <v/>
      </c>
      <c r="L640" s="17">
        <f>IF(D640="","",IFERROR(VLOOKUP(D640,'Ürün Eşleştirme'!$A$6:$D$505,4,FALSE),1))</f>
        <v/>
      </c>
      <c r="M640" s="16">
        <f>IF(I640="","",I640/L640)</f>
        <v/>
      </c>
      <c r="N640" s="16">
        <f>IF(M640="","",IFERROR(AVERAGEIFS($M$10:$M$1009,$K$10:$K$1009,K640,$A$10:$A$1009,"&lt;"&amp;A640,$A$10:$A$1009,"&gt;="&amp;(A640-$C$6)),""))</f>
        <v/>
      </c>
      <c r="O640" s="16">
        <f>IF(M640="","",_xlfn.MINIFS($M$10:$M$1009,$K$10:$K$1009,K640,$A$10:$A$1009,"&lt;="&amp;A640,$A$10:$A$1009,"&gt;="&amp;(A640-$C$6)))</f>
        <v/>
      </c>
      <c r="P640" s="18">
        <f>IF(OR(N640="",N640=0),"",M640/N640-1)</f>
        <v/>
      </c>
      <c r="Q640">
        <f>IF(D640="","",IF(COUNTIFS($B$10:$B$1009,B640,$C$10:$C$1009,C640,$D$10:$D$1009,D640,$E$10:$E$1009,E640)&gt;1,"MÜKERRER?",IF(P640="","",IF(P640&gt;=$C$5,"İNCELE",IF(P640&lt;=-$C$5,"Düşük",""))))</f>
        <v/>
      </c>
      <c r="R640" s="16">
        <f>IF(AND(P640&lt;&gt;"",N(P640)&gt;=$C$5,COUNTIFS($B$10:B640,B640,$C$10:C640,C640,$D$10:D640,D640,$E$10:E640,E640)=1),(M640-N640)*E640*L640,0)</f>
        <v/>
      </c>
      <c r="S640" s="19">
        <f>IF(D640="",0,N(E640)*L640)</f>
        <v/>
      </c>
    </row>
    <row r="641">
      <c r="A641" s="11" t="n"/>
      <c r="B641" s="12" t="n"/>
      <c r="C641" s="12" t="n"/>
      <c r="D641" s="12" t="n"/>
      <c r="E641" s="13" t="n"/>
      <c r="F641" s="12" t="n"/>
      <c r="G641" s="14" t="n"/>
      <c r="H641" s="15" t="n"/>
      <c r="I641" s="16">
        <f>IF(G641="","",G641*(1-N(H641)))</f>
        <v/>
      </c>
      <c r="J641" s="16">
        <f>IF(I641="","",E641*I641)</f>
        <v/>
      </c>
      <c r="K641">
        <f>IF(D641="","",IFERROR(VLOOKUP(D641,'Ürün Eşleştirme'!$A$6:$D$505,2,FALSE),D641))</f>
        <v/>
      </c>
      <c r="L641" s="17">
        <f>IF(D641="","",IFERROR(VLOOKUP(D641,'Ürün Eşleştirme'!$A$6:$D$505,4,FALSE),1))</f>
        <v/>
      </c>
      <c r="M641" s="16">
        <f>IF(I641="","",I641/L641)</f>
        <v/>
      </c>
      <c r="N641" s="16">
        <f>IF(M641="","",IFERROR(AVERAGEIFS($M$10:$M$1009,$K$10:$K$1009,K641,$A$10:$A$1009,"&lt;"&amp;A641,$A$10:$A$1009,"&gt;="&amp;(A641-$C$6)),""))</f>
        <v/>
      </c>
      <c r="O641" s="16">
        <f>IF(M641="","",_xlfn.MINIFS($M$10:$M$1009,$K$10:$K$1009,K641,$A$10:$A$1009,"&lt;="&amp;A641,$A$10:$A$1009,"&gt;="&amp;(A641-$C$6)))</f>
        <v/>
      </c>
      <c r="P641" s="18">
        <f>IF(OR(N641="",N641=0),"",M641/N641-1)</f>
        <v/>
      </c>
      <c r="Q641">
        <f>IF(D641="","",IF(COUNTIFS($B$10:$B$1009,B641,$C$10:$C$1009,C641,$D$10:$D$1009,D641,$E$10:$E$1009,E641)&gt;1,"MÜKERRER?",IF(P641="","",IF(P641&gt;=$C$5,"İNCELE",IF(P641&lt;=-$C$5,"Düşük",""))))</f>
        <v/>
      </c>
      <c r="R641" s="16">
        <f>IF(AND(P641&lt;&gt;"",N(P641)&gt;=$C$5,COUNTIFS($B$10:B641,B641,$C$10:C641,C641,$D$10:D641,D641,$E$10:E641,E641)=1),(M641-N641)*E641*L641,0)</f>
        <v/>
      </c>
      <c r="S641" s="19">
        <f>IF(D641="",0,N(E641)*L641)</f>
        <v/>
      </c>
    </row>
    <row r="642">
      <c r="A642" s="11" t="n"/>
      <c r="B642" s="12" t="n"/>
      <c r="C642" s="12" t="n"/>
      <c r="D642" s="12" t="n"/>
      <c r="E642" s="13" t="n"/>
      <c r="F642" s="12" t="n"/>
      <c r="G642" s="14" t="n"/>
      <c r="H642" s="15" t="n"/>
      <c r="I642" s="16">
        <f>IF(G642="","",G642*(1-N(H642)))</f>
        <v/>
      </c>
      <c r="J642" s="16">
        <f>IF(I642="","",E642*I642)</f>
        <v/>
      </c>
      <c r="K642">
        <f>IF(D642="","",IFERROR(VLOOKUP(D642,'Ürün Eşleştirme'!$A$6:$D$505,2,FALSE),D642))</f>
        <v/>
      </c>
      <c r="L642" s="17">
        <f>IF(D642="","",IFERROR(VLOOKUP(D642,'Ürün Eşleştirme'!$A$6:$D$505,4,FALSE),1))</f>
        <v/>
      </c>
      <c r="M642" s="16">
        <f>IF(I642="","",I642/L642)</f>
        <v/>
      </c>
      <c r="N642" s="16">
        <f>IF(M642="","",IFERROR(AVERAGEIFS($M$10:$M$1009,$K$10:$K$1009,K642,$A$10:$A$1009,"&lt;"&amp;A642,$A$10:$A$1009,"&gt;="&amp;(A642-$C$6)),""))</f>
        <v/>
      </c>
      <c r="O642" s="16">
        <f>IF(M642="","",_xlfn.MINIFS($M$10:$M$1009,$K$10:$K$1009,K642,$A$10:$A$1009,"&lt;="&amp;A642,$A$10:$A$1009,"&gt;="&amp;(A642-$C$6)))</f>
        <v/>
      </c>
      <c r="P642" s="18">
        <f>IF(OR(N642="",N642=0),"",M642/N642-1)</f>
        <v/>
      </c>
      <c r="Q642">
        <f>IF(D642="","",IF(COUNTIFS($B$10:$B$1009,B642,$C$10:$C$1009,C642,$D$10:$D$1009,D642,$E$10:$E$1009,E642)&gt;1,"MÜKERRER?",IF(P642="","",IF(P642&gt;=$C$5,"İNCELE",IF(P642&lt;=-$C$5,"Düşük",""))))</f>
        <v/>
      </c>
      <c r="R642" s="16">
        <f>IF(AND(P642&lt;&gt;"",N(P642)&gt;=$C$5,COUNTIFS($B$10:B642,B642,$C$10:C642,C642,$D$10:D642,D642,$E$10:E642,E642)=1),(M642-N642)*E642*L642,0)</f>
        <v/>
      </c>
      <c r="S642" s="19">
        <f>IF(D642="",0,N(E642)*L642)</f>
        <v/>
      </c>
    </row>
    <row r="643">
      <c r="A643" s="11" t="n"/>
      <c r="B643" s="12" t="n"/>
      <c r="C643" s="12" t="n"/>
      <c r="D643" s="12" t="n"/>
      <c r="E643" s="13" t="n"/>
      <c r="F643" s="12" t="n"/>
      <c r="G643" s="14" t="n"/>
      <c r="H643" s="15" t="n"/>
      <c r="I643" s="16">
        <f>IF(G643="","",G643*(1-N(H643)))</f>
        <v/>
      </c>
      <c r="J643" s="16">
        <f>IF(I643="","",E643*I643)</f>
        <v/>
      </c>
      <c r="K643">
        <f>IF(D643="","",IFERROR(VLOOKUP(D643,'Ürün Eşleştirme'!$A$6:$D$505,2,FALSE),D643))</f>
        <v/>
      </c>
      <c r="L643" s="17">
        <f>IF(D643="","",IFERROR(VLOOKUP(D643,'Ürün Eşleştirme'!$A$6:$D$505,4,FALSE),1))</f>
        <v/>
      </c>
      <c r="M643" s="16">
        <f>IF(I643="","",I643/L643)</f>
        <v/>
      </c>
      <c r="N643" s="16">
        <f>IF(M643="","",IFERROR(AVERAGEIFS($M$10:$M$1009,$K$10:$K$1009,K643,$A$10:$A$1009,"&lt;"&amp;A643,$A$10:$A$1009,"&gt;="&amp;(A643-$C$6)),""))</f>
        <v/>
      </c>
      <c r="O643" s="16">
        <f>IF(M643="","",_xlfn.MINIFS($M$10:$M$1009,$K$10:$K$1009,K643,$A$10:$A$1009,"&lt;="&amp;A643,$A$10:$A$1009,"&gt;="&amp;(A643-$C$6)))</f>
        <v/>
      </c>
      <c r="P643" s="18">
        <f>IF(OR(N643="",N643=0),"",M643/N643-1)</f>
        <v/>
      </c>
      <c r="Q643">
        <f>IF(D643="","",IF(COUNTIFS($B$10:$B$1009,B643,$C$10:$C$1009,C643,$D$10:$D$1009,D643,$E$10:$E$1009,E643)&gt;1,"MÜKERRER?",IF(P643="","",IF(P643&gt;=$C$5,"İNCELE",IF(P643&lt;=-$C$5,"Düşük",""))))</f>
        <v/>
      </c>
      <c r="R643" s="16">
        <f>IF(AND(P643&lt;&gt;"",N(P643)&gt;=$C$5,COUNTIFS($B$10:B643,B643,$C$10:C643,C643,$D$10:D643,D643,$E$10:E643,E643)=1),(M643-N643)*E643*L643,0)</f>
        <v/>
      </c>
      <c r="S643" s="19">
        <f>IF(D643="",0,N(E643)*L643)</f>
        <v/>
      </c>
    </row>
    <row r="644">
      <c r="A644" s="11" t="n"/>
      <c r="B644" s="12" t="n"/>
      <c r="C644" s="12" t="n"/>
      <c r="D644" s="12" t="n"/>
      <c r="E644" s="13" t="n"/>
      <c r="F644" s="12" t="n"/>
      <c r="G644" s="14" t="n"/>
      <c r="H644" s="15" t="n"/>
      <c r="I644" s="16">
        <f>IF(G644="","",G644*(1-N(H644)))</f>
        <v/>
      </c>
      <c r="J644" s="16">
        <f>IF(I644="","",E644*I644)</f>
        <v/>
      </c>
      <c r="K644">
        <f>IF(D644="","",IFERROR(VLOOKUP(D644,'Ürün Eşleştirme'!$A$6:$D$505,2,FALSE),D644))</f>
        <v/>
      </c>
      <c r="L644" s="17">
        <f>IF(D644="","",IFERROR(VLOOKUP(D644,'Ürün Eşleştirme'!$A$6:$D$505,4,FALSE),1))</f>
        <v/>
      </c>
      <c r="M644" s="16">
        <f>IF(I644="","",I644/L644)</f>
        <v/>
      </c>
      <c r="N644" s="16">
        <f>IF(M644="","",IFERROR(AVERAGEIFS($M$10:$M$1009,$K$10:$K$1009,K644,$A$10:$A$1009,"&lt;"&amp;A644,$A$10:$A$1009,"&gt;="&amp;(A644-$C$6)),""))</f>
        <v/>
      </c>
      <c r="O644" s="16">
        <f>IF(M644="","",_xlfn.MINIFS($M$10:$M$1009,$K$10:$K$1009,K644,$A$10:$A$1009,"&lt;="&amp;A644,$A$10:$A$1009,"&gt;="&amp;(A644-$C$6)))</f>
        <v/>
      </c>
      <c r="P644" s="18">
        <f>IF(OR(N644="",N644=0),"",M644/N644-1)</f>
        <v/>
      </c>
      <c r="Q644">
        <f>IF(D644="","",IF(COUNTIFS($B$10:$B$1009,B644,$C$10:$C$1009,C644,$D$10:$D$1009,D644,$E$10:$E$1009,E644)&gt;1,"MÜKERRER?",IF(P644="","",IF(P644&gt;=$C$5,"İNCELE",IF(P644&lt;=-$C$5,"Düşük",""))))</f>
        <v/>
      </c>
      <c r="R644" s="16">
        <f>IF(AND(P644&lt;&gt;"",N(P644)&gt;=$C$5,COUNTIFS($B$10:B644,B644,$C$10:C644,C644,$D$10:D644,D644,$E$10:E644,E644)=1),(M644-N644)*E644*L644,0)</f>
        <v/>
      </c>
      <c r="S644" s="19">
        <f>IF(D644="",0,N(E644)*L644)</f>
        <v/>
      </c>
    </row>
    <row r="645">
      <c r="A645" s="11" t="n"/>
      <c r="B645" s="12" t="n"/>
      <c r="C645" s="12" t="n"/>
      <c r="D645" s="12" t="n"/>
      <c r="E645" s="13" t="n"/>
      <c r="F645" s="12" t="n"/>
      <c r="G645" s="14" t="n"/>
      <c r="H645" s="15" t="n"/>
      <c r="I645" s="16">
        <f>IF(G645="","",G645*(1-N(H645)))</f>
        <v/>
      </c>
      <c r="J645" s="16">
        <f>IF(I645="","",E645*I645)</f>
        <v/>
      </c>
      <c r="K645">
        <f>IF(D645="","",IFERROR(VLOOKUP(D645,'Ürün Eşleştirme'!$A$6:$D$505,2,FALSE),D645))</f>
        <v/>
      </c>
      <c r="L645" s="17">
        <f>IF(D645="","",IFERROR(VLOOKUP(D645,'Ürün Eşleştirme'!$A$6:$D$505,4,FALSE),1))</f>
        <v/>
      </c>
      <c r="M645" s="16">
        <f>IF(I645="","",I645/L645)</f>
        <v/>
      </c>
      <c r="N645" s="16">
        <f>IF(M645="","",IFERROR(AVERAGEIFS($M$10:$M$1009,$K$10:$K$1009,K645,$A$10:$A$1009,"&lt;"&amp;A645,$A$10:$A$1009,"&gt;="&amp;(A645-$C$6)),""))</f>
        <v/>
      </c>
      <c r="O645" s="16">
        <f>IF(M645="","",_xlfn.MINIFS($M$10:$M$1009,$K$10:$K$1009,K645,$A$10:$A$1009,"&lt;="&amp;A645,$A$10:$A$1009,"&gt;="&amp;(A645-$C$6)))</f>
        <v/>
      </c>
      <c r="P645" s="18">
        <f>IF(OR(N645="",N645=0),"",M645/N645-1)</f>
        <v/>
      </c>
      <c r="Q645">
        <f>IF(D645="","",IF(COUNTIFS($B$10:$B$1009,B645,$C$10:$C$1009,C645,$D$10:$D$1009,D645,$E$10:$E$1009,E645)&gt;1,"MÜKERRER?",IF(P645="","",IF(P645&gt;=$C$5,"İNCELE",IF(P645&lt;=-$C$5,"Düşük",""))))</f>
        <v/>
      </c>
      <c r="R645" s="16">
        <f>IF(AND(P645&lt;&gt;"",N(P645)&gt;=$C$5,COUNTIFS($B$10:B645,B645,$C$10:C645,C645,$D$10:D645,D645,$E$10:E645,E645)=1),(M645-N645)*E645*L645,0)</f>
        <v/>
      </c>
      <c r="S645" s="19">
        <f>IF(D645="",0,N(E645)*L645)</f>
        <v/>
      </c>
    </row>
    <row r="646">
      <c r="A646" s="11" t="n"/>
      <c r="B646" s="12" t="n"/>
      <c r="C646" s="12" t="n"/>
      <c r="D646" s="12" t="n"/>
      <c r="E646" s="13" t="n"/>
      <c r="F646" s="12" t="n"/>
      <c r="G646" s="14" t="n"/>
      <c r="H646" s="15" t="n"/>
      <c r="I646" s="16">
        <f>IF(G646="","",G646*(1-N(H646)))</f>
        <v/>
      </c>
      <c r="J646" s="16">
        <f>IF(I646="","",E646*I646)</f>
        <v/>
      </c>
      <c r="K646">
        <f>IF(D646="","",IFERROR(VLOOKUP(D646,'Ürün Eşleştirme'!$A$6:$D$505,2,FALSE),D646))</f>
        <v/>
      </c>
      <c r="L646" s="17">
        <f>IF(D646="","",IFERROR(VLOOKUP(D646,'Ürün Eşleştirme'!$A$6:$D$505,4,FALSE),1))</f>
        <v/>
      </c>
      <c r="M646" s="16">
        <f>IF(I646="","",I646/L646)</f>
        <v/>
      </c>
      <c r="N646" s="16">
        <f>IF(M646="","",IFERROR(AVERAGEIFS($M$10:$M$1009,$K$10:$K$1009,K646,$A$10:$A$1009,"&lt;"&amp;A646,$A$10:$A$1009,"&gt;="&amp;(A646-$C$6)),""))</f>
        <v/>
      </c>
      <c r="O646" s="16">
        <f>IF(M646="","",_xlfn.MINIFS($M$10:$M$1009,$K$10:$K$1009,K646,$A$10:$A$1009,"&lt;="&amp;A646,$A$10:$A$1009,"&gt;="&amp;(A646-$C$6)))</f>
        <v/>
      </c>
      <c r="P646" s="18">
        <f>IF(OR(N646="",N646=0),"",M646/N646-1)</f>
        <v/>
      </c>
      <c r="Q646">
        <f>IF(D646="","",IF(COUNTIFS($B$10:$B$1009,B646,$C$10:$C$1009,C646,$D$10:$D$1009,D646,$E$10:$E$1009,E646)&gt;1,"MÜKERRER?",IF(P646="","",IF(P646&gt;=$C$5,"İNCELE",IF(P646&lt;=-$C$5,"Düşük",""))))</f>
        <v/>
      </c>
      <c r="R646" s="16">
        <f>IF(AND(P646&lt;&gt;"",N(P646)&gt;=$C$5,COUNTIFS($B$10:B646,B646,$C$10:C646,C646,$D$10:D646,D646,$E$10:E646,E646)=1),(M646-N646)*E646*L646,0)</f>
        <v/>
      </c>
      <c r="S646" s="19">
        <f>IF(D646="",0,N(E646)*L646)</f>
        <v/>
      </c>
    </row>
    <row r="647">
      <c r="A647" s="11" t="n"/>
      <c r="B647" s="12" t="n"/>
      <c r="C647" s="12" t="n"/>
      <c r="D647" s="12" t="n"/>
      <c r="E647" s="13" t="n"/>
      <c r="F647" s="12" t="n"/>
      <c r="G647" s="14" t="n"/>
      <c r="H647" s="15" t="n"/>
      <c r="I647" s="16">
        <f>IF(G647="","",G647*(1-N(H647)))</f>
        <v/>
      </c>
      <c r="J647" s="16">
        <f>IF(I647="","",E647*I647)</f>
        <v/>
      </c>
      <c r="K647">
        <f>IF(D647="","",IFERROR(VLOOKUP(D647,'Ürün Eşleştirme'!$A$6:$D$505,2,FALSE),D647))</f>
        <v/>
      </c>
      <c r="L647" s="17">
        <f>IF(D647="","",IFERROR(VLOOKUP(D647,'Ürün Eşleştirme'!$A$6:$D$505,4,FALSE),1))</f>
        <v/>
      </c>
      <c r="M647" s="16">
        <f>IF(I647="","",I647/L647)</f>
        <v/>
      </c>
      <c r="N647" s="16">
        <f>IF(M647="","",IFERROR(AVERAGEIFS($M$10:$M$1009,$K$10:$K$1009,K647,$A$10:$A$1009,"&lt;"&amp;A647,$A$10:$A$1009,"&gt;="&amp;(A647-$C$6)),""))</f>
        <v/>
      </c>
      <c r="O647" s="16">
        <f>IF(M647="","",_xlfn.MINIFS($M$10:$M$1009,$K$10:$K$1009,K647,$A$10:$A$1009,"&lt;="&amp;A647,$A$10:$A$1009,"&gt;="&amp;(A647-$C$6)))</f>
        <v/>
      </c>
      <c r="P647" s="18">
        <f>IF(OR(N647="",N647=0),"",M647/N647-1)</f>
        <v/>
      </c>
      <c r="Q647">
        <f>IF(D647="","",IF(COUNTIFS($B$10:$B$1009,B647,$C$10:$C$1009,C647,$D$10:$D$1009,D647,$E$10:$E$1009,E647)&gt;1,"MÜKERRER?",IF(P647="","",IF(P647&gt;=$C$5,"İNCELE",IF(P647&lt;=-$C$5,"Düşük",""))))</f>
        <v/>
      </c>
      <c r="R647" s="16">
        <f>IF(AND(P647&lt;&gt;"",N(P647)&gt;=$C$5,COUNTIFS($B$10:B647,B647,$C$10:C647,C647,$D$10:D647,D647,$E$10:E647,E647)=1),(M647-N647)*E647*L647,0)</f>
        <v/>
      </c>
      <c r="S647" s="19">
        <f>IF(D647="",0,N(E647)*L647)</f>
        <v/>
      </c>
    </row>
    <row r="648">
      <c r="A648" s="11" t="n"/>
      <c r="B648" s="12" t="n"/>
      <c r="C648" s="12" t="n"/>
      <c r="D648" s="12" t="n"/>
      <c r="E648" s="13" t="n"/>
      <c r="F648" s="12" t="n"/>
      <c r="G648" s="14" t="n"/>
      <c r="H648" s="15" t="n"/>
      <c r="I648" s="16">
        <f>IF(G648="","",G648*(1-N(H648)))</f>
        <v/>
      </c>
      <c r="J648" s="16">
        <f>IF(I648="","",E648*I648)</f>
        <v/>
      </c>
      <c r="K648">
        <f>IF(D648="","",IFERROR(VLOOKUP(D648,'Ürün Eşleştirme'!$A$6:$D$505,2,FALSE),D648))</f>
        <v/>
      </c>
      <c r="L648" s="17">
        <f>IF(D648="","",IFERROR(VLOOKUP(D648,'Ürün Eşleştirme'!$A$6:$D$505,4,FALSE),1))</f>
        <v/>
      </c>
      <c r="M648" s="16">
        <f>IF(I648="","",I648/L648)</f>
        <v/>
      </c>
      <c r="N648" s="16">
        <f>IF(M648="","",IFERROR(AVERAGEIFS($M$10:$M$1009,$K$10:$K$1009,K648,$A$10:$A$1009,"&lt;"&amp;A648,$A$10:$A$1009,"&gt;="&amp;(A648-$C$6)),""))</f>
        <v/>
      </c>
      <c r="O648" s="16">
        <f>IF(M648="","",_xlfn.MINIFS($M$10:$M$1009,$K$10:$K$1009,K648,$A$10:$A$1009,"&lt;="&amp;A648,$A$10:$A$1009,"&gt;="&amp;(A648-$C$6)))</f>
        <v/>
      </c>
      <c r="P648" s="18">
        <f>IF(OR(N648="",N648=0),"",M648/N648-1)</f>
        <v/>
      </c>
      <c r="Q648">
        <f>IF(D648="","",IF(COUNTIFS($B$10:$B$1009,B648,$C$10:$C$1009,C648,$D$10:$D$1009,D648,$E$10:$E$1009,E648)&gt;1,"MÜKERRER?",IF(P648="","",IF(P648&gt;=$C$5,"İNCELE",IF(P648&lt;=-$C$5,"Düşük",""))))</f>
        <v/>
      </c>
      <c r="R648" s="16">
        <f>IF(AND(P648&lt;&gt;"",N(P648)&gt;=$C$5,COUNTIFS($B$10:B648,B648,$C$10:C648,C648,$D$10:D648,D648,$E$10:E648,E648)=1),(M648-N648)*E648*L648,0)</f>
        <v/>
      </c>
      <c r="S648" s="19">
        <f>IF(D648="",0,N(E648)*L648)</f>
        <v/>
      </c>
    </row>
    <row r="649">
      <c r="A649" s="11" t="n"/>
      <c r="B649" s="12" t="n"/>
      <c r="C649" s="12" t="n"/>
      <c r="D649" s="12" t="n"/>
      <c r="E649" s="13" t="n"/>
      <c r="F649" s="12" t="n"/>
      <c r="G649" s="14" t="n"/>
      <c r="H649" s="15" t="n"/>
      <c r="I649" s="16">
        <f>IF(G649="","",G649*(1-N(H649)))</f>
        <v/>
      </c>
      <c r="J649" s="16">
        <f>IF(I649="","",E649*I649)</f>
        <v/>
      </c>
      <c r="K649">
        <f>IF(D649="","",IFERROR(VLOOKUP(D649,'Ürün Eşleştirme'!$A$6:$D$505,2,FALSE),D649))</f>
        <v/>
      </c>
      <c r="L649" s="17">
        <f>IF(D649="","",IFERROR(VLOOKUP(D649,'Ürün Eşleştirme'!$A$6:$D$505,4,FALSE),1))</f>
        <v/>
      </c>
      <c r="M649" s="16">
        <f>IF(I649="","",I649/L649)</f>
        <v/>
      </c>
      <c r="N649" s="16">
        <f>IF(M649="","",IFERROR(AVERAGEIFS($M$10:$M$1009,$K$10:$K$1009,K649,$A$10:$A$1009,"&lt;"&amp;A649,$A$10:$A$1009,"&gt;="&amp;(A649-$C$6)),""))</f>
        <v/>
      </c>
      <c r="O649" s="16">
        <f>IF(M649="","",_xlfn.MINIFS($M$10:$M$1009,$K$10:$K$1009,K649,$A$10:$A$1009,"&lt;="&amp;A649,$A$10:$A$1009,"&gt;="&amp;(A649-$C$6)))</f>
        <v/>
      </c>
      <c r="P649" s="18">
        <f>IF(OR(N649="",N649=0),"",M649/N649-1)</f>
        <v/>
      </c>
      <c r="Q649">
        <f>IF(D649="","",IF(COUNTIFS($B$10:$B$1009,B649,$C$10:$C$1009,C649,$D$10:$D$1009,D649,$E$10:$E$1009,E649)&gt;1,"MÜKERRER?",IF(P649="","",IF(P649&gt;=$C$5,"İNCELE",IF(P649&lt;=-$C$5,"Düşük",""))))</f>
        <v/>
      </c>
      <c r="R649" s="16">
        <f>IF(AND(P649&lt;&gt;"",N(P649)&gt;=$C$5,COUNTIFS($B$10:B649,B649,$C$10:C649,C649,$D$10:D649,D649,$E$10:E649,E649)=1),(M649-N649)*E649*L649,0)</f>
        <v/>
      </c>
      <c r="S649" s="19">
        <f>IF(D649="",0,N(E649)*L649)</f>
        <v/>
      </c>
    </row>
    <row r="650">
      <c r="A650" s="11" t="n"/>
      <c r="B650" s="12" t="n"/>
      <c r="C650" s="12" t="n"/>
      <c r="D650" s="12" t="n"/>
      <c r="E650" s="13" t="n"/>
      <c r="F650" s="12" t="n"/>
      <c r="G650" s="14" t="n"/>
      <c r="H650" s="15" t="n"/>
      <c r="I650" s="16">
        <f>IF(G650="","",G650*(1-N(H650)))</f>
        <v/>
      </c>
      <c r="J650" s="16">
        <f>IF(I650="","",E650*I650)</f>
        <v/>
      </c>
      <c r="K650">
        <f>IF(D650="","",IFERROR(VLOOKUP(D650,'Ürün Eşleştirme'!$A$6:$D$505,2,FALSE),D650))</f>
        <v/>
      </c>
      <c r="L650" s="17">
        <f>IF(D650="","",IFERROR(VLOOKUP(D650,'Ürün Eşleştirme'!$A$6:$D$505,4,FALSE),1))</f>
        <v/>
      </c>
      <c r="M650" s="16">
        <f>IF(I650="","",I650/L650)</f>
        <v/>
      </c>
      <c r="N650" s="16">
        <f>IF(M650="","",IFERROR(AVERAGEIFS($M$10:$M$1009,$K$10:$K$1009,K650,$A$10:$A$1009,"&lt;"&amp;A650,$A$10:$A$1009,"&gt;="&amp;(A650-$C$6)),""))</f>
        <v/>
      </c>
      <c r="O650" s="16">
        <f>IF(M650="","",_xlfn.MINIFS($M$10:$M$1009,$K$10:$K$1009,K650,$A$10:$A$1009,"&lt;="&amp;A650,$A$10:$A$1009,"&gt;="&amp;(A650-$C$6)))</f>
        <v/>
      </c>
      <c r="P650" s="18">
        <f>IF(OR(N650="",N650=0),"",M650/N650-1)</f>
        <v/>
      </c>
      <c r="Q650">
        <f>IF(D650="","",IF(COUNTIFS($B$10:$B$1009,B650,$C$10:$C$1009,C650,$D$10:$D$1009,D650,$E$10:$E$1009,E650)&gt;1,"MÜKERRER?",IF(P650="","",IF(P650&gt;=$C$5,"İNCELE",IF(P650&lt;=-$C$5,"Düşük",""))))</f>
        <v/>
      </c>
      <c r="R650" s="16">
        <f>IF(AND(P650&lt;&gt;"",N(P650)&gt;=$C$5,COUNTIFS($B$10:B650,B650,$C$10:C650,C650,$D$10:D650,D650,$E$10:E650,E650)=1),(M650-N650)*E650*L650,0)</f>
        <v/>
      </c>
      <c r="S650" s="19">
        <f>IF(D650="",0,N(E650)*L650)</f>
        <v/>
      </c>
    </row>
    <row r="651">
      <c r="A651" s="11" t="n"/>
      <c r="B651" s="12" t="n"/>
      <c r="C651" s="12" t="n"/>
      <c r="D651" s="12" t="n"/>
      <c r="E651" s="13" t="n"/>
      <c r="F651" s="12" t="n"/>
      <c r="G651" s="14" t="n"/>
      <c r="H651" s="15" t="n"/>
      <c r="I651" s="16">
        <f>IF(G651="","",G651*(1-N(H651)))</f>
        <v/>
      </c>
      <c r="J651" s="16">
        <f>IF(I651="","",E651*I651)</f>
        <v/>
      </c>
      <c r="K651">
        <f>IF(D651="","",IFERROR(VLOOKUP(D651,'Ürün Eşleştirme'!$A$6:$D$505,2,FALSE),D651))</f>
        <v/>
      </c>
      <c r="L651" s="17">
        <f>IF(D651="","",IFERROR(VLOOKUP(D651,'Ürün Eşleştirme'!$A$6:$D$505,4,FALSE),1))</f>
        <v/>
      </c>
      <c r="M651" s="16">
        <f>IF(I651="","",I651/L651)</f>
        <v/>
      </c>
      <c r="N651" s="16">
        <f>IF(M651="","",IFERROR(AVERAGEIFS($M$10:$M$1009,$K$10:$K$1009,K651,$A$10:$A$1009,"&lt;"&amp;A651,$A$10:$A$1009,"&gt;="&amp;(A651-$C$6)),""))</f>
        <v/>
      </c>
      <c r="O651" s="16">
        <f>IF(M651="","",_xlfn.MINIFS($M$10:$M$1009,$K$10:$K$1009,K651,$A$10:$A$1009,"&lt;="&amp;A651,$A$10:$A$1009,"&gt;="&amp;(A651-$C$6)))</f>
        <v/>
      </c>
      <c r="P651" s="18">
        <f>IF(OR(N651="",N651=0),"",M651/N651-1)</f>
        <v/>
      </c>
      <c r="Q651">
        <f>IF(D651="","",IF(COUNTIFS($B$10:$B$1009,B651,$C$10:$C$1009,C651,$D$10:$D$1009,D651,$E$10:$E$1009,E651)&gt;1,"MÜKERRER?",IF(P651="","",IF(P651&gt;=$C$5,"İNCELE",IF(P651&lt;=-$C$5,"Düşük",""))))</f>
        <v/>
      </c>
      <c r="R651" s="16">
        <f>IF(AND(P651&lt;&gt;"",N(P651)&gt;=$C$5,COUNTIFS($B$10:B651,B651,$C$10:C651,C651,$D$10:D651,D651,$E$10:E651,E651)=1),(M651-N651)*E651*L651,0)</f>
        <v/>
      </c>
      <c r="S651" s="19">
        <f>IF(D651="",0,N(E651)*L651)</f>
        <v/>
      </c>
    </row>
    <row r="652">
      <c r="A652" s="11" t="n"/>
      <c r="B652" s="12" t="n"/>
      <c r="C652" s="12" t="n"/>
      <c r="D652" s="12" t="n"/>
      <c r="E652" s="13" t="n"/>
      <c r="F652" s="12" t="n"/>
      <c r="G652" s="14" t="n"/>
      <c r="H652" s="15" t="n"/>
      <c r="I652" s="16">
        <f>IF(G652="","",G652*(1-N(H652)))</f>
        <v/>
      </c>
      <c r="J652" s="16">
        <f>IF(I652="","",E652*I652)</f>
        <v/>
      </c>
      <c r="K652">
        <f>IF(D652="","",IFERROR(VLOOKUP(D652,'Ürün Eşleştirme'!$A$6:$D$505,2,FALSE),D652))</f>
        <v/>
      </c>
      <c r="L652" s="17">
        <f>IF(D652="","",IFERROR(VLOOKUP(D652,'Ürün Eşleştirme'!$A$6:$D$505,4,FALSE),1))</f>
        <v/>
      </c>
      <c r="M652" s="16">
        <f>IF(I652="","",I652/L652)</f>
        <v/>
      </c>
      <c r="N652" s="16">
        <f>IF(M652="","",IFERROR(AVERAGEIFS($M$10:$M$1009,$K$10:$K$1009,K652,$A$10:$A$1009,"&lt;"&amp;A652,$A$10:$A$1009,"&gt;="&amp;(A652-$C$6)),""))</f>
        <v/>
      </c>
      <c r="O652" s="16">
        <f>IF(M652="","",_xlfn.MINIFS($M$10:$M$1009,$K$10:$K$1009,K652,$A$10:$A$1009,"&lt;="&amp;A652,$A$10:$A$1009,"&gt;="&amp;(A652-$C$6)))</f>
        <v/>
      </c>
      <c r="P652" s="18">
        <f>IF(OR(N652="",N652=0),"",M652/N652-1)</f>
        <v/>
      </c>
      <c r="Q652">
        <f>IF(D652="","",IF(COUNTIFS($B$10:$B$1009,B652,$C$10:$C$1009,C652,$D$10:$D$1009,D652,$E$10:$E$1009,E652)&gt;1,"MÜKERRER?",IF(P652="","",IF(P652&gt;=$C$5,"İNCELE",IF(P652&lt;=-$C$5,"Düşük",""))))</f>
        <v/>
      </c>
      <c r="R652" s="16">
        <f>IF(AND(P652&lt;&gt;"",N(P652)&gt;=$C$5,COUNTIFS($B$10:B652,B652,$C$10:C652,C652,$D$10:D652,D652,$E$10:E652,E652)=1),(M652-N652)*E652*L652,0)</f>
        <v/>
      </c>
      <c r="S652" s="19">
        <f>IF(D652="",0,N(E652)*L652)</f>
        <v/>
      </c>
    </row>
    <row r="653">
      <c r="A653" s="11" t="n"/>
      <c r="B653" s="12" t="n"/>
      <c r="C653" s="12" t="n"/>
      <c r="D653" s="12" t="n"/>
      <c r="E653" s="13" t="n"/>
      <c r="F653" s="12" t="n"/>
      <c r="G653" s="14" t="n"/>
      <c r="H653" s="15" t="n"/>
      <c r="I653" s="16">
        <f>IF(G653="","",G653*(1-N(H653)))</f>
        <v/>
      </c>
      <c r="J653" s="16">
        <f>IF(I653="","",E653*I653)</f>
        <v/>
      </c>
      <c r="K653">
        <f>IF(D653="","",IFERROR(VLOOKUP(D653,'Ürün Eşleştirme'!$A$6:$D$505,2,FALSE),D653))</f>
        <v/>
      </c>
      <c r="L653" s="17">
        <f>IF(D653="","",IFERROR(VLOOKUP(D653,'Ürün Eşleştirme'!$A$6:$D$505,4,FALSE),1))</f>
        <v/>
      </c>
      <c r="M653" s="16">
        <f>IF(I653="","",I653/L653)</f>
        <v/>
      </c>
      <c r="N653" s="16">
        <f>IF(M653="","",IFERROR(AVERAGEIFS($M$10:$M$1009,$K$10:$K$1009,K653,$A$10:$A$1009,"&lt;"&amp;A653,$A$10:$A$1009,"&gt;="&amp;(A653-$C$6)),""))</f>
        <v/>
      </c>
      <c r="O653" s="16">
        <f>IF(M653="","",_xlfn.MINIFS($M$10:$M$1009,$K$10:$K$1009,K653,$A$10:$A$1009,"&lt;="&amp;A653,$A$10:$A$1009,"&gt;="&amp;(A653-$C$6)))</f>
        <v/>
      </c>
      <c r="P653" s="18">
        <f>IF(OR(N653="",N653=0),"",M653/N653-1)</f>
        <v/>
      </c>
      <c r="Q653">
        <f>IF(D653="","",IF(COUNTIFS($B$10:$B$1009,B653,$C$10:$C$1009,C653,$D$10:$D$1009,D653,$E$10:$E$1009,E653)&gt;1,"MÜKERRER?",IF(P653="","",IF(P653&gt;=$C$5,"İNCELE",IF(P653&lt;=-$C$5,"Düşük",""))))</f>
        <v/>
      </c>
      <c r="R653" s="16">
        <f>IF(AND(P653&lt;&gt;"",N(P653)&gt;=$C$5,COUNTIFS($B$10:B653,B653,$C$10:C653,C653,$D$10:D653,D653,$E$10:E653,E653)=1),(M653-N653)*E653*L653,0)</f>
        <v/>
      </c>
      <c r="S653" s="19">
        <f>IF(D653="",0,N(E653)*L653)</f>
        <v/>
      </c>
    </row>
    <row r="654">
      <c r="A654" s="11" t="n"/>
      <c r="B654" s="12" t="n"/>
      <c r="C654" s="12" t="n"/>
      <c r="D654" s="12" t="n"/>
      <c r="E654" s="13" t="n"/>
      <c r="F654" s="12" t="n"/>
      <c r="G654" s="14" t="n"/>
      <c r="H654" s="15" t="n"/>
      <c r="I654" s="16">
        <f>IF(G654="","",G654*(1-N(H654)))</f>
        <v/>
      </c>
      <c r="J654" s="16">
        <f>IF(I654="","",E654*I654)</f>
        <v/>
      </c>
      <c r="K654">
        <f>IF(D654="","",IFERROR(VLOOKUP(D654,'Ürün Eşleştirme'!$A$6:$D$505,2,FALSE),D654))</f>
        <v/>
      </c>
      <c r="L654" s="17">
        <f>IF(D654="","",IFERROR(VLOOKUP(D654,'Ürün Eşleştirme'!$A$6:$D$505,4,FALSE),1))</f>
        <v/>
      </c>
      <c r="M654" s="16">
        <f>IF(I654="","",I654/L654)</f>
        <v/>
      </c>
      <c r="N654" s="16">
        <f>IF(M654="","",IFERROR(AVERAGEIFS($M$10:$M$1009,$K$10:$K$1009,K654,$A$10:$A$1009,"&lt;"&amp;A654,$A$10:$A$1009,"&gt;="&amp;(A654-$C$6)),""))</f>
        <v/>
      </c>
      <c r="O654" s="16">
        <f>IF(M654="","",_xlfn.MINIFS($M$10:$M$1009,$K$10:$K$1009,K654,$A$10:$A$1009,"&lt;="&amp;A654,$A$10:$A$1009,"&gt;="&amp;(A654-$C$6)))</f>
        <v/>
      </c>
      <c r="P654" s="18">
        <f>IF(OR(N654="",N654=0),"",M654/N654-1)</f>
        <v/>
      </c>
      <c r="Q654">
        <f>IF(D654="","",IF(COUNTIFS($B$10:$B$1009,B654,$C$10:$C$1009,C654,$D$10:$D$1009,D654,$E$10:$E$1009,E654)&gt;1,"MÜKERRER?",IF(P654="","",IF(P654&gt;=$C$5,"İNCELE",IF(P654&lt;=-$C$5,"Düşük",""))))</f>
        <v/>
      </c>
      <c r="R654" s="16">
        <f>IF(AND(P654&lt;&gt;"",N(P654)&gt;=$C$5,COUNTIFS($B$10:B654,B654,$C$10:C654,C654,$D$10:D654,D654,$E$10:E654,E654)=1),(M654-N654)*E654*L654,0)</f>
        <v/>
      </c>
      <c r="S654" s="19">
        <f>IF(D654="",0,N(E654)*L654)</f>
        <v/>
      </c>
    </row>
    <row r="655">
      <c r="A655" s="11" t="n"/>
      <c r="B655" s="12" t="n"/>
      <c r="C655" s="12" t="n"/>
      <c r="D655" s="12" t="n"/>
      <c r="E655" s="13" t="n"/>
      <c r="F655" s="12" t="n"/>
      <c r="G655" s="14" t="n"/>
      <c r="H655" s="15" t="n"/>
      <c r="I655" s="16">
        <f>IF(G655="","",G655*(1-N(H655)))</f>
        <v/>
      </c>
      <c r="J655" s="16">
        <f>IF(I655="","",E655*I655)</f>
        <v/>
      </c>
      <c r="K655">
        <f>IF(D655="","",IFERROR(VLOOKUP(D655,'Ürün Eşleştirme'!$A$6:$D$505,2,FALSE),D655))</f>
        <v/>
      </c>
      <c r="L655" s="17">
        <f>IF(D655="","",IFERROR(VLOOKUP(D655,'Ürün Eşleştirme'!$A$6:$D$505,4,FALSE),1))</f>
        <v/>
      </c>
      <c r="M655" s="16">
        <f>IF(I655="","",I655/L655)</f>
        <v/>
      </c>
      <c r="N655" s="16">
        <f>IF(M655="","",IFERROR(AVERAGEIFS($M$10:$M$1009,$K$10:$K$1009,K655,$A$10:$A$1009,"&lt;"&amp;A655,$A$10:$A$1009,"&gt;="&amp;(A655-$C$6)),""))</f>
        <v/>
      </c>
      <c r="O655" s="16">
        <f>IF(M655="","",_xlfn.MINIFS($M$10:$M$1009,$K$10:$K$1009,K655,$A$10:$A$1009,"&lt;="&amp;A655,$A$10:$A$1009,"&gt;="&amp;(A655-$C$6)))</f>
        <v/>
      </c>
      <c r="P655" s="18">
        <f>IF(OR(N655="",N655=0),"",M655/N655-1)</f>
        <v/>
      </c>
      <c r="Q655">
        <f>IF(D655="","",IF(COUNTIFS($B$10:$B$1009,B655,$C$10:$C$1009,C655,$D$10:$D$1009,D655,$E$10:$E$1009,E655)&gt;1,"MÜKERRER?",IF(P655="","",IF(P655&gt;=$C$5,"İNCELE",IF(P655&lt;=-$C$5,"Düşük",""))))</f>
        <v/>
      </c>
      <c r="R655" s="16">
        <f>IF(AND(P655&lt;&gt;"",N(P655)&gt;=$C$5,COUNTIFS($B$10:B655,B655,$C$10:C655,C655,$D$10:D655,D655,$E$10:E655,E655)=1),(M655-N655)*E655*L655,0)</f>
        <v/>
      </c>
      <c r="S655" s="19">
        <f>IF(D655="",0,N(E655)*L655)</f>
        <v/>
      </c>
    </row>
    <row r="656">
      <c r="A656" s="11" t="n"/>
      <c r="B656" s="12" t="n"/>
      <c r="C656" s="12" t="n"/>
      <c r="D656" s="12" t="n"/>
      <c r="E656" s="13" t="n"/>
      <c r="F656" s="12" t="n"/>
      <c r="G656" s="14" t="n"/>
      <c r="H656" s="15" t="n"/>
      <c r="I656" s="16">
        <f>IF(G656="","",G656*(1-N(H656)))</f>
        <v/>
      </c>
      <c r="J656" s="16">
        <f>IF(I656="","",E656*I656)</f>
        <v/>
      </c>
      <c r="K656">
        <f>IF(D656="","",IFERROR(VLOOKUP(D656,'Ürün Eşleştirme'!$A$6:$D$505,2,FALSE),D656))</f>
        <v/>
      </c>
      <c r="L656" s="17">
        <f>IF(D656="","",IFERROR(VLOOKUP(D656,'Ürün Eşleştirme'!$A$6:$D$505,4,FALSE),1))</f>
        <v/>
      </c>
      <c r="M656" s="16">
        <f>IF(I656="","",I656/L656)</f>
        <v/>
      </c>
      <c r="N656" s="16">
        <f>IF(M656="","",IFERROR(AVERAGEIFS($M$10:$M$1009,$K$10:$K$1009,K656,$A$10:$A$1009,"&lt;"&amp;A656,$A$10:$A$1009,"&gt;="&amp;(A656-$C$6)),""))</f>
        <v/>
      </c>
      <c r="O656" s="16">
        <f>IF(M656="","",_xlfn.MINIFS($M$10:$M$1009,$K$10:$K$1009,K656,$A$10:$A$1009,"&lt;="&amp;A656,$A$10:$A$1009,"&gt;="&amp;(A656-$C$6)))</f>
        <v/>
      </c>
      <c r="P656" s="18">
        <f>IF(OR(N656="",N656=0),"",M656/N656-1)</f>
        <v/>
      </c>
      <c r="Q656">
        <f>IF(D656="","",IF(COUNTIFS($B$10:$B$1009,B656,$C$10:$C$1009,C656,$D$10:$D$1009,D656,$E$10:$E$1009,E656)&gt;1,"MÜKERRER?",IF(P656="","",IF(P656&gt;=$C$5,"İNCELE",IF(P656&lt;=-$C$5,"Düşük",""))))</f>
        <v/>
      </c>
      <c r="R656" s="16">
        <f>IF(AND(P656&lt;&gt;"",N(P656)&gt;=$C$5,COUNTIFS($B$10:B656,B656,$C$10:C656,C656,$D$10:D656,D656,$E$10:E656,E656)=1),(M656-N656)*E656*L656,0)</f>
        <v/>
      </c>
      <c r="S656" s="19">
        <f>IF(D656="",0,N(E656)*L656)</f>
        <v/>
      </c>
    </row>
    <row r="657">
      <c r="A657" s="11" t="n"/>
      <c r="B657" s="12" t="n"/>
      <c r="C657" s="12" t="n"/>
      <c r="D657" s="12" t="n"/>
      <c r="E657" s="13" t="n"/>
      <c r="F657" s="12" t="n"/>
      <c r="G657" s="14" t="n"/>
      <c r="H657" s="15" t="n"/>
      <c r="I657" s="16">
        <f>IF(G657="","",G657*(1-N(H657)))</f>
        <v/>
      </c>
      <c r="J657" s="16">
        <f>IF(I657="","",E657*I657)</f>
        <v/>
      </c>
      <c r="K657">
        <f>IF(D657="","",IFERROR(VLOOKUP(D657,'Ürün Eşleştirme'!$A$6:$D$505,2,FALSE),D657))</f>
        <v/>
      </c>
      <c r="L657" s="17">
        <f>IF(D657="","",IFERROR(VLOOKUP(D657,'Ürün Eşleştirme'!$A$6:$D$505,4,FALSE),1))</f>
        <v/>
      </c>
      <c r="M657" s="16">
        <f>IF(I657="","",I657/L657)</f>
        <v/>
      </c>
      <c r="N657" s="16">
        <f>IF(M657="","",IFERROR(AVERAGEIFS($M$10:$M$1009,$K$10:$K$1009,K657,$A$10:$A$1009,"&lt;"&amp;A657,$A$10:$A$1009,"&gt;="&amp;(A657-$C$6)),""))</f>
        <v/>
      </c>
      <c r="O657" s="16">
        <f>IF(M657="","",_xlfn.MINIFS($M$10:$M$1009,$K$10:$K$1009,K657,$A$10:$A$1009,"&lt;="&amp;A657,$A$10:$A$1009,"&gt;="&amp;(A657-$C$6)))</f>
        <v/>
      </c>
      <c r="P657" s="18">
        <f>IF(OR(N657="",N657=0),"",M657/N657-1)</f>
        <v/>
      </c>
      <c r="Q657">
        <f>IF(D657="","",IF(COUNTIFS($B$10:$B$1009,B657,$C$10:$C$1009,C657,$D$10:$D$1009,D657,$E$10:$E$1009,E657)&gt;1,"MÜKERRER?",IF(P657="","",IF(P657&gt;=$C$5,"İNCELE",IF(P657&lt;=-$C$5,"Düşük",""))))</f>
        <v/>
      </c>
      <c r="R657" s="16">
        <f>IF(AND(P657&lt;&gt;"",N(P657)&gt;=$C$5,COUNTIFS($B$10:B657,B657,$C$10:C657,C657,$D$10:D657,D657,$E$10:E657,E657)=1),(M657-N657)*E657*L657,0)</f>
        <v/>
      </c>
      <c r="S657" s="19">
        <f>IF(D657="",0,N(E657)*L657)</f>
        <v/>
      </c>
    </row>
    <row r="658">
      <c r="A658" s="11" t="n"/>
      <c r="B658" s="12" t="n"/>
      <c r="C658" s="12" t="n"/>
      <c r="D658" s="12" t="n"/>
      <c r="E658" s="13" t="n"/>
      <c r="F658" s="12" t="n"/>
      <c r="G658" s="14" t="n"/>
      <c r="H658" s="15" t="n"/>
      <c r="I658" s="16">
        <f>IF(G658="","",G658*(1-N(H658)))</f>
        <v/>
      </c>
      <c r="J658" s="16">
        <f>IF(I658="","",E658*I658)</f>
        <v/>
      </c>
      <c r="K658">
        <f>IF(D658="","",IFERROR(VLOOKUP(D658,'Ürün Eşleştirme'!$A$6:$D$505,2,FALSE),D658))</f>
        <v/>
      </c>
      <c r="L658" s="17">
        <f>IF(D658="","",IFERROR(VLOOKUP(D658,'Ürün Eşleştirme'!$A$6:$D$505,4,FALSE),1))</f>
        <v/>
      </c>
      <c r="M658" s="16">
        <f>IF(I658="","",I658/L658)</f>
        <v/>
      </c>
      <c r="N658" s="16">
        <f>IF(M658="","",IFERROR(AVERAGEIFS($M$10:$M$1009,$K$10:$K$1009,K658,$A$10:$A$1009,"&lt;"&amp;A658,$A$10:$A$1009,"&gt;="&amp;(A658-$C$6)),""))</f>
        <v/>
      </c>
      <c r="O658" s="16">
        <f>IF(M658="","",_xlfn.MINIFS($M$10:$M$1009,$K$10:$K$1009,K658,$A$10:$A$1009,"&lt;="&amp;A658,$A$10:$A$1009,"&gt;="&amp;(A658-$C$6)))</f>
        <v/>
      </c>
      <c r="P658" s="18">
        <f>IF(OR(N658="",N658=0),"",M658/N658-1)</f>
        <v/>
      </c>
      <c r="Q658">
        <f>IF(D658="","",IF(COUNTIFS($B$10:$B$1009,B658,$C$10:$C$1009,C658,$D$10:$D$1009,D658,$E$10:$E$1009,E658)&gt;1,"MÜKERRER?",IF(P658="","",IF(P658&gt;=$C$5,"İNCELE",IF(P658&lt;=-$C$5,"Düşük",""))))</f>
        <v/>
      </c>
      <c r="R658" s="16">
        <f>IF(AND(P658&lt;&gt;"",N(P658)&gt;=$C$5,COUNTIFS($B$10:B658,B658,$C$10:C658,C658,$D$10:D658,D658,$E$10:E658,E658)=1),(M658-N658)*E658*L658,0)</f>
        <v/>
      </c>
      <c r="S658" s="19">
        <f>IF(D658="",0,N(E658)*L658)</f>
        <v/>
      </c>
    </row>
    <row r="659">
      <c r="A659" s="11" t="n"/>
      <c r="B659" s="12" t="n"/>
      <c r="C659" s="12" t="n"/>
      <c r="D659" s="12" t="n"/>
      <c r="E659" s="13" t="n"/>
      <c r="F659" s="12" t="n"/>
      <c r="G659" s="14" t="n"/>
      <c r="H659" s="15" t="n"/>
      <c r="I659" s="16">
        <f>IF(G659="","",G659*(1-N(H659)))</f>
        <v/>
      </c>
      <c r="J659" s="16">
        <f>IF(I659="","",E659*I659)</f>
        <v/>
      </c>
      <c r="K659">
        <f>IF(D659="","",IFERROR(VLOOKUP(D659,'Ürün Eşleştirme'!$A$6:$D$505,2,FALSE),D659))</f>
        <v/>
      </c>
      <c r="L659" s="17">
        <f>IF(D659="","",IFERROR(VLOOKUP(D659,'Ürün Eşleştirme'!$A$6:$D$505,4,FALSE),1))</f>
        <v/>
      </c>
      <c r="M659" s="16">
        <f>IF(I659="","",I659/L659)</f>
        <v/>
      </c>
      <c r="N659" s="16">
        <f>IF(M659="","",IFERROR(AVERAGEIFS($M$10:$M$1009,$K$10:$K$1009,K659,$A$10:$A$1009,"&lt;"&amp;A659,$A$10:$A$1009,"&gt;="&amp;(A659-$C$6)),""))</f>
        <v/>
      </c>
      <c r="O659" s="16">
        <f>IF(M659="","",_xlfn.MINIFS($M$10:$M$1009,$K$10:$K$1009,K659,$A$10:$A$1009,"&lt;="&amp;A659,$A$10:$A$1009,"&gt;="&amp;(A659-$C$6)))</f>
        <v/>
      </c>
      <c r="P659" s="18">
        <f>IF(OR(N659="",N659=0),"",M659/N659-1)</f>
        <v/>
      </c>
      <c r="Q659">
        <f>IF(D659="","",IF(COUNTIFS($B$10:$B$1009,B659,$C$10:$C$1009,C659,$D$10:$D$1009,D659,$E$10:$E$1009,E659)&gt;1,"MÜKERRER?",IF(P659="","",IF(P659&gt;=$C$5,"İNCELE",IF(P659&lt;=-$C$5,"Düşük",""))))</f>
        <v/>
      </c>
      <c r="R659" s="16">
        <f>IF(AND(P659&lt;&gt;"",N(P659)&gt;=$C$5,COUNTIFS($B$10:B659,B659,$C$10:C659,C659,$D$10:D659,D659,$E$10:E659,E659)=1),(M659-N659)*E659*L659,0)</f>
        <v/>
      </c>
      <c r="S659" s="19">
        <f>IF(D659="",0,N(E659)*L659)</f>
        <v/>
      </c>
    </row>
    <row r="660">
      <c r="A660" s="11" t="n"/>
      <c r="B660" s="12" t="n"/>
      <c r="C660" s="12" t="n"/>
      <c r="D660" s="12" t="n"/>
      <c r="E660" s="13" t="n"/>
      <c r="F660" s="12" t="n"/>
      <c r="G660" s="14" t="n"/>
      <c r="H660" s="15" t="n"/>
      <c r="I660" s="16">
        <f>IF(G660="","",G660*(1-N(H660)))</f>
        <v/>
      </c>
      <c r="J660" s="16">
        <f>IF(I660="","",E660*I660)</f>
        <v/>
      </c>
      <c r="K660">
        <f>IF(D660="","",IFERROR(VLOOKUP(D660,'Ürün Eşleştirme'!$A$6:$D$505,2,FALSE),D660))</f>
        <v/>
      </c>
      <c r="L660" s="17">
        <f>IF(D660="","",IFERROR(VLOOKUP(D660,'Ürün Eşleştirme'!$A$6:$D$505,4,FALSE),1))</f>
        <v/>
      </c>
      <c r="M660" s="16">
        <f>IF(I660="","",I660/L660)</f>
        <v/>
      </c>
      <c r="N660" s="16">
        <f>IF(M660="","",IFERROR(AVERAGEIFS($M$10:$M$1009,$K$10:$K$1009,K660,$A$10:$A$1009,"&lt;"&amp;A660,$A$10:$A$1009,"&gt;="&amp;(A660-$C$6)),""))</f>
        <v/>
      </c>
      <c r="O660" s="16">
        <f>IF(M660="","",_xlfn.MINIFS($M$10:$M$1009,$K$10:$K$1009,K660,$A$10:$A$1009,"&lt;="&amp;A660,$A$10:$A$1009,"&gt;="&amp;(A660-$C$6)))</f>
        <v/>
      </c>
      <c r="P660" s="18">
        <f>IF(OR(N660="",N660=0),"",M660/N660-1)</f>
        <v/>
      </c>
      <c r="Q660">
        <f>IF(D660="","",IF(COUNTIFS($B$10:$B$1009,B660,$C$10:$C$1009,C660,$D$10:$D$1009,D660,$E$10:$E$1009,E660)&gt;1,"MÜKERRER?",IF(P660="","",IF(P660&gt;=$C$5,"İNCELE",IF(P660&lt;=-$C$5,"Düşük",""))))</f>
        <v/>
      </c>
      <c r="R660" s="16">
        <f>IF(AND(P660&lt;&gt;"",N(P660)&gt;=$C$5,COUNTIFS($B$10:B660,B660,$C$10:C660,C660,$D$10:D660,D660,$E$10:E660,E660)=1),(M660-N660)*E660*L660,0)</f>
        <v/>
      </c>
      <c r="S660" s="19">
        <f>IF(D660="",0,N(E660)*L660)</f>
        <v/>
      </c>
    </row>
    <row r="661">
      <c r="A661" s="11" t="n"/>
      <c r="B661" s="12" t="n"/>
      <c r="C661" s="12" t="n"/>
      <c r="D661" s="12" t="n"/>
      <c r="E661" s="13" t="n"/>
      <c r="F661" s="12" t="n"/>
      <c r="G661" s="14" t="n"/>
      <c r="H661" s="15" t="n"/>
      <c r="I661" s="16">
        <f>IF(G661="","",G661*(1-N(H661)))</f>
        <v/>
      </c>
      <c r="J661" s="16">
        <f>IF(I661="","",E661*I661)</f>
        <v/>
      </c>
      <c r="K661">
        <f>IF(D661="","",IFERROR(VLOOKUP(D661,'Ürün Eşleştirme'!$A$6:$D$505,2,FALSE),D661))</f>
        <v/>
      </c>
      <c r="L661" s="17">
        <f>IF(D661="","",IFERROR(VLOOKUP(D661,'Ürün Eşleştirme'!$A$6:$D$505,4,FALSE),1))</f>
        <v/>
      </c>
      <c r="M661" s="16">
        <f>IF(I661="","",I661/L661)</f>
        <v/>
      </c>
      <c r="N661" s="16">
        <f>IF(M661="","",IFERROR(AVERAGEIFS($M$10:$M$1009,$K$10:$K$1009,K661,$A$10:$A$1009,"&lt;"&amp;A661,$A$10:$A$1009,"&gt;="&amp;(A661-$C$6)),""))</f>
        <v/>
      </c>
      <c r="O661" s="16">
        <f>IF(M661="","",_xlfn.MINIFS($M$10:$M$1009,$K$10:$K$1009,K661,$A$10:$A$1009,"&lt;="&amp;A661,$A$10:$A$1009,"&gt;="&amp;(A661-$C$6)))</f>
        <v/>
      </c>
      <c r="P661" s="18">
        <f>IF(OR(N661="",N661=0),"",M661/N661-1)</f>
        <v/>
      </c>
      <c r="Q661">
        <f>IF(D661="","",IF(COUNTIFS($B$10:$B$1009,B661,$C$10:$C$1009,C661,$D$10:$D$1009,D661,$E$10:$E$1009,E661)&gt;1,"MÜKERRER?",IF(P661="","",IF(P661&gt;=$C$5,"İNCELE",IF(P661&lt;=-$C$5,"Düşük",""))))</f>
        <v/>
      </c>
      <c r="R661" s="16">
        <f>IF(AND(P661&lt;&gt;"",N(P661)&gt;=$C$5,COUNTIFS($B$10:B661,B661,$C$10:C661,C661,$D$10:D661,D661,$E$10:E661,E661)=1),(M661-N661)*E661*L661,0)</f>
        <v/>
      </c>
      <c r="S661" s="19">
        <f>IF(D661="",0,N(E661)*L661)</f>
        <v/>
      </c>
    </row>
    <row r="662">
      <c r="A662" s="11" t="n"/>
      <c r="B662" s="12" t="n"/>
      <c r="C662" s="12" t="n"/>
      <c r="D662" s="12" t="n"/>
      <c r="E662" s="13" t="n"/>
      <c r="F662" s="12" t="n"/>
      <c r="G662" s="14" t="n"/>
      <c r="H662" s="15" t="n"/>
      <c r="I662" s="16">
        <f>IF(G662="","",G662*(1-N(H662)))</f>
        <v/>
      </c>
      <c r="J662" s="16">
        <f>IF(I662="","",E662*I662)</f>
        <v/>
      </c>
      <c r="K662">
        <f>IF(D662="","",IFERROR(VLOOKUP(D662,'Ürün Eşleştirme'!$A$6:$D$505,2,FALSE),D662))</f>
        <v/>
      </c>
      <c r="L662" s="17">
        <f>IF(D662="","",IFERROR(VLOOKUP(D662,'Ürün Eşleştirme'!$A$6:$D$505,4,FALSE),1))</f>
        <v/>
      </c>
      <c r="M662" s="16">
        <f>IF(I662="","",I662/L662)</f>
        <v/>
      </c>
      <c r="N662" s="16">
        <f>IF(M662="","",IFERROR(AVERAGEIFS($M$10:$M$1009,$K$10:$K$1009,K662,$A$10:$A$1009,"&lt;"&amp;A662,$A$10:$A$1009,"&gt;="&amp;(A662-$C$6)),""))</f>
        <v/>
      </c>
      <c r="O662" s="16">
        <f>IF(M662="","",_xlfn.MINIFS($M$10:$M$1009,$K$10:$K$1009,K662,$A$10:$A$1009,"&lt;="&amp;A662,$A$10:$A$1009,"&gt;="&amp;(A662-$C$6)))</f>
        <v/>
      </c>
      <c r="P662" s="18">
        <f>IF(OR(N662="",N662=0),"",M662/N662-1)</f>
        <v/>
      </c>
      <c r="Q662">
        <f>IF(D662="","",IF(COUNTIFS($B$10:$B$1009,B662,$C$10:$C$1009,C662,$D$10:$D$1009,D662,$E$10:$E$1009,E662)&gt;1,"MÜKERRER?",IF(P662="","",IF(P662&gt;=$C$5,"İNCELE",IF(P662&lt;=-$C$5,"Düşük",""))))</f>
        <v/>
      </c>
      <c r="R662" s="16">
        <f>IF(AND(P662&lt;&gt;"",N(P662)&gt;=$C$5,COUNTIFS($B$10:B662,B662,$C$10:C662,C662,$D$10:D662,D662,$E$10:E662,E662)=1),(M662-N662)*E662*L662,0)</f>
        <v/>
      </c>
      <c r="S662" s="19">
        <f>IF(D662="",0,N(E662)*L662)</f>
        <v/>
      </c>
    </row>
    <row r="663">
      <c r="A663" s="11" t="n"/>
      <c r="B663" s="12" t="n"/>
      <c r="C663" s="12" t="n"/>
      <c r="D663" s="12" t="n"/>
      <c r="E663" s="13" t="n"/>
      <c r="F663" s="12" t="n"/>
      <c r="G663" s="14" t="n"/>
      <c r="H663" s="15" t="n"/>
      <c r="I663" s="16">
        <f>IF(G663="","",G663*(1-N(H663)))</f>
        <v/>
      </c>
      <c r="J663" s="16">
        <f>IF(I663="","",E663*I663)</f>
        <v/>
      </c>
      <c r="K663">
        <f>IF(D663="","",IFERROR(VLOOKUP(D663,'Ürün Eşleştirme'!$A$6:$D$505,2,FALSE),D663))</f>
        <v/>
      </c>
      <c r="L663" s="17">
        <f>IF(D663="","",IFERROR(VLOOKUP(D663,'Ürün Eşleştirme'!$A$6:$D$505,4,FALSE),1))</f>
        <v/>
      </c>
      <c r="M663" s="16">
        <f>IF(I663="","",I663/L663)</f>
        <v/>
      </c>
      <c r="N663" s="16">
        <f>IF(M663="","",IFERROR(AVERAGEIFS($M$10:$M$1009,$K$10:$K$1009,K663,$A$10:$A$1009,"&lt;"&amp;A663,$A$10:$A$1009,"&gt;="&amp;(A663-$C$6)),""))</f>
        <v/>
      </c>
      <c r="O663" s="16">
        <f>IF(M663="","",_xlfn.MINIFS($M$10:$M$1009,$K$10:$K$1009,K663,$A$10:$A$1009,"&lt;="&amp;A663,$A$10:$A$1009,"&gt;="&amp;(A663-$C$6)))</f>
        <v/>
      </c>
      <c r="P663" s="18">
        <f>IF(OR(N663="",N663=0),"",M663/N663-1)</f>
        <v/>
      </c>
      <c r="Q663">
        <f>IF(D663="","",IF(COUNTIFS($B$10:$B$1009,B663,$C$10:$C$1009,C663,$D$10:$D$1009,D663,$E$10:$E$1009,E663)&gt;1,"MÜKERRER?",IF(P663="","",IF(P663&gt;=$C$5,"İNCELE",IF(P663&lt;=-$C$5,"Düşük",""))))</f>
        <v/>
      </c>
      <c r="R663" s="16">
        <f>IF(AND(P663&lt;&gt;"",N(P663)&gt;=$C$5,COUNTIFS($B$10:B663,B663,$C$10:C663,C663,$D$10:D663,D663,$E$10:E663,E663)=1),(M663-N663)*E663*L663,0)</f>
        <v/>
      </c>
      <c r="S663" s="19">
        <f>IF(D663="",0,N(E663)*L663)</f>
        <v/>
      </c>
    </row>
    <row r="664">
      <c r="A664" s="11" t="n"/>
      <c r="B664" s="12" t="n"/>
      <c r="C664" s="12" t="n"/>
      <c r="D664" s="12" t="n"/>
      <c r="E664" s="13" t="n"/>
      <c r="F664" s="12" t="n"/>
      <c r="G664" s="14" t="n"/>
      <c r="H664" s="15" t="n"/>
      <c r="I664" s="16">
        <f>IF(G664="","",G664*(1-N(H664)))</f>
        <v/>
      </c>
      <c r="J664" s="16">
        <f>IF(I664="","",E664*I664)</f>
        <v/>
      </c>
      <c r="K664">
        <f>IF(D664="","",IFERROR(VLOOKUP(D664,'Ürün Eşleştirme'!$A$6:$D$505,2,FALSE),D664))</f>
        <v/>
      </c>
      <c r="L664" s="17">
        <f>IF(D664="","",IFERROR(VLOOKUP(D664,'Ürün Eşleştirme'!$A$6:$D$505,4,FALSE),1))</f>
        <v/>
      </c>
      <c r="M664" s="16">
        <f>IF(I664="","",I664/L664)</f>
        <v/>
      </c>
      <c r="N664" s="16">
        <f>IF(M664="","",IFERROR(AVERAGEIFS($M$10:$M$1009,$K$10:$K$1009,K664,$A$10:$A$1009,"&lt;"&amp;A664,$A$10:$A$1009,"&gt;="&amp;(A664-$C$6)),""))</f>
        <v/>
      </c>
      <c r="O664" s="16">
        <f>IF(M664="","",_xlfn.MINIFS($M$10:$M$1009,$K$10:$K$1009,K664,$A$10:$A$1009,"&lt;="&amp;A664,$A$10:$A$1009,"&gt;="&amp;(A664-$C$6)))</f>
        <v/>
      </c>
      <c r="P664" s="18">
        <f>IF(OR(N664="",N664=0),"",M664/N664-1)</f>
        <v/>
      </c>
      <c r="Q664">
        <f>IF(D664="","",IF(COUNTIFS($B$10:$B$1009,B664,$C$10:$C$1009,C664,$D$10:$D$1009,D664,$E$10:$E$1009,E664)&gt;1,"MÜKERRER?",IF(P664="","",IF(P664&gt;=$C$5,"İNCELE",IF(P664&lt;=-$C$5,"Düşük",""))))</f>
        <v/>
      </c>
      <c r="R664" s="16">
        <f>IF(AND(P664&lt;&gt;"",N(P664)&gt;=$C$5,COUNTIFS($B$10:B664,B664,$C$10:C664,C664,$D$10:D664,D664,$E$10:E664,E664)=1),(M664-N664)*E664*L664,0)</f>
        <v/>
      </c>
      <c r="S664" s="19">
        <f>IF(D664="",0,N(E664)*L664)</f>
        <v/>
      </c>
    </row>
    <row r="665">
      <c r="A665" s="11" t="n"/>
      <c r="B665" s="12" t="n"/>
      <c r="C665" s="12" t="n"/>
      <c r="D665" s="12" t="n"/>
      <c r="E665" s="13" t="n"/>
      <c r="F665" s="12" t="n"/>
      <c r="G665" s="14" t="n"/>
      <c r="H665" s="15" t="n"/>
      <c r="I665" s="16">
        <f>IF(G665="","",G665*(1-N(H665)))</f>
        <v/>
      </c>
      <c r="J665" s="16">
        <f>IF(I665="","",E665*I665)</f>
        <v/>
      </c>
      <c r="K665">
        <f>IF(D665="","",IFERROR(VLOOKUP(D665,'Ürün Eşleştirme'!$A$6:$D$505,2,FALSE),D665))</f>
        <v/>
      </c>
      <c r="L665" s="17">
        <f>IF(D665="","",IFERROR(VLOOKUP(D665,'Ürün Eşleştirme'!$A$6:$D$505,4,FALSE),1))</f>
        <v/>
      </c>
      <c r="M665" s="16">
        <f>IF(I665="","",I665/L665)</f>
        <v/>
      </c>
      <c r="N665" s="16">
        <f>IF(M665="","",IFERROR(AVERAGEIFS($M$10:$M$1009,$K$10:$K$1009,K665,$A$10:$A$1009,"&lt;"&amp;A665,$A$10:$A$1009,"&gt;="&amp;(A665-$C$6)),""))</f>
        <v/>
      </c>
      <c r="O665" s="16">
        <f>IF(M665="","",_xlfn.MINIFS($M$10:$M$1009,$K$10:$K$1009,K665,$A$10:$A$1009,"&lt;="&amp;A665,$A$10:$A$1009,"&gt;="&amp;(A665-$C$6)))</f>
        <v/>
      </c>
      <c r="P665" s="18">
        <f>IF(OR(N665="",N665=0),"",M665/N665-1)</f>
        <v/>
      </c>
      <c r="Q665">
        <f>IF(D665="","",IF(COUNTIFS($B$10:$B$1009,B665,$C$10:$C$1009,C665,$D$10:$D$1009,D665,$E$10:$E$1009,E665)&gt;1,"MÜKERRER?",IF(P665="","",IF(P665&gt;=$C$5,"İNCELE",IF(P665&lt;=-$C$5,"Düşük",""))))</f>
        <v/>
      </c>
      <c r="R665" s="16">
        <f>IF(AND(P665&lt;&gt;"",N(P665)&gt;=$C$5,COUNTIFS($B$10:B665,B665,$C$10:C665,C665,$D$10:D665,D665,$E$10:E665,E665)=1),(M665-N665)*E665*L665,0)</f>
        <v/>
      </c>
      <c r="S665" s="19">
        <f>IF(D665="",0,N(E665)*L665)</f>
        <v/>
      </c>
    </row>
    <row r="666">
      <c r="A666" s="11" t="n"/>
      <c r="B666" s="12" t="n"/>
      <c r="C666" s="12" t="n"/>
      <c r="D666" s="12" t="n"/>
      <c r="E666" s="13" t="n"/>
      <c r="F666" s="12" t="n"/>
      <c r="G666" s="14" t="n"/>
      <c r="H666" s="15" t="n"/>
      <c r="I666" s="16">
        <f>IF(G666="","",G666*(1-N(H666)))</f>
        <v/>
      </c>
      <c r="J666" s="16">
        <f>IF(I666="","",E666*I666)</f>
        <v/>
      </c>
      <c r="K666">
        <f>IF(D666="","",IFERROR(VLOOKUP(D666,'Ürün Eşleştirme'!$A$6:$D$505,2,FALSE),D666))</f>
        <v/>
      </c>
      <c r="L666" s="17">
        <f>IF(D666="","",IFERROR(VLOOKUP(D666,'Ürün Eşleştirme'!$A$6:$D$505,4,FALSE),1))</f>
        <v/>
      </c>
      <c r="M666" s="16">
        <f>IF(I666="","",I666/L666)</f>
        <v/>
      </c>
      <c r="N666" s="16">
        <f>IF(M666="","",IFERROR(AVERAGEIFS($M$10:$M$1009,$K$10:$K$1009,K666,$A$10:$A$1009,"&lt;"&amp;A666,$A$10:$A$1009,"&gt;="&amp;(A666-$C$6)),""))</f>
        <v/>
      </c>
      <c r="O666" s="16">
        <f>IF(M666="","",_xlfn.MINIFS($M$10:$M$1009,$K$10:$K$1009,K666,$A$10:$A$1009,"&lt;="&amp;A666,$A$10:$A$1009,"&gt;="&amp;(A666-$C$6)))</f>
        <v/>
      </c>
      <c r="P666" s="18">
        <f>IF(OR(N666="",N666=0),"",M666/N666-1)</f>
        <v/>
      </c>
      <c r="Q666">
        <f>IF(D666="","",IF(COUNTIFS($B$10:$B$1009,B666,$C$10:$C$1009,C666,$D$10:$D$1009,D666,$E$10:$E$1009,E666)&gt;1,"MÜKERRER?",IF(P666="","",IF(P666&gt;=$C$5,"İNCELE",IF(P666&lt;=-$C$5,"Düşük",""))))</f>
        <v/>
      </c>
      <c r="R666" s="16">
        <f>IF(AND(P666&lt;&gt;"",N(P666)&gt;=$C$5,COUNTIFS($B$10:B666,B666,$C$10:C666,C666,$D$10:D666,D666,$E$10:E666,E666)=1),(M666-N666)*E666*L666,0)</f>
        <v/>
      </c>
      <c r="S666" s="19">
        <f>IF(D666="",0,N(E666)*L666)</f>
        <v/>
      </c>
    </row>
    <row r="667">
      <c r="A667" s="11" t="n"/>
      <c r="B667" s="12" t="n"/>
      <c r="C667" s="12" t="n"/>
      <c r="D667" s="12" t="n"/>
      <c r="E667" s="13" t="n"/>
      <c r="F667" s="12" t="n"/>
      <c r="G667" s="14" t="n"/>
      <c r="H667" s="15" t="n"/>
      <c r="I667" s="16">
        <f>IF(G667="","",G667*(1-N(H667)))</f>
        <v/>
      </c>
      <c r="J667" s="16">
        <f>IF(I667="","",E667*I667)</f>
        <v/>
      </c>
      <c r="K667">
        <f>IF(D667="","",IFERROR(VLOOKUP(D667,'Ürün Eşleştirme'!$A$6:$D$505,2,FALSE),D667))</f>
        <v/>
      </c>
      <c r="L667" s="17">
        <f>IF(D667="","",IFERROR(VLOOKUP(D667,'Ürün Eşleştirme'!$A$6:$D$505,4,FALSE),1))</f>
        <v/>
      </c>
      <c r="M667" s="16">
        <f>IF(I667="","",I667/L667)</f>
        <v/>
      </c>
      <c r="N667" s="16">
        <f>IF(M667="","",IFERROR(AVERAGEIFS($M$10:$M$1009,$K$10:$K$1009,K667,$A$10:$A$1009,"&lt;"&amp;A667,$A$10:$A$1009,"&gt;="&amp;(A667-$C$6)),""))</f>
        <v/>
      </c>
      <c r="O667" s="16">
        <f>IF(M667="","",_xlfn.MINIFS($M$10:$M$1009,$K$10:$K$1009,K667,$A$10:$A$1009,"&lt;="&amp;A667,$A$10:$A$1009,"&gt;="&amp;(A667-$C$6)))</f>
        <v/>
      </c>
      <c r="P667" s="18">
        <f>IF(OR(N667="",N667=0),"",M667/N667-1)</f>
        <v/>
      </c>
      <c r="Q667">
        <f>IF(D667="","",IF(COUNTIFS($B$10:$B$1009,B667,$C$10:$C$1009,C667,$D$10:$D$1009,D667,$E$10:$E$1009,E667)&gt;1,"MÜKERRER?",IF(P667="","",IF(P667&gt;=$C$5,"İNCELE",IF(P667&lt;=-$C$5,"Düşük",""))))</f>
        <v/>
      </c>
      <c r="R667" s="16">
        <f>IF(AND(P667&lt;&gt;"",N(P667)&gt;=$C$5,COUNTIFS($B$10:B667,B667,$C$10:C667,C667,$D$10:D667,D667,$E$10:E667,E667)=1),(M667-N667)*E667*L667,0)</f>
        <v/>
      </c>
      <c r="S667" s="19">
        <f>IF(D667="",0,N(E667)*L667)</f>
        <v/>
      </c>
    </row>
    <row r="668">
      <c r="A668" s="11" t="n"/>
      <c r="B668" s="12" t="n"/>
      <c r="C668" s="12" t="n"/>
      <c r="D668" s="12" t="n"/>
      <c r="E668" s="13" t="n"/>
      <c r="F668" s="12" t="n"/>
      <c r="G668" s="14" t="n"/>
      <c r="H668" s="15" t="n"/>
      <c r="I668" s="16">
        <f>IF(G668="","",G668*(1-N(H668)))</f>
        <v/>
      </c>
      <c r="J668" s="16">
        <f>IF(I668="","",E668*I668)</f>
        <v/>
      </c>
      <c r="K668">
        <f>IF(D668="","",IFERROR(VLOOKUP(D668,'Ürün Eşleştirme'!$A$6:$D$505,2,FALSE),D668))</f>
        <v/>
      </c>
      <c r="L668" s="17">
        <f>IF(D668="","",IFERROR(VLOOKUP(D668,'Ürün Eşleştirme'!$A$6:$D$505,4,FALSE),1))</f>
        <v/>
      </c>
      <c r="M668" s="16">
        <f>IF(I668="","",I668/L668)</f>
        <v/>
      </c>
      <c r="N668" s="16">
        <f>IF(M668="","",IFERROR(AVERAGEIFS($M$10:$M$1009,$K$10:$K$1009,K668,$A$10:$A$1009,"&lt;"&amp;A668,$A$10:$A$1009,"&gt;="&amp;(A668-$C$6)),""))</f>
        <v/>
      </c>
      <c r="O668" s="16">
        <f>IF(M668="","",_xlfn.MINIFS($M$10:$M$1009,$K$10:$K$1009,K668,$A$10:$A$1009,"&lt;="&amp;A668,$A$10:$A$1009,"&gt;="&amp;(A668-$C$6)))</f>
        <v/>
      </c>
      <c r="P668" s="18">
        <f>IF(OR(N668="",N668=0),"",M668/N668-1)</f>
        <v/>
      </c>
      <c r="Q668">
        <f>IF(D668="","",IF(COUNTIFS($B$10:$B$1009,B668,$C$10:$C$1009,C668,$D$10:$D$1009,D668,$E$10:$E$1009,E668)&gt;1,"MÜKERRER?",IF(P668="","",IF(P668&gt;=$C$5,"İNCELE",IF(P668&lt;=-$C$5,"Düşük",""))))</f>
        <v/>
      </c>
      <c r="R668" s="16">
        <f>IF(AND(P668&lt;&gt;"",N(P668)&gt;=$C$5,COUNTIFS($B$10:B668,B668,$C$10:C668,C668,$D$10:D668,D668,$E$10:E668,E668)=1),(M668-N668)*E668*L668,0)</f>
        <v/>
      </c>
      <c r="S668" s="19">
        <f>IF(D668="",0,N(E668)*L668)</f>
        <v/>
      </c>
    </row>
    <row r="669">
      <c r="A669" s="11" t="n"/>
      <c r="B669" s="12" t="n"/>
      <c r="C669" s="12" t="n"/>
      <c r="D669" s="12" t="n"/>
      <c r="E669" s="13" t="n"/>
      <c r="F669" s="12" t="n"/>
      <c r="G669" s="14" t="n"/>
      <c r="H669" s="15" t="n"/>
      <c r="I669" s="16">
        <f>IF(G669="","",G669*(1-N(H669)))</f>
        <v/>
      </c>
      <c r="J669" s="16">
        <f>IF(I669="","",E669*I669)</f>
        <v/>
      </c>
      <c r="K669">
        <f>IF(D669="","",IFERROR(VLOOKUP(D669,'Ürün Eşleştirme'!$A$6:$D$505,2,FALSE),D669))</f>
        <v/>
      </c>
      <c r="L669" s="17">
        <f>IF(D669="","",IFERROR(VLOOKUP(D669,'Ürün Eşleştirme'!$A$6:$D$505,4,FALSE),1))</f>
        <v/>
      </c>
      <c r="M669" s="16">
        <f>IF(I669="","",I669/L669)</f>
        <v/>
      </c>
      <c r="N669" s="16">
        <f>IF(M669="","",IFERROR(AVERAGEIFS($M$10:$M$1009,$K$10:$K$1009,K669,$A$10:$A$1009,"&lt;"&amp;A669,$A$10:$A$1009,"&gt;="&amp;(A669-$C$6)),""))</f>
        <v/>
      </c>
      <c r="O669" s="16">
        <f>IF(M669="","",_xlfn.MINIFS($M$10:$M$1009,$K$10:$K$1009,K669,$A$10:$A$1009,"&lt;="&amp;A669,$A$10:$A$1009,"&gt;="&amp;(A669-$C$6)))</f>
        <v/>
      </c>
      <c r="P669" s="18">
        <f>IF(OR(N669="",N669=0),"",M669/N669-1)</f>
        <v/>
      </c>
      <c r="Q669">
        <f>IF(D669="","",IF(COUNTIFS($B$10:$B$1009,B669,$C$10:$C$1009,C669,$D$10:$D$1009,D669,$E$10:$E$1009,E669)&gt;1,"MÜKERRER?",IF(P669="","",IF(P669&gt;=$C$5,"İNCELE",IF(P669&lt;=-$C$5,"Düşük",""))))</f>
        <v/>
      </c>
      <c r="R669" s="16">
        <f>IF(AND(P669&lt;&gt;"",N(P669)&gt;=$C$5,COUNTIFS($B$10:B669,B669,$C$10:C669,C669,$D$10:D669,D669,$E$10:E669,E669)=1),(M669-N669)*E669*L669,0)</f>
        <v/>
      </c>
      <c r="S669" s="19">
        <f>IF(D669="",0,N(E669)*L669)</f>
        <v/>
      </c>
    </row>
    <row r="670">
      <c r="A670" s="11" t="n"/>
      <c r="B670" s="12" t="n"/>
      <c r="C670" s="12" t="n"/>
      <c r="D670" s="12" t="n"/>
      <c r="E670" s="13" t="n"/>
      <c r="F670" s="12" t="n"/>
      <c r="G670" s="14" t="n"/>
      <c r="H670" s="15" t="n"/>
      <c r="I670" s="16">
        <f>IF(G670="","",G670*(1-N(H670)))</f>
        <v/>
      </c>
      <c r="J670" s="16">
        <f>IF(I670="","",E670*I670)</f>
        <v/>
      </c>
      <c r="K670">
        <f>IF(D670="","",IFERROR(VLOOKUP(D670,'Ürün Eşleştirme'!$A$6:$D$505,2,FALSE),D670))</f>
        <v/>
      </c>
      <c r="L670" s="17">
        <f>IF(D670="","",IFERROR(VLOOKUP(D670,'Ürün Eşleştirme'!$A$6:$D$505,4,FALSE),1))</f>
        <v/>
      </c>
      <c r="M670" s="16">
        <f>IF(I670="","",I670/L670)</f>
        <v/>
      </c>
      <c r="N670" s="16">
        <f>IF(M670="","",IFERROR(AVERAGEIFS($M$10:$M$1009,$K$10:$K$1009,K670,$A$10:$A$1009,"&lt;"&amp;A670,$A$10:$A$1009,"&gt;="&amp;(A670-$C$6)),""))</f>
        <v/>
      </c>
      <c r="O670" s="16">
        <f>IF(M670="","",_xlfn.MINIFS($M$10:$M$1009,$K$10:$K$1009,K670,$A$10:$A$1009,"&lt;="&amp;A670,$A$10:$A$1009,"&gt;="&amp;(A670-$C$6)))</f>
        <v/>
      </c>
      <c r="P670" s="18">
        <f>IF(OR(N670="",N670=0),"",M670/N670-1)</f>
        <v/>
      </c>
      <c r="Q670">
        <f>IF(D670="","",IF(COUNTIFS($B$10:$B$1009,B670,$C$10:$C$1009,C670,$D$10:$D$1009,D670,$E$10:$E$1009,E670)&gt;1,"MÜKERRER?",IF(P670="","",IF(P670&gt;=$C$5,"İNCELE",IF(P670&lt;=-$C$5,"Düşük",""))))</f>
        <v/>
      </c>
      <c r="R670" s="16">
        <f>IF(AND(P670&lt;&gt;"",N(P670)&gt;=$C$5,COUNTIFS($B$10:B670,B670,$C$10:C670,C670,$D$10:D670,D670,$E$10:E670,E670)=1),(M670-N670)*E670*L670,0)</f>
        <v/>
      </c>
      <c r="S670" s="19">
        <f>IF(D670="",0,N(E670)*L670)</f>
        <v/>
      </c>
    </row>
    <row r="671">
      <c r="A671" s="11" t="n"/>
      <c r="B671" s="12" t="n"/>
      <c r="C671" s="12" t="n"/>
      <c r="D671" s="12" t="n"/>
      <c r="E671" s="13" t="n"/>
      <c r="F671" s="12" t="n"/>
      <c r="G671" s="14" t="n"/>
      <c r="H671" s="15" t="n"/>
      <c r="I671" s="16">
        <f>IF(G671="","",G671*(1-N(H671)))</f>
        <v/>
      </c>
      <c r="J671" s="16">
        <f>IF(I671="","",E671*I671)</f>
        <v/>
      </c>
      <c r="K671">
        <f>IF(D671="","",IFERROR(VLOOKUP(D671,'Ürün Eşleştirme'!$A$6:$D$505,2,FALSE),D671))</f>
        <v/>
      </c>
      <c r="L671" s="17">
        <f>IF(D671="","",IFERROR(VLOOKUP(D671,'Ürün Eşleştirme'!$A$6:$D$505,4,FALSE),1))</f>
        <v/>
      </c>
      <c r="M671" s="16">
        <f>IF(I671="","",I671/L671)</f>
        <v/>
      </c>
      <c r="N671" s="16">
        <f>IF(M671="","",IFERROR(AVERAGEIFS($M$10:$M$1009,$K$10:$K$1009,K671,$A$10:$A$1009,"&lt;"&amp;A671,$A$10:$A$1009,"&gt;="&amp;(A671-$C$6)),""))</f>
        <v/>
      </c>
      <c r="O671" s="16">
        <f>IF(M671="","",_xlfn.MINIFS($M$10:$M$1009,$K$10:$K$1009,K671,$A$10:$A$1009,"&lt;="&amp;A671,$A$10:$A$1009,"&gt;="&amp;(A671-$C$6)))</f>
        <v/>
      </c>
      <c r="P671" s="18">
        <f>IF(OR(N671="",N671=0),"",M671/N671-1)</f>
        <v/>
      </c>
      <c r="Q671">
        <f>IF(D671="","",IF(COUNTIFS($B$10:$B$1009,B671,$C$10:$C$1009,C671,$D$10:$D$1009,D671,$E$10:$E$1009,E671)&gt;1,"MÜKERRER?",IF(P671="","",IF(P671&gt;=$C$5,"İNCELE",IF(P671&lt;=-$C$5,"Düşük",""))))</f>
        <v/>
      </c>
      <c r="R671" s="16">
        <f>IF(AND(P671&lt;&gt;"",N(P671)&gt;=$C$5,COUNTIFS($B$10:B671,B671,$C$10:C671,C671,$D$10:D671,D671,$E$10:E671,E671)=1),(M671-N671)*E671*L671,0)</f>
        <v/>
      </c>
      <c r="S671" s="19">
        <f>IF(D671="",0,N(E671)*L671)</f>
        <v/>
      </c>
    </row>
    <row r="672">
      <c r="A672" s="11" t="n"/>
      <c r="B672" s="12" t="n"/>
      <c r="C672" s="12" t="n"/>
      <c r="D672" s="12" t="n"/>
      <c r="E672" s="13" t="n"/>
      <c r="F672" s="12" t="n"/>
      <c r="G672" s="14" t="n"/>
      <c r="H672" s="15" t="n"/>
      <c r="I672" s="16">
        <f>IF(G672="","",G672*(1-N(H672)))</f>
        <v/>
      </c>
      <c r="J672" s="16">
        <f>IF(I672="","",E672*I672)</f>
        <v/>
      </c>
      <c r="K672">
        <f>IF(D672="","",IFERROR(VLOOKUP(D672,'Ürün Eşleştirme'!$A$6:$D$505,2,FALSE),D672))</f>
        <v/>
      </c>
      <c r="L672" s="17">
        <f>IF(D672="","",IFERROR(VLOOKUP(D672,'Ürün Eşleştirme'!$A$6:$D$505,4,FALSE),1))</f>
        <v/>
      </c>
      <c r="M672" s="16">
        <f>IF(I672="","",I672/L672)</f>
        <v/>
      </c>
      <c r="N672" s="16">
        <f>IF(M672="","",IFERROR(AVERAGEIFS($M$10:$M$1009,$K$10:$K$1009,K672,$A$10:$A$1009,"&lt;"&amp;A672,$A$10:$A$1009,"&gt;="&amp;(A672-$C$6)),""))</f>
        <v/>
      </c>
      <c r="O672" s="16">
        <f>IF(M672="","",_xlfn.MINIFS($M$10:$M$1009,$K$10:$K$1009,K672,$A$10:$A$1009,"&lt;="&amp;A672,$A$10:$A$1009,"&gt;="&amp;(A672-$C$6)))</f>
        <v/>
      </c>
      <c r="P672" s="18">
        <f>IF(OR(N672="",N672=0),"",M672/N672-1)</f>
        <v/>
      </c>
      <c r="Q672">
        <f>IF(D672="","",IF(COUNTIFS($B$10:$B$1009,B672,$C$10:$C$1009,C672,$D$10:$D$1009,D672,$E$10:$E$1009,E672)&gt;1,"MÜKERRER?",IF(P672="","",IF(P672&gt;=$C$5,"İNCELE",IF(P672&lt;=-$C$5,"Düşük",""))))</f>
        <v/>
      </c>
      <c r="R672" s="16">
        <f>IF(AND(P672&lt;&gt;"",N(P672)&gt;=$C$5,COUNTIFS($B$10:B672,B672,$C$10:C672,C672,$D$10:D672,D672,$E$10:E672,E672)=1),(M672-N672)*E672*L672,0)</f>
        <v/>
      </c>
      <c r="S672" s="19">
        <f>IF(D672="",0,N(E672)*L672)</f>
        <v/>
      </c>
    </row>
    <row r="673">
      <c r="A673" s="11" t="n"/>
      <c r="B673" s="12" t="n"/>
      <c r="C673" s="12" t="n"/>
      <c r="D673" s="12" t="n"/>
      <c r="E673" s="13" t="n"/>
      <c r="F673" s="12" t="n"/>
      <c r="G673" s="14" t="n"/>
      <c r="H673" s="15" t="n"/>
      <c r="I673" s="16">
        <f>IF(G673="","",G673*(1-N(H673)))</f>
        <v/>
      </c>
      <c r="J673" s="16">
        <f>IF(I673="","",E673*I673)</f>
        <v/>
      </c>
      <c r="K673">
        <f>IF(D673="","",IFERROR(VLOOKUP(D673,'Ürün Eşleştirme'!$A$6:$D$505,2,FALSE),D673))</f>
        <v/>
      </c>
      <c r="L673" s="17">
        <f>IF(D673="","",IFERROR(VLOOKUP(D673,'Ürün Eşleştirme'!$A$6:$D$505,4,FALSE),1))</f>
        <v/>
      </c>
      <c r="M673" s="16">
        <f>IF(I673="","",I673/L673)</f>
        <v/>
      </c>
      <c r="N673" s="16">
        <f>IF(M673="","",IFERROR(AVERAGEIFS($M$10:$M$1009,$K$10:$K$1009,K673,$A$10:$A$1009,"&lt;"&amp;A673,$A$10:$A$1009,"&gt;="&amp;(A673-$C$6)),""))</f>
        <v/>
      </c>
      <c r="O673" s="16">
        <f>IF(M673="","",_xlfn.MINIFS($M$10:$M$1009,$K$10:$K$1009,K673,$A$10:$A$1009,"&lt;="&amp;A673,$A$10:$A$1009,"&gt;="&amp;(A673-$C$6)))</f>
        <v/>
      </c>
      <c r="P673" s="18">
        <f>IF(OR(N673="",N673=0),"",M673/N673-1)</f>
        <v/>
      </c>
      <c r="Q673">
        <f>IF(D673="","",IF(COUNTIFS($B$10:$B$1009,B673,$C$10:$C$1009,C673,$D$10:$D$1009,D673,$E$10:$E$1009,E673)&gt;1,"MÜKERRER?",IF(P673="","",IF(P673&gt;=$C$5,"İNCELE",IF(P673&lt;=-$C$5,"Düşük",""))))</f>
        <v/>
      </c>
      <c r="R673" s="16">
        <f>IF(AND(P673&lt;&gt;"",N(P673)&gt;=$C$5,COUNTIFS($B$10:B673,B673,$C$10:C673,C673,$D$10:D673,D673,$E$10:E673,E673)=1),(M673-N673)*E673*L673,0)</f>
        <v/>
      </c>
      <c r="S673" s="19">
        <f>IF(D673="",0,N(E673)*L673)</f>
        <v/>
      </c>
    </row>
    <row r="674">
      <c r="A674" s="11" t="n"/>
      <c r="B674" s="12" t="n"/>
      <c r="C674" s="12" t="n"/>
      <c r="D674" s="12" t="n"/>
      <c r="E674" s="13" t="n"/>
      <c r="F674" s="12" t="n"/>
      <c r="G674" s="14" t="n"/>
      <c r="H674" s="15" t="n"/>
      <c r="I674" s="16">
        <f>IF(G674="","",G674*(1-N(H674)))</f>
        <v/>
      </c>
      <c r="J674" s="16">
        <f>IF(I674="","",E674*I674)</f>
        <v/>
      </c>
      <c r="K674">
        <f>IF(D674="","",IFERROR(VLOOKUP(D674,'Ürün Eşleştirme'!$A$6:$D$505,2,FALSE),D674))</f>
        <v/>
      </c>
      <c r="L674" s="17">
        <f>IF(D674="","",IFERROR(VLOOKUP(D674,'Ürün Eşleştirme'!$A$6:$D$505,4,FALSE),1))</f>
        <v/>
      </c>
      <c r="M674" s="16">
        <f>IF(I674="","",I674/L674)</f>
        <v/>
      </c>
      <c r="N674" s="16">
        <f>IF(M674="","",IFERROR(AVERAGEIFS($M$10:$M$1009,$K$10:$K$1009,K674,$A$10:$A$1009,"&lt;"&amp;A674,$A$10:$A$1009,"&gt;="&amp;(A674-$C$6)),""))</f>
        <v/>
      </c>
      <c r="O674" s="16">
        <f>IF(M674="","",_xlfn.MINIFS($M$10:$M$1009,$K$10:$K$1009,K674,$A$10:$A$1009,"&lt;="&amp;A674,$A$10:$A$1009,"&gt;="&amp;(A674-$C$6)))</f>
        <v/>
      </c>
      <c r="P674" s="18">
        <f>IF(OR(N674="",N674=0),"",M674/N674-1)</f>
        <v/>
      </c>
      <c r="Q674">
        <f>IF(D674="","",IF(COUNTIFS($B$10:$B$1009,B674,$C$10:$C$1009,C674,$D$10:$D$1009,D674,$E$10:$E$1009,E674)&gt;1,"MÜKERRER?",IF(P674="","",IF(P674&gt;=$C$5,"İNCELE",IF(P674&lt;=-$C$5,"Düşük",""))))</f>
        <v/>
      </c>
      <c r="R674" s="16">
        <f>IF(AND(P674&lt;&gt;"",N(P674)&gt;=$C$5,COUNTIFS($B$10:B674,B674,$C$10:C674,C674,$D$10:D674,D674,$E$10:E674,E674)=1),(M674-N674)*E674*L674,0)</f>
        <v/>
      </c>
      <c r="S674" s="19">
        <f>IF(D674="",0,N(E674)*L674)</f>
        <v/>
      </c>
    </row>
    <row r="675">
      <c r="A675" s="11" t="n"/>
      <c r="B675" s="12" t="n"/>
      <c r="C675" s="12" t="n"/>
      <c r="D675" s="12" t="n"/>
      <c r="E675" s="13" t="n"/>
      <c r="F675" s="12" t="n"/>
      <c r="G675" s="14" t="n"/>
      <c r="H675" s="15" t="n"/>
      <c r="I675" s="16">
        <f>IF(G675="","",G675*(1-N(H675)))</f>
        <v/>
      </c>
      <c r="J675" s="16">
        <f>IF(I675="","",E675*I675)</f>
        <v/>
      </c>
      <c r="K675">
        <f>IF(D675="","",IFERROR(VLOOKUP(D675,'Ürün Eşleştirme'!$A$6:$D$505,2,FALSE),D675))</f>
        <v/>
      </c>
      <c r="L675" s="17">
        <f>IF(D675="","",IFERROR(VLOOKUP(D675,'Ürün Eşleştirme'!$A$6:$D$505,4,FALSE),1))</f>
        <v/>
      </c>
      <c r="M675" s="16">
        <f>IF(I675="","",I675/L675)</f>
        <v/>
      </c>
      <c r="N675" s="16">
        <f>IF(M675="","",IFERROR(AVERAGEIFS($M$10:$M$1009,$K$10:$K$1009,K675,$A$10:$A$1009,"&lt;"&amp;A675,$A$10:$A$1009,"&gt;="&amp;(A675-$C$6)),""))</f>
        <v/>
      </c>
      <c r="O675" s="16">
        <f>IF(M675="","",_xlfn.MINIFS($M$10:$M$1009,$K$10:$K$1009,K675,$A$10:$A$1009,"&lt;="&amp;A675,$A$10:$A$1009,"&gt;="&amp;(A675-$C$6)))</f>
        <v/>
      </c>
      <c r="P675" s="18">
        <f>IF(OR(N675="",N675=0),"",M675/N675-1)</f>
        <v/>
      </c>
      <c r="Q675">
        <f>IF(D675="","",IF(COUNTIFS($B$10:$B$1009,B675,$C$10:$C$1009,C675,$D$10:$D$1009,D675,$E$10:$E$1009,E675)&gt;1,"MÜKERRER?",IF(P675="","",IF(P675&gt;=$C$5,"İNCELE",IF(P675&lt;=-$C$5,"Düşük",""))))</f>
        <v/>
      </c>
      <c r="R675" s="16">
        <f>IF(AND(P675&lt;&gt;"",N(P675)&gt;=$C$5,COUNTIFS($B$10:B675,B675,$C$10:C675,C675,$D$10:D675,D675,$E$10:E675,E675)=1),(M675-N675)*E675*L675,0)</f>
        <v/>
      </c>
      <c r="S675" s="19">
        <f>IF(D675="",0,N(E675)*L675)</f>
        <v/>
      </c>
    </row>
    <row r="676">
      <c r="A676" s="11" t="n"/>
      <c r="B676" s="12" t="n"/>
      <c r="C676" s="12" t="n"/>
      <c r="D676" s="12" t="n"/>
      <c r="E676" s="13" t="n"/>
      <c r="F676" s="12" t="n"/>
      <c r="G676" s="14" t="n"/>
      <c r="H676" s="15" t="n"/>
      <c r="I676" s="16">
        <f>IF(G676="","",G676*(1-N(H676)))</f>
        <v/>
      </c>
      <c r="J676" s="16">
        <f>IF(I676="","",E676*I676)</f>
        <v/>
      </c>
      <c r="K676">
        <f>IF(D676="","",IFERROR(VLOOKUP(D676,'Ürün Eşleştirme'!$A$6:$D$505,2,FALSE),D676))</f>
        <v/>
      </c>
      <c r="L676" s="17">
        <f>IF(D676="","",IFERROR(VLOOKUP(D676,'Ürün Eşleştirme'!$A$6:$D$505,4,FALSE),1))</f>
        <v/>
      </c>
      <c r="M676" s="16">
        <f>IF(I676="","",I676/L676)</f>
        <v/>
      </c>
      <c r="N676" s="16">
        <f>IF(M676="","",IFERROR(AVERAGEIFS($M$10:$M$1009,$K$10:$K$1009,K676,$A$10:$A$1009,"&lt;"&amp;A676,$A$10:$A$1009,"&gt;="&amp;(A676-$C$6)),""))</f>
        <v/>
      </c>
      <c r="O676" s="16">
        <f>IF(M676="","",_xlfn.MINIFS($M$10:$M$1009,$K$10:$K$1009,K676,$A$10:$A$1009,"&lt;="&amp;A676,$A$10:$A$1009,"&gt;="&amp;(A676-$C$6)))</f>
        <v/>
      </c>
      <c r="P676" s="18">
        <f>IF(OR(N676="",N676=0),"",M676/N676-1)</f>
        <v/>
      </c>
      <c r="Q676">
        <f>IF(D676="","",IF(COUNTIFS($B$10:$B$1009,B676,$C$10:$C$1009,C676,$D$10:$D$1009,D676,$E$10:$E$1009,E676)&gt;1,"MÜKERRER?",IF(P676="","",IF(P676&gt;=$C$5,"İNCELE",IF(P676&lt;=-$C$5,"Düşük",""))))</f>
        <v/>
      </c>
      <c r="R676" s="16">
        <f>IF(AND(P676&lt;&gt;"",N(P676)&gt;=$C$5,COUNTIFS($B$10:B676,B676,$C$10:C676,C676,$D$10:D676,D676,$E$10:E676,E676)=1),(M676-N676)*E676*L676,0)</f>
        <v/>
      </c>
      <c r="S676" s="19">
        <f>IF(D676="",0,N(E676)*L676)</f>
        <v/>
      </c>
    </row>
    <row r="677">
      <c r="A677" s="11" t="n"/>
      <c r="B677" s="12" t="n"/>
      <c r="C677" s="12" t="n"/>
      <c r="D677" s="12" t="n"/>
      <c r="E677" s="13" t="n"/>
      <c r="F677" s="12" t="n"/>
      <c r="G677" s="14" t="n"/>
      <c r="H677" s="15" t="n"/>
      <c r="I677" s="16">
        <f>IF(G677="","",G677*(1-N(H677)))</f>
        <v/>
      </c>
      <c r="J677" s="16">
        <f>IF(I677="","",E677*I677)</f>
        <v/>
      </c>
      <c r="K677">
        <f>IF(D677="","",IFERROR(VLOOKUP(D677,'Ürün Eşleştirme'!$A$6:$D$505,2,FALSE),D677))</f>
        <v/>
      </c>
      <c r="L677" s="17">
        <f>IF(D677="","",IFERROR(VLOOKUP(D677,'Ürün Eşleştirme'!$A$6:$D$505,4,FALSE),1))</f>
        <v/>
      </c>
      <c r="M677" s="16">
        <f>IF(I677="","",I677/L677)</f>
        <v/>
      </c>
      <c r="N677" s="16">
        <f>IF(M677="","",IFERROR(AVERAGEIFS($M$10:$M$1009,$K$10:$K$1009,K677,$A$10:$A$1009,"&lt;"&amp;A677,$A$10:$A$1009,"&gt;="&amp;(A677-$C$6)),""))</f>
        <v/>
      </c>
      <c r="O677" s="16">
        <f>IF(M677="","",_xlfn.MINIFS($M$10:$M$1009,$K$10:$K$1009,K677,$A$10:$A$1009,"&lt;="&amp;A677,$A$10:$A$1009,"&gt;="&amp;(A677-$C$6)))</f>
        <v/>
      </c>
      <c r="P677" s="18">
        <f>IF(OR(N677="",N677=0),"",M677/N677-1)</f>
        <v/>
      </c>
      <c r="Q677">
        <f>IF(D677="","",IF(COUNTIFS($B$10:$B$1009,B677,$C$10:$C$1009,C677,$D$10:$D$1009,D677,$E$10:$E$1009,E677)&gt;1,"MÜKERRER?",IF(P677="","",IF(P677&gt;=$C$5,"İNCELE",IF(P677&lt;=-$C$5,"Düşük",""))))</f>
        <v/>
      </c>
      <c r="R677" s="16">
        <f>IF(AND(P677&lt;&gt;"",N(P677)&gt;=$C$5,COUNTIFS($B$10:B677,B677,$C$10:C677,C677,$D$10:D677,D677,$E$10:E677,E677)=1),(M677-N677)*E677*L677,0)</f>
        <v/>
      </c>
      <c r="S677" s="19">
        <f>IF(D677="",0,N(E677)*L677)</f>
        <v/>
      </c>
    </row>
    <row r="678">
      <c r="A678" s="11" t="n"/>
      <c r="B678" s="12" t="n"/>
      <c r="C678" s="12" t="n"/>
      <c r="D678" s="12" t="n"/>
      <c r="E678" s="13" t="n"/>
      <c r="F678" s="12" t="n"/>
      <c r="G678" s="14" t="n"/>
      <c r="H678" s="15" t="n"/>
      <c r="I678" s="16">
        <f>IF(G678="","",G678*(1-N(H678)))</f>
        <v/>
      </c>
      <c r="J678" s="16">
        <f>IF(I678="","",E678*I678)</f>
        <v/>
      </c>
      <c r="K678">
        <f>IF(D678="","",IFERROR(VLOOKUP(D678,'Ürün Eşleştirme'!$A$6:$D$505,2,FALSE),D678))</f>
        <v/>
      </c>
      <c r="L678" s="17">
        <f>IF(D678="","",IFERROR(VLOOKUP(D678,'Ürün Eşleştirme'!$A$6:$D$505,4,FALSE),1))</f>
        <v/>
      </c>
      <c r="M678" s="16">
        <f>IF(I678="","",I678/L678)</f>
        <v/>
      </c>
      <c r="N678" s="16">
        <f>IF(M678="","",IFERROR(AVERAGEIFS($M$10:$M$1009,$K$10:$K$1009,K678,$A$10:$A$1009,"&lt;"&amp;A678,$A$10:$A$1009,"&gt;="&amp;(A678-$C$6)),""))</f>
        <v/>
      </c>
      <c r="O678" s="16">
        <f>IF(M678="","",_xlfn.MINIFS($M$10:$M$1009,$K$10:$K$1009,K678,$A$10:$A$1009,"&lt;="&amp;A678,$A$10:$A$1009,"&gt;="&amp;(A678-$C$6)))</f>
        <v/>
      </c>
      <c r="P678" s="18">
        <f>IF(OR(N678="",N678=0),"",M678/N678-1)</f>
        <v/>
      </c>
      <c r="Q678">
        <f>IF(D678="","",IF(COUNTIFS($B$10:$B$1009,B678,$C$10:$C$1009,C678,$D$10:$D$1009,D678,$E$10:$E$1009,E678)&gt;1,"MÜKERRER?",IF(P678="","",IF(P678&gt;=$C$5,"İNCELE",IF(P678&lt;=-$C$5,"Düşük",""))))</f>
        <v/>
      </c>
      <c r="R678" s="16">
        <f>IF(AND(P678&lt;&gt;"",N(P678)&gt;=$C$5,COUNTIFS($B$10:B678,B678,$C$10:C678,C678,$D$10:D678,D678,$E$10:E678,E678)=1),(M678-N678)*E678*L678,0)</f>
        <v/>
      </c>
      <c r="S678" s="19">
        <f>IF(D678="",0,N(E678)*L678)</f>
        <v/>
      </c>
    </row>
    <row r="679">
      <c r="A679" s="11" t="n"/>
      <c r="B679" s="12" t="n"/>
      <c r="C679" s="12" t="n"/>
      <c r="D679" s="12" t="n"/>
      <c r="E679" s="13" t="n"/>
      <c r="F679" s="12" t="n"/>
      <c r="G679" s="14" t="n"/>
      <c r="H679" s="15" t="n"/>
      <c r="I679" s="16">
        <f>IF(G679="","",G679*(1-N(H679)))</f>
        <v/>
      </c>
      <c r="J679" s="16">
        <f>IF(I679="","",E679*I679)</f>
        <v/>
      </c>
      <c r="K679">
        <f>IF(D679="","",IFERROR(VLOOKUP(D679,'Ürün Eşleştirme'!$A$6:$D$505,2,FALSE),D679))</f>
        <v/>
      </c>
      <c r="L679" s="17">
        <f>IF(D679="","",IFERROR(VLOOKUP(D679,'Ürün Eşleştirme'!$A$6:$D$505,4,FALSE),1))</f>
        <v/>
      </c>
      <c r="M679" s="16">
        <f>IF(I679="","",I679/L679)</f>
        <v/>
      </c>
      <c r="N679" s="16">
        <f>IF(M679="","",IFERROR(AVERAGEIFS($M$10:$M$1009,$K$10:$K$1009,K679,$A$10:$A$1009,"&lt;"&amp;A679,$A$10:$A$1009,"&gt;="&amp;(A679-$C$6)),""))</f>
        <v/>
      </c>
      <c r="O679" s="16">
        <f>IF(M679="","",_xlfn.MINIFS($M$10:$M$1009,$K$10:$K$1009,K679,$A$10:$A$1009,"&lt;="&amp;A679,$A$10:$A$1009,"&gt;="&amp;(A679-$C$6)))</f>
        <v/>
      </c>
      <c r="P679" s="18">
        <f>IF(OR(N679="",N679=0),"",M679/N679-1)</f>
        <v/>
      </c>
      <c r="Q679">
        <f>IF(D679="","",IF(COUNTIFS($B$10:$B$1009,B679,$C$10:$C$1009,C679,$D$10:$D$1009,D679,$E$10:$E$1009,E679)&gt;1,"MÜKERRER?",IF(P679="","",IF(P679&gt;=$C$5,"İNCELE",IF(P679&lt;=-$C$5,"Düşük",""))))</f>
        <v/>
      </c>
      <c r="R679" s="16">
        <f>IF(AND(P679&lt;&gt;"",N(P679)&gt;=$C$5,COUNTIFS($B$10:B679,B679,$C$10:C679,C679,$D$10:D679,D679,$E$10:E679,E679)=1),(M679-N679)*E679*L679,0)</f>
        <v/>
      </c>
      <c r="S679" s="19">
        <f>IF(D679="",0,N(E679)*L679)</f>
        <v/>
      </c>
    </row>
    <row r="680">
      <c r="A680" s="11" t="n"/>
      <c r="B680" s="12" t="n"/>
      <c r="C680" s="12" t="n"/>
      <c r="D680" s="12" t="n"/>
      <c r="E680" s="13" t="n"/>
      <c r="F680" s="12" t="n"/>
      <c r="G680" s="14" t="n"/>
      <c r="H680" s="15" t="n"/>
      <c r="I680" s="16">
        <f>IF(G680="","",G680*(1-N(H680)))</f>
        <v/>
      </c>
      <c r="J680" s="16">
        <f>IF(I680="","",E680*I680)</f>
        <v/>
      </c>
      <c r="K680">
        <f>IF(D680="","",IFERROR(VLOOKUP(D680,'Ürün Eşleştirme'!$A$6:$D$505,2,FALSE),D680))</f>
        <v/>
      </c>
      <c r="L680" s="17">
        <f>IF(D680="","",IFERROR(VLOOKUP(D680,'Ürün Eşleştirme'!$A$6:$D$505,4,FALSE),1))</f>
        <v/>
      </c>
      <c r="M680" s="16">
        <f>IF(I680="","",I680/L680)</f>
        <v/>
      </c>
      <c r="N680" s="16">
        <f>IF(M680="","",IFERROR(AVERAGEIFS($M$10:$M$1009,$K$10:$K$1009,K680,$A$10:$A$1009,"&lt;"&amp;A680,$A$10:$A$1009,"&gt;="&amp;(A680-$C$6)),""))</f>
        <v/>
      </c>
      <c r="O680" s="16">
        <f>IF(M680="","",_xlfn.MINIFS($M$10:$M$1009,$K$10:$K$1009,K680,$A$10:$A$1009,"&lt;="&amp;A680,$A$10:$A$1009,"&gt;="&amp;(A680-$C$6)))</f>
        <v/>
      </c>
      <c r="P680" s="18">
        <f>IF(OR(N680="",N680=0),"",M680/N680-1)</f>
        <v/>
      </c>
      <c r="Q680">
        <f>IF(D680="","",IF(COUNTIFS($B$10:$B$1009,B680,$C$10:$C$1009,C680,$D$10:$D$1009,D680,$E$10:$E$1009,E680)&gt;1,"MÜKERRER?",IF(P680="","",IF(P680&gt;=$C$5,"İNCELE",IF(P680&lt;=-$C$5,"Düşük",""))))</f>
        <v/>
      </c>
      <c r="R680" s="16">
        <f>IF(AND(P680&lt;&gt;"",N(P680)&gt;=$C$5,COUNTIFS($B$10:B680,B680,$C$10:C680,C680,$D$10:D680,D680,$E$10:E680,E680)=1),(M680-N680)*E680*L680,0)</f>
        <v/>
      </c>
      <c r="S680" s="19">
        <f>IF(D680="",0,N(E680)*L680)</f>
        <v/>
      </c>
    </row>
    <row r="681">
      <c r="A681" s="11" t="n"/>
      <c r="B681" s="12" t="n"/>
      <c r="C681" s="12" t="n"/>
      <c r="D681" s="12" t="n"/>
      <c r="E681" s="13" t="n"/>
      <c r="F681" s="12" t="n"/>
      <c r="G681" s="14" t="n"/>
      <c r="H681" s="15" t="n"/>
      <c r="I681" s="16">
        <f>IF(G681="","",G681*(1-N(H681)))</f>
        <v/>
      </c>
      <c r="J681" s="16">
        <f>IF(I681="","",E681*I681)</f>
        <v/>
      </c>
      <c r="K681">
        <f>IF(D681="","",IFERROR(VLOOKUP(D681,'Ürün Eşleştirme'!$A$6:$D$505,2,FALSE),D681))</f>
        <v/>
      </c>
      <c r="L681" s="17">
        <f>IF(D681="","",IFERROR(VLOOKUP(D681,'Ürün Eşleştirme'!$A$6:$D$505,4,FALSE),1))</f>
        <v/>
      </c>
      <c r="M681" s="16">
        <f>IF(I681="","",I681/L681)</f>
        <v/>
      </c>
      <c r="N681" s="16">
        <f>IF(M681="","",IFERROR(AVERAGEIFS($M$10:$M$1009,$K$10:$K$1009,K681,$A$10:$A$1009,"&lt;"&amp;A681,$A$10:$A$1009,"&gt;="&amp;(A681-$C$6)),""))</f>
        <v/>
      </c>
      <c r="O681" s="16">
        <f>IF(M681="","",_xlfn.MINIFS($M$10:$M$1009,$K$10:$K$1009,K681,$A$10:$A$1009,"&lt;="&amp;A681,$A$10:$A$1009,"&gt;="&amp;(A681-$C$6)))</f>
        <v/>
      </c>
      <c r="P681" s="18">
        <f>IF(OR(N681="",N681=0),"",M681/N681-1)</f>
        <v/>
      </c>
      <c r="Q681">
        <f>IF(D681="","",IF(COUNTIFS($B$10:$B$1009,B681,$C$10:$C$1009,C681,$D$10:$D$1009,D681,$E$10:$E$1009,E681)&gt;1,"MÜKERRER?",IF(P681="","",IF(P681&gt;=$C$5,"İNCELE",IF(P681&lt;=-$C$5,"Düşük",""))))</f>
        <v/>
      </c>
      <c r="R681" s="16">
        <f>IF(AND(P681&lt;&gt;"",N(P681)&gt;=$C$5,COUNTIFS($B$10:B681,B681,$C$10:C681,C681,$D$10:D681,D681,$E$10:E681,E681)=1),(M681-N681)*E681*L681,0)</f>
        <v/>
      </c>
      <c r="S681" s="19">
        <f>IF(D681="",0,N(E681)*L681)</f>
        <v/>
      </c>
    </row>
    <row r="682">
      <c r="A682" s="11" t="n"/>
      <c r="B682" s="12" t="n"/>
      <c r="C682" s="12" t="n"/>
      <c r="D682" s="12" t="n"/>
      <c r="E682" s="13" t="n"/>
      <c r="F682" s="12" t="n"/>
      <c r="G682" s="14" t="n"/>
      <c r="H682" s="15" t="n"/>
      <c r="I682" s="16">
        <f>IF(G682="","",G682*(1-N(H682)))</f>
        <v/>
      </c>
      <c r="J682" s="16">
        <f>IF(I682="","",E682*I682)</f>
        <v/>
      </c>
      <c r="K682">
        <f>IF(D682="","",IFERROR(VLOOKUP(D682,'Ürün Eşleştirme'!$A$6:$D$505,2,FALSE),D682))</f>
        <v/>
      </c>
      <c r="L682" s="17">
        <f>IF(D682="","",IFERROR(VLOOKUP(D682,'Ürün Eşleştirme'!$A$6:$D$505,4,FALSE),1))</f>
        <v/>
      </c>
      <c r="M682" s="16">
        <f>IF(I682="","",I682/L682)</f>
        <v/>
      </c>
      <c r="N682" s="16">
        <f>IF(M682="","",IFERROR(AVERAGEIFS($M$10:$M$1009,$K$10:$K$1009,K682,$A$10:$A$1009,"&lt;"&amp;A682,$A$10:$A$1009,"&gt;="&amp;(A682-$C$6)),""))</f>
        <v/>
      </c>
      <c r="O682" s="16">
        <f>IF(M682="","",_xlfn.MINIFS($M$10:$M$1009,$K$10:$K$1009,K682,$A$10:$A$1009,"&lt;="&amp;A682,$A$10:$A$1009,"&gt;="&amp;(A682-$C$6)))</f>
        <v/>
      </c>
      <c r="P682" s="18">
        <f>IF(OR(N682="",N682=0),"",M682/N682-1)</f>
        <v/>
      </c>
      <c r="Q682">
        <f>IF(D682="","",IF(COUNTIFS($B$10:$B$1009,B682,$C$10:$C$1009,C682,$D$10:$D$1009,D682,$E$10:$E$1009,E682)&gt;1,"MÜKERRER?",IF(P682="","",IF(P682&gt;=$C$5,"İNCELE",IF(P682&lt;=-$C$5,"Düşük",""))))</f>
        <v/>
      </c>
      <c r="R682" s="16">
        <f>IF(AND(P682&lt;&gt;"",N(P682)&gt;=$C$5,COUNTIFS($B$10:B682,B682,$C$10:C682,C682,$D$10:D682,D682,$E$10:E682,E682)=1),(M682-N682)*E682*L682,0)</f>
        <v/>
      </c>
      <c r="S682" s="19">
        <f>IF(D682="",0,N(E682)*L682)</f>
        <v/>
      </c>
    </row>
    <row r="683">
      <c r="A683" s="11" t="n"/>
      <c r="B683" s="12" t="n"/>
      <c r="C683" s="12" t="n"/>
      <c r="D683" s="12" t="n"/>
      <c r="E683" s="13" t="n"/>
      <c r="F683" s="12" t="n"/>
      <c r="G683" s="14" t="n"/>
      <c r="H683" s="15" t="n"/>
      <c r="I683" s="16">
        <f>IF(G683="","",G683*(1-N(H683)))</f>
        <v/>
      </c>
      <c r="J683" s="16">
        <f>IF(I683="","",E683*I683)</f>
        <v/>
      </c>
      <c r="K683">
        <f>IF(D683="","",IFERROR(VLOOKUP(D683,'Ürün Eşleştirme'!$A$6:$D$505,2,FALSE),D683))</f>
        <v/>
      </c>
      <c r="L683" s="17">
        <f>IF(D683="","",IFERROR(VLOOKUP(D683,'Ürün Eşleştirme'!$A$6:$D$505,4,FALSE),1))</f>
        <v/>
      </c>
      <c r="M683" s="16">
        <f>IF(I683="","",I683/L683)</f>
        <v/>
      </c>
      <c r="N683" s="16">
        <f>IF(M683="","",IFERROR(AVERAGEIFS($M$10:$M$1009,$K$10:$K$1009,K683,$A$10:$A$1009,"&lt;"&amp;A683,$A$10:$A$1009,"&gt;="&amp;(A683-$C$6)),""))</f>
        <v/>
      </c>
      <c r="O683" s="16">
        <f>IF(M683="","",_xlfn.MINIFS($M$10:$M$1009,$K$10:$K$1009,K683,$A$10:$A$1009,"&lt;="&amp;A683,$A$10:$A$1009,"&gt;="&amp;(A683-$C$6)))</f>
        <v/>
      </c>
      <c r="P683" s="18">
        <f>IF(OR(N683="",N683=0),"",M683/N683-1)</f>
        <v/>
      </c>
      <c r="Q683">
        <f>IF(D683="","",IF(COUNTIFS($B$10:$B$1009,B683,$C$10:$C$1009,C683,$D$10:$D$1009,D683,$E$10:$E$1009,E683)&gt;1,"MÜKERRER?",IF(P683="","",IF(P683&gt;=$C$5,"İNCELE",IF(P683&lt;=-$C$5,"Düşük",""))))</f>
        <v/>
      </c>
      <c r="R683" s="16">
        <f>IF(AND(P683&lt;&gt;"",N(P683)&gt;=$C$5,COUNTIFS($B$10:B683,B683,$C$10:C683,C683,$D$10:D683,D683,$E$10:E683,E683)=1),(M683-N683)*E683*L683,0)</f>
        <v/>
      </c>
      <c r="S683" s="19">
        <f>IF(D683="",0,N(E683)*L683)</f>
        <v/>
      </c>
    </row>
    <row r="684">
      <c r="A684" s="11" t="n"/>
      <c r="B684" s="12" t="n"/>
      <c r="C684" s="12" t="n"/>
      <c r="D684" s="12" t="n"/>
      <c r="E684" s="13" t="n"/>
      <c r="F684" s="12" t="n"/>
      <c r="G684" s="14" t="n"/>
      <c r="H684" s="15" t="n"/>
      <c r="I684" s="16">
        <f>IF(G684="","",G684*(1-N(H684)))</f>
        <v/>
      </c>
      <c r="J684" s="16">
        <f>IF(I684="","",E684*I684)</f>
        <v/>
      </c>
      <c r="K684">
        <f>IF(D684="","",IFERROR(VLOOKUP(D684,'Ürün Eşleştirme'!$A$6:$D$505,2,FALSE),D684))</f>
        <v/>
      </c>
      <c r="L684" s="17">
        <f>IF(D684="","",IFERROR(VLOOKUP(D684,'Ürün Eşleştirme'!$A$6:$D$505,4,FALSE),1))</f>
        <v/>
      </c>
      <c r="M684" s="16">
        <f>IF(I684="","",I684/L684)</f>
        <v/>
      </c>
      <c r="N684" s="16">
        <f>IF(M684="","",IFERROR(AVERAGEIFS($M$10:$M$1009,$K$10:$K$1009,K684,$A$10:$A$1009,"&lt;"&amp;A684,$A$10:$A$1009,"&gt;="&amp;(A684-$C$6)),""))</f>
        <v/>
      </c>
      <c r="O684" s="16">
        <f>IF(M684="","",_xlfn.MINIFS($M$10:$M$1009,$K$10:$K$1009,K684,$A$10:$A$1009,"&lt;="&amp;A684,$A$10:$A$1009,"&gt;="&amp;(A684-$C$6)))</f>
        <v/>
      </c>
      <c r="P684" s="18">
        <f>IF(OR(N684="",N684=0),"",M684/N684-1)</f>
        <v/>
      </c>
      <c r="Q684">
        <f>IF(D684="","",IF(COUNTIFS($B$10:$B$1009,B684,$C$10:$C$1009,C684,$D$10:$D$1009,D684,$E$10:$E$1009,E684)&gt;1,"MÜKERRER?",IF(P684="","",IF(P684&gt;=$C$5,"İNCELE",IF(P684&lt;=-$C$5,"Düşük",""))))</f>
        <v/>
      </c>
      <c r="R684" s="16">
        <f>IF(AND(P684&lt;&gt;"",N(P684)&gt;=$C$5,COUNTIFS($B$10:B684,B684,$C$10:C684,C684,$D$10:D684,D684,$E$10:E684,E684)=1),(M684-N684)*E684*L684,0)</f>
        <v/>
      </c>
      <c r="S684" s="19">
        <f>IF(D684="",0,N(E684)*L684)</f>
        <v/>
      </c>
    </row>
    <row r="685">
      <c r="A685" s="11" t="n"/>
      <c r="B685" s="12" t="n"/>
      <c r="C685" s="12" t="n"/>
      <c r="D685" s="12" t="n"/>
      <c r="E685" s="13" t="n"/>
      <c r="F685" s="12" t="n"/>
      <c r="G685" s="14" t="n"/>
      <c r="H685" s="15" t="n"/>
      <c r="I685" s="16">
        <f>IF(G685="","",G685*(1-N(H685)))</f>
        <v/>
      </c>
      <c r="J685" s="16">
        <f>IF(I685="","",E685*I685)</f>
        <v/>
      </c>
      <c r="K685">
        <f>IF(D685="","",IFERROR(VLOOKUP(D685,'Ürün Eşleştirme'!$A$6:$D$505,2,FALSE),D685))</f>
        <v/>
      </c>
      <c r="L685" s="17">
        <f>IF(D685="","",IFERROR(VLOOKUP(D685,'Ürün Eşleştirme'!$A$6:$D$505,4,FALSE),1))</f>
        <v/>
      </c>
      <c r="M685" s="16">
        <f>IF(I685="","",I685/L685)</f>
        <v/>
      </c>
      <c r="N685" s="16">
        <f>IF(M685="","",IFERROR(AVERAGEIFS($M$10:$M$1009,$K$10:$K$1009,K685,$A$10:$A$1009,"&lt;"&amp;A685,$A$10:$A$1009,"&gt;="&amp;(A685-$C$6)),""))</f>
        <v/>
      </c>
      <c r="O685" s="16">
        <f>IF(M685="","",_xlfn.MINIFS($M$10:$M$1009,$K$10:$K$1009,K685,$A$10:$A$1009,"&lt;="&amp;A685,$A$10:$A$1009,"&gt;="&amp;(A685-$C$6)))</f>
        <v/>
      </c>
      <c r="P685" s="18">
        <f>IF(OR(N685="",N685=0),"",M685/N685-1)</f>
        <v/>
      </c>
      <c r="Q685">
        <f>IF(D685="","",IF(COUNTIFS($B$10:$B$1009,B685,$C$10:$C$1009,C685,$D$10:$D$1009,D685,$E$10:$E$1009,E685)&gt;1,"MÜKERRER?",IF(P685="","",IF(P685&gt;=$C$5,"İNCELE",IF(P685&lt;=-$C$5,"Düşük",""))))</f>
        <v/>
      </c>
      <c r="R685" s="16">
        <f>IF(AND(P685&lt;&gt;"",N(P685)&gt;=$C$5,COUNTIFS($B$10:B685,B685,$C$10:C685,C685,$D$10:D685,D685,$E$10:E685,E685)=1),(M685-N685)*E685*L685,0)</f>
        <v/>
      </c>
      <c r="S685" s="19">
        <f>IF(D685="",0,N(E685)*L685)</f>
        <v/>
      </c>
    </row>
    <row r="686">
      <c r="A686" s="11" t="n"/>
      <c r="B686" s="12" t="n"/>
      <c r="C686" s="12" t="n"/>
      <c r="D686" s="12" t="n"/>
      <c r="E686" s="13" t="n"/>
      <c r="F686" s="12" t="n"/>
      <c r="G686" s="14" t="n"/>
      <c r="H686" s="15" t="n"/>
      <c r="I686" s="16">
        <f>IF(G686="","",G686*(1-N(H686)))</f>
        <v/>
      </c>
      <c r="J686" s="16">
        <f>IF(I686="","",E686*I686)</f>
        <v/>
      </c>
      <c r="K686">
        <f>IF(D686="","",IFERROR(VLOOKUP(D686,'Ürün Eşleştirme'!$A$6:$D$505,2,FALSE),D686))</f>
        <v/>
      </c>
      <c r="L686" s="17">
        <f>IF(D686="","",IFERROR(VLOOKUP(D686,'Ürün Eşleştirme'!$A$6:$D$505,4,FALSE),1))</f>
        <v/>
      </c>
      <c r="M686" s="16">
        <f>IF(I686="","",I686/L686)</f>
        <v/>
      </c>
      <c r="N686" s="16">
        <f>IF(M686="","",IFERROR(AVERAGEIFS($M$10:$M$1009,$K$10:$K$1009,K686,$A$10:$A$1009,"&lt;"&amp;A686,$A$10:$A$1009,"&gt;="&amp;(A686-$C$6)),""))</f>
        <v/>
      </c>
      <c r="O686" s="16">
        <f>IF(M686="","",_xlfn.MINIFS($M$10:$M$1009,$K$10:$K$1009,K686,$A$10:$A$1009,"&lt;="&amp;A686,$A$10:$A$1009,"&gt;="&amp;(A686-$C$6)))</f>
        <v/>
      </c>
      <c r="P686" s="18">
        <f>IF(OR(N686="",N686=0),"",M686/N686-1)</f>
        <v/>
      </c>
      <c r="Q686">
        <f>IF(D686="","",IF(COUNTIFS($B$10:$B$1009,B686,$C$10:$C$1009,C686,$D$10:$D$1009,D686,$E$10:$E$1009,E686)&gt;1,"MÜKERRER?",IF(P686="","",IF(P686&gt;=$C$5,"İNCELE",IF(P686&lt;=-$C$5,"Düşük",""))))</f>
        <v/>
      </c>
      <c r="R686" s="16">
        <f>IF(AND(P686&lt;&gt;"",N(P686)&gt;=$C$5,COUNTIFS($B$10:B686,B686,$C$10:C686,C686,$D$10:D686,D686,$E$10:E686,E686)=1),(M686-N686)*E686*L686,0)</f>
        <v/>
      </c>
      <c r="S686" s="19">
        <f>IF(D686="",0,N(E686)*L686)</f>
        <v/>
      </c>
    </row>
    <row r="687">
      <c r="A687" s="11" t="n"/>
      <c r="B687" s="12" t="n"/>
      <c r="C687" s="12" t="n"/>
      <c r="D687" s="12" t="n"/>
      <c r="E687" s="13" t="n"/>
      <c r="F687" s="12" t="n"/>
      <c r="G687" s="14" t="n"/>
      <c r="H687" s="15" t="n"/>
      <c r="I687" s="16">
        <f>IF(G687="","",G687*(1-N(H687)))</f>
        <v/>
      </c>
      <c r="J687" s="16">
        <f>IF(I687="","",E687*I687)</f>
        <v/>
      </c>
      <c r="K687">
        <f>IF(D687="","",IFERROR(VLOOKUP(D687,'Ürün Eşleştirme'!$A$6:$D$505,2,FALSE),D687))</f>
        <v/>
      </c>
      <c r="L687" s="17">
        <f>IF(D687="","",IFERROR(VLOOKUP(D687,'Ürün Eşleştirme'!$A$6:$D$505,4,FALSE),1))</f>
        <v/>
      </c>
      <c r="M687" s="16">
        <f>IF(I687="","",I687/L687)</f>
        <v/>
      </c>
      <c r="N687" s="16">
        <f>IF(M687="","",IFERROR(AVERAGEIFS($M$10:$M$1009,$K$10:$K$1009,K687,$A$10:$A$1009,"&lt;"&amp;A687,$A$10:$A$1009,"&gt;="&amp;(A687-$C$6)),""))</f>
        <v/>
      </c>
      <c r="O687" s="16">
        <f>IF(M687="","",_xlfn.MINIFS($M$10:$M$1009,$K$10:$K$1009,K687,$A$10:$A$1009,"&lt;="&amp;A687,$A$10:$A$1009,"&gt;="&amp;(A687-$C$6)))</f>
        <v/>
      </c>
      <c r="P687" s="18">
        <f>IF(OR(N687="",N687=0),"",M687/N687-1)</f>
        <v/>
      </c>
      <c r="Q687">
        <f>IF(D687="","",IF(COUNTIFS($B$10:$B$1009,B687,$C$10:$C$1009,C687,$D$10:$D$1009,D687,$E$10:$E$1009,E687)&gt;1,"MÜKERRER?",IF(P687="","",IF(P687&gt;=$C$5,"İNCELE",IF(P687&lt;=-$C$5,"Düşük",""))))</f>
        <v/>
      </c>
      <c r="R687" s="16">
        <f>IF(AND(P687&lt;&gt;"",N(P687)&gt;=$C$5,COUNTIFS($B$10:B687,B687,$C$10:C687,C687,$D$10:D687,D687,$E$10:E687,E687)=1),(M687-N687)*E687*L687,0)</f>
        <v/>
      </c>
      <c r="S687" s="19">
        <f>IF(D687="",0,N(E687)*L687)</f>
        <v/>
      </c>
    </row>
    <row r="688">
      <c r="A688" s="11" t="n"/>
      <c r="B688" s="12" t="n"/>
      <c r="C688" s="12" t="n"/>
      <c r="D688" s="12" t="n"/>
      <c r="E688" s="13" t="n"/>
      <c r="F688" s="12" t="n"/>
      <c r="G688" s="14" t="n"/>
      <c r="H688" s="15" t="n"/>
      <c r="I688" s="16">
        <f>IF(G688="","",G688*(1-N(H688)))</f>
        <v/>
      </c>
      <c r="J688" s="16">
        <f>IF(I688="","",E688*I688)</f>
        <v/>
      </c>
      <c r="K688">
        <f>IF(D688="","",IFERROR(VLOOKUP(D688,'Ürün Eşleştirme'!$A$6:$D$505,2,FALSE),D688))</f>
        <v/>
      </c>
      <c r="L688" s="17">
        <f>IF(D688="","",IFERROR(VLOOKUP(D688,'Ürün Eşleştirme'!$A$6:$D$505,4,FALSE),1))</f>
        <v/>
      </c>
      <c r="M688" s="16">
        <f>IF(I688="","",I688/L688)</f>
        <v/>
      </c>
      <c r="N688" s="16">
        <f>IF(M688="","",IFERROR(AVERAGEIFS($M$10:$M$1009,$K$10:$K$1009,K688,$A$10:$A$1009,"&lt;"&amp;A688,$A$10:$A$1009,"&gt;="&amp;(A688-$C$6)),""))</f>
        <v/>
      </c>
      <c r="O688" s="16">
        <f>IF(M688="","",_xlfn.MINIFS($M$10:$M$1009,$K$10:$K$1009,K688,$A$10:$A$1009,"&lt;="&amp;A688,$A$10:$A$1009,"&gt;="&amp;(A688-$C$6)))</f>
        <v/>
      </c>
      <c r="P688" s="18">
        <f>IF(OR(N688="",N688=0),"",M688/N688-1)</f>
        <v/>
      </c>
      <c r="Q688">
        <f>IF(D688="","",IF(COUNTIFS($B$10:$B$1009,B688,$C$10:$C$1009,C688,$D$10:$D$1009,D688,$E$10:$E$1009,E688)&gt;1,"MÜKERRER?",IF(P688="","",IF(P688&gt;=$C$5,"İNCELE",IF(P688&lt;=-$C$5,"Düşük",""))))</f>
        <v/>
      </c>
      <c r="R688" s="16">
        <f>IF(AND(P688&lt;&gt;"",N(P688)&gt;=$C$5,COUNTIFS($B$10:B688,B688,$C$10:C688,C688,$D$10:D688,D688,$E$10:E688,E688)=1),(M688-N688)*E688*L688,0)</f>
        <v/>
      </c>
      <c r="S688" s="19">
        <f>IF(D688="",0,N(E688)*L688)</f>
        <v/>
      </c>
    </row>
    <row r="689">
      <c r="A689" s="11" t="n"/>
      <c r="B689" s="12" t="n"/>
      <c r="C689" s="12" t="n"/>
      <c r="D689" s="12" t="n"/>
      <c r="E689" s="13" t="n"/>
      <c r="F689" s="12" t="n"/>
      <c r="G689" s="14" t="n"/>
      <c r="H689" s="15" t="n"/>
      <c r="I689" s="16">
        <f>IF(G689="","",G689*(1-N(H689)))</f>
        <v/>
      </c>
      <c r="J689" s="16">
        <f>IF(I689="","",E689*I689)</f>
        <v/>
      </c>
      <c r="K689">
        <f>IF(D689="","",IFERROR(VLOOKUP(D689,'Ürün Eşleştirme'!$A$6:$D$505,2,FALSE),D689))</f>
        <v/>
      </c>
      <c r="L689" s="17">
        <f>IF(D689="","",IFERROR(VLOOKUP(D689,'Ürün Eşleştirme'!$A$6:$D$505,4,FALSE),1))</f>
        <v/>
      </c>
      <c r="M689" s="16">
        <f>IF(I689="","",I689/L689)</f>
        <v/>
      </c>
      <c r="N689" s="16">
        <f>IF(M689="","",IFERROR(AVERAGEIFS($M$10:$M$1009,$K$10:$K$1009,K689,$A$10:$A$1009,"&lt;"&amp;A689,$A$10:$A$1009,"&gt;="&amp;(A689-$C$6)),""))</f>
        <v/>
      </c>
      <c r="O689" s="16">
        <f>IF(M689="","",_xlfn.MINIFS($M$10:$M$1009,$K$10:$K$1009,K689,$A$10:$A$1009,"&lt;="&amp;A689,$A$10:$A$1009,"&gt;="&amp;(A689-$C$6)))</f>
        <v/>
      </c>
      <c r="P689" s="18">
        <f>IF(OR(N689="",N689=0),"",M689/N689-1)</f>
        <v/>
      </c>
      <c r="Q689">
        <f>IF(D689="","",IF(COUNTIFS($B$10:$B$1009,B689,$C$10:$C$1009,C689,$D$10:$D$1009,D689,$E$10:$E$1009,E689)&gt;1,"MÜKERRER?",IF(P689="","",IF(P689&gt;=$C$5,"İNCELE",IF(P689&lt;=-$C$5,"Düşük",""))))</f>
        <v/>
      </c>
      <c r="R689" s="16">
        <f>IF(AND(P689&lt;&gt;"",N(P689)&gt;=$C$5,COUNTIFS($B$10:B689,B689,$C$10:C689,C689,$D$10:D689,D689,$E$10:E689,E689)=1),(M689-N689)*E689*L689,0)</f>
        <v/>
      </c>
      <c r="S689" s="19">
        <f>IF(D689="",0,N(E689)*L689)</f>
        <v/>
      </c>
    </row>
    <row r="690">
      <c r="A690" s="11" t="n"/>
      <c r="B690" s="12" t="n"/>
      <c r="C690" s="12" t="n"/>
      <c r="D690" s="12" t="n"/>
      <c r="E690" s="13" t="n"/>
      <c r="F690" s="12" t="n"/>
      <c r="G690" s="14" t="n"/>
      <c r="H690" s="15" t="n"/>
      <c r="I690" s="16">
        <f>IF(G690="","",G690*(1-N(H690)))</f>
        <v/>
      </c>
      <c r="J690" s="16">
        <f>IF(I690="","",E690*I690)</f>
        <v/>
      </c>
      <c r="K690">
        <f>IF(D690="","",IFERROR(VLOOKUP(D690,'Ürün Eşleştirme'!$A$6:$D$505,2,FALSE),D690))</f>
        <v/>
      </c>
      <c r="L690" s="17">
        <f>IF(D690="","",IFERROR(VLOOKUP(D690,'Ürün Eşleştirme'!$A$6:$D$505,4,FALSE),1))</f>
        <v/>
      </c>
      <c r="M690" s="16">
        <f>IF(I690="","",I690/L690)</f>
        <v/>
      </c>
      <c r="N690" s="16">
        <f>IF(M690="","",IFERROR(AVERAGEIFS($M$10:$M$1009,$K$10:$K$1009,K690,$A$10:$A$1009,"&lt;"&amp;A690,$A$10:$A$1009,"&gt;="&amp;(A690-$C$6)),""))</f>
        <v/>
      </c>
      <c r="O690" s="16">
        <f>IF(M690="","",_xlfn.MINIFS($M$10:$M$1009,$K$10:$K$1009,K690,$A$10:$A$1009,"&lt;="&amp;A690,$A$10:$A$1009,"&gt;="&amp;(A690-$C$6)))</f>
        <v/>
      </c>
      <c r="P690" s="18">
        <f>IF(OR(N690="",N690=0),"",M690/N690-1)</f>
        <v/>
      </c>
      <c r="Q690">
        <f>IF(D690="","",IF(COUNTIFS($B$10:$B$1009,B690,$C$10:$C$1009,C690,$D$10:$D$1009,D690,$E$10:$E$1009,E690)&gt;1,"MÜKERRER?",IF(P690="","",IF(P690&gt;=$C$5,"İNCELE",IF(P690&lt;=-$C$5,"Düşük",""))))</f>
        <v/>
      </c>
      <c r="R690" s="16">
        <f>IF(AND(P690&lt;&gt;"",N(P690)&gt;=$C$5,COUNTIFS($B$10:B690,B690,$C$10:C690,C690,$D$10:D690,D690,$E$10:E690,E690)=1),(M690-N690)*E690*L690,0)</f>
        <v/>
      </c>
      <c r="S690" s="19">
        <f>IF(D690="",0,N(E690)*L690)</f>
        <v/>
      </c>
    </row>
    <row r="691">
      <c r="A691" s="11" t="n"/>
      <c r="B691" s="12" t="n"/>
      <c r="C691" s="12" t="n"/>
      <c r="D691" s="12" t="n"/>
      <c r="E691" s="13" t="n"/>
      <c r="F691" s="12" t="n"/>
      <c r="G691" s="14" t="n"/>
      <c r="H691" s="15" t="n"/>
      <c r="I691" s="16">
        <f>IF(G691="","",G691*(1-N(H691)))</f>
        <v/>
      </c>
      <c r="J691" s="16">
        <f>IF(I691="","",E691*I691)</f>
        <v/>
      </c>
      <c r="K691">
        <f>IF(D691="","",IFERROR(VLOOKUP(D691,'Ürün Eşleştirme'!$A$6:$D$505,2,FALSE),D691))</f>
        <v/>
      </c>
      <c r="L691" s="17">
        <f>IF(D691="","",IFERROR(VLOOKUP(D691,'Ürün Eşleştirme'!$A$6:$D$505,4,FALSE),1))</f>
        <v/>
      </c>
      <c r="M691" s="16">
        <f>IF(I691="","",I691/L691)</f>
        <v/>
      </c>
      <c r="N691" s="16">
        <f>IF(M691="","",IFERROR(AVERAGEIFS($M$10:$M$1009,$K$10:$K$1009,K691,$A$10:$A$1009,"&lt;"&amp;A691,$A$10:$A$1009,"&gt;="&amp;(A691-$C$6)),""))</f>
        <v/>
      </c>
      <c r="O691" s="16">
        <f>IF(M691="","",_xlfn.MINIFS($M$10:$M$1009,$K$10:$K$1009,K691,$A$10:$A$1009,"&lt;="&amp;A691,$A$10:$A$1009,"&gt;="&amp;(A691-$C$6)))</f>
        <v/>
      </c>
      <c r="P691" s="18">
        <f>IF(OR(N691="",N691=0),"",M691/N691-1)</f>
        <v/>
      </c>
      <c r="Q691">
        <f>IF(D691="","",IF(COUNTIFS($B$10:$B$1009,B691,$C$10:$C$1009,C691,$D$10:$D$1009,D691,$E$10:$E$1009,E691)&gt;1,"MÜKERRER?",IF(P691="","",IF(P691&gt;=$C$5,"İNCELE",IF(P691&lt;=-$C$5,"Düşük",""))))</f>
        <v/>
      </c>
      <c r="R691" s="16">
        <f>IF(AND(P691&lt;&gt;"",N(P691)&gt;=$C$5,COUNTIFS($B$10:B691,B691,$C$10:C691,C691,$D$10:D691,D691,$E$10:E691,E691)=1),(M691-N691)*E691*L691,0)</f>
        <v/>
      </c>
      <c r="S691" s="19">
        <f>IF(D691="",0,N(E691)*L691)</f>
        <v/>
      </c>
    </row>
    <row r="692">
      <c r="A692" s="11" t="n"/>
      <c r="B692" s="12" t="n"/>
      <c r="C692" s="12" t="n"/>
      <c r="D692" s="12" t="n"/>
      <c r="E692" s="13" t="n"/>
      <c r="F692" s="12" t="n"/>
      <c r="G692" s="14" t="n"/>
      <c r="H692" s="15" t="n"/>
      <c r="I692" s="16">
        <f>IF(G692="","",G692*(1-N(H692)))</f>
        <v/>
      </c>
      <c r="J692" s="16">
        <f>IF(I692="","",E692*I692)</f>
        <v/>
      </c>
      <c r="K692">
        <f>IF(D692="","",IFERROR(VLOOKUP(D692,'Ürün Eşleştirme'!$A$6:$D$505,2,FALSE),D692))</f>
        <v/>
      </c>
      <c r="L692" s="17">
        <f>IF(D692="","",IFERROR(VLOOKUP(D692,'Ürün Eşleştirme'!$A$6:$D$505,4,FALSE),1))</f>
        <v/>
      </c>
      <c r="M692" s="16">
        <f>IF(I692="","",I692/L692)</f>
        <v/>
      </c>
      <c r="N692" s="16">
        <f>IF(M692="","",IFERROR(AVERAGEIFS($M$10:$M$1009,$K$10:$K$1009,K692,$A$10:$A$1009,"&lt;"&amp;A692,$A$10:$A$1009,"&gt;="&amp;(A692-$C$6)),""))</f>
        <v/>
      </c>
      <c r="O692" s="16">
        <f>IF(M692="","",_xlfn.MINIFS($M$10:$M$1009,$K$10:$K$1009,K692,$A$10:$A$1009,"&lt;="&amp;A692,$A$10:$A$1009,"&gt;="&amp;(A692-$C$6)))</f>
        <v/>
      </c>
      <c r="P692" s="18">
        <f>IF(OR(N692="",N692=0),"",M692/N692-1)</f>
        <v/>
      </c>
      <c r="Q692">
        <f>IF(D692="","",IF(COUNTIFS($B$10:$B$1009,B692,$C$10:$C$1009,C692,$D$10:$D$1009,D692,$E$10:$E$1009,E692)&gt;1,"MÜKERRER?",IF(P692="","",IF(P692&gt;=$C$5,"İNCELE",IF(P692&lt;=-$C$5,"Düşük",""))))</f>
        <v/>
      </c>
      <c r="R692" s="16">
        <f>IF(AND(P692&lt;&gt;"",N(P692)&gt;=$C$5,COUNTIFS($B$10:B692,B692,$C$10:C692,C692,$D$10:D692,D692,$E$10:E692,E692)=1),(M692-N692)*E692*L692,0)</f>
        <v/>
      </c>
      <c r="S692" s="19">
        <f>IF(D692="",0,N(E692)*L692)</f>
        <v/>
      </c>
    </row>
    <row r="693">
      <c r="A693" s="11" t="n"/>
      <c r="B693" s="12" t="n"/>
      <c r="C693" s="12" t="n"/>
      <c r="D693" s="12" t="n"/>
      <c r="E693" s="13" t="n"/>
      <c r="F693" s="12" t="n"/>
      <c r="G693" s="14" t="n"/>
      <c r="H693" s="15" t="n"/>
      <c r="I693" s="16">
        <f>IF(G693="","",G693*(1-N(H693)))</f>
        <v/>
      </c>
      <c r="J693" s="16">
        <f>IF(I693="","",E693*I693)</f>
        <v/>
      </c>
      <c r="K693">
        <f>IF(D693="","",IFERROR(VLOOKUP(D693,'Ürün Eşleştirme'!$A$6:$D$505,2,FALSE),D693))</f>
        <v/>
      </c>
      <c r="L693" s="17">
        <f>IF(D693="","",IFERROR(VLOOKUP(D693,'Ürün Eşleştirme'!$A$6:$D$505,4,FALSE),1))</f>
        <v/>
      </c>
      <c r="M693" s="16">
        <f>IF(I693="","",I693/L693)</f>
        <v/>
      </c>
      <c r="N693" s="16">
        <f>IF(M693="","",IFERROR(AVERAGEIFS($M$10:$M$1009,$K$10:$K$1009,K693,$A$10:$A$1009,"&lt;"&amp;A693,$A$10:$A$1009,"&gt;="&amp;(A693-$C$6)),""))</f>
        <v/>
      </c>
      <c r="O693" s="16">
        <f>IF(M693="","",_xlfn.MINIFS($M$10:$M$1009,$K$10:$K$1009,K693,$A$10:$A$1009,"&lt;="&amp;A693,$A$10:$A$1009,"&gt;="&amp;(A693-$C$6)))</f>
        <v/>
      </c>
      <c r="P693" s="18">
        <f>IF(OR(N693="",N693=0),"",M693/N693-1)</f>
        <v/>
      </c>
      <c r="Q693">
        <f>IF(D693="","",IF(COUNTIFS($B$10:$B$1009,B693,$C$10:$C$1009,C693,$D$10:$D$1009,D693,$E$10:$E$1009,E693)&gt;1,"MÜKERRER?",IF(P693="","",IF(P693&gt;=$C$5,"İNCELE",IF(P693&lt;=-$C$5,"Düşük",""))))</f>
        <v/>
      </c>
      <c r="R693" s="16">
        <f>IF(AND(P693&lt;&gt;"",N(P693)&gt;=$C$5,COUNTIFS($B$10:B693,B693,$C$10:C693,C693,$D$10:D693,D693,$E$10:E693,E693)=1),(M693-N693)*E693*L693,0)</f>
        <v/>
      </c>
      <c r="S693" s="19">
        <f>IF(D693="",0,N(E693)*L693)</f>
        <v/>
      </c>
    </row>
    <row r="694">
      <c r="A694" s="11" t="n"/>
      <c r="B694" s="12" t="n"/>
      <c r="C694" s="12" t="n"/>
      <c r="D694" s="12" t="n"/>
      <c r="E694" s="13" t="n"/>
      <c r="F694" s="12" t="n"/>
      <c r="G694" s="14" t="n"/>
      <c r="H694" s="15" t="n"/>
      <c r="I694" s="16">
        <f>IF(G694="","",G694*(1-N(H694)))</f>
        <v/>
      </c>
      <c r="J694" s="16">
        <f>IF(I694="","",E694*I694)</f>
        <v/>
      </c>
      <c r="K694">
        <f>IF(D694="","",IFERROR(VLOOKUP(D694,'Ürün Eşleştirme'!$A$6:$D$505,2,FALSE),D694))</f>
        <v/>
      </c>
      <c r="L694" s="17">
        <f>IF(D694="","",IFERROR(VLOOKUP(D694,'Ürün Eşleştirme'!$A$6:$D$505,4,FALSE),1))</f>
        <v/>
      </c>
      <c r="M694" s="16">
        <f>IF(I694="","",I694/L694)</f>
        <v/>
      </c>
      <c r="N694" s="16">
        <f>IF(M694="","",IFERROR(AVERAGEIFS($M$10:$M$1009,$K$10:$K$1009,K694,$A$10:$A$1009,"&lt;"&amp;A694,$A$10:$A$1009,"&gt;="&amp;(A694-$C$6)),""))</f>
        <v/>
      </c>
      <c r="O694" s="16">
        <f>IF(M694="","",_xlfn.MINIFS($M$10:$M$1009,$K$10:$K$1009,K694,$A$10:$A$1009,"&lt;="&amp;A694,$A$10:$A$1009,"&gt;="&amp;(A694-$C$6)))</f>
        <v/>
      </c>
      <c r="P694" s="18">
        <f>IF(OR(N694="",N694=0),"",M694/N694-1)</f>
        <v/>
      </c>
      <c r="Q694">
        <f>IF(D694="","",IF(COUNTIFS($B$10:$B$1009,B694,$C$10:$C$1009,C694,$D$10:$D$1009,D694,$E$10:$E$1009,E694)&gt;1,"MÜKERRER?",IF(P694="","",IF(P694&gt;=$C$5,"İNCELE",IF(P694&lt;=-$C$5,"Düşük",""))))</f>
        <v/>
      </c>
      <c r="R694" s="16">
        <f>IF(AND(P694&lt;&gt;"",N(P694)&gt;=$C$5,COUNTIFS($B$10:B694,B694,$C$10:C694,C694,$D$10:D694,D694,$E$10:E694,E694)=1),(M694-N694)*E694*L694,0)</f>
        <v/>
      </c>
      <c r="S694" s="19">
        <f>IF(D694="",0,N(E694)*L694)</f>
        <v/>
      </c>
    </row>
    <row r="695">
      <c r="A695" s="11" t="n"/>
      <c r="B695" s="12" t="n"/>
      <c r="C695" s="12" t="n"/>
      <c r="D695" s="12" t="n"/>
      <c r="E695" s="13" t="n"/>
      <c r="F695" s="12" t="n"/>
      <c r="G695" s="14" t="n"/>
      <c r="H695" s="15" t="n"/>
      <c r="I695" s="16">
        <f>IF(G695="","",G695*(1-N(H695)))</f>
        <v/>
      </c>
      <c r="J695" s="16">
        <f>IF(I695="","",E695*I695)</f>
        <v/>
      </c>
      <c r="K695">
        <f>IF(D695="","",IFERROR(VLOOKUP(D695,'Ürün Eşleştirme'!$A$6:$D$505,2,FALSE),D695))</f>
        <v/>
      </c>
      <c r="L695" s="17">
        <f>IF(D695="","",IFERROR(VLOOKUP(D695,'Ürün Eşleştirme'!$A$6:$D$505,4,FALSE),1))</f>
        <v/>
      </c>
      <c r="M695" s="16">
        <f>IF(I695="","",I695/L695)</f>
        <v/>
      </c>
      <c r="N695" s="16">
        <f>IF(M695="","",IFERROR(AVERAGEIFS($M$10:$M$1009,$K$10:$K$1009,K695,$A$10:$A$1009,"&lt;"&amp;A695,$A$10:$A$1009,"&gt;="&amp;(A695-$C$6)),""))</f>
        <v/>
      </c>
      <c r="O695" s="16">
        <f>IF(M695="","",_xlfn.MINIFS($M$10:$M$1009,$K$10:$K$1009,K695,$A$10:$A$1009,"&lt;="&amp;A695,$A$10:$A$1009,"&gt;="&amp;(A695-$C$6)))</f>
        <v/>
      </c>
      <c r="P695" s="18">
        <f>IF(OR(N695="",N695=0),"",M695/N695-1)</f>
        <v/>
      </c>
      <c r="Q695">
        <f>IF(D695="","",IF(COUNTIFS($B$10:$B$1009,B695,$C$10:$C$1009,C695,$D$10:$D$1009,D695,$E$10:$E$1009,E695)&gt;1,"MÜKERRER?",IF(P695="","",IF(P695&gt;=$C$5,"İNCELE",IF(P695&lt;=-$C$5,"Düşük",""))))</f>
        <v/>
      </c>
      <c r="R695" s="16">
        <f>IF(AND(P695&lt;&gt;"",N(P695)&gt;=$C$5,COUNTIFS($B$10:B695,B695,$C$10:C695,C695,$D$10:D695,D695,$E$10:E695,E695)=1),(M695-N695)*E695*L695,0)</f>
        <v/>
      </c>
      <c r="S695" s="19">
        <f>IF(D695="",0,N(E695)*L695)</f>
        <v/>
      </c>
    </row>
    <row r="696">
      <c r="A696" s="11" t="n"/>
      <c r="B696" s="12" t="n"/>
      <c r="C696" s="12" t="n"/>
      <c r="D696" s="12" t="n"/>
      <c r="E696" s="13" t="n"/>
      <c r="F696" s="12" t="n"/>
      <c r="G696" s="14" t="n"/>
      <c r="H696" s="15" t="n"/>
      <c r="I696" s="16">
        <f>IF(G696="","",G696*(1-N(H696)))</f>
        <v/>
      </c>
      <c r="J696" s="16">
        <f>IF(I696="","",E696*I696)</f>
        <v/>
      </c>
      <c r="K696">
        <f>IF(D696="","",IFERROR(VLOOKUP(D696,'Ürün Eşleştirme'!$A$6:$D$505,2,FALSE),D696))</f>
        <v/>
      </c>
      <c r="L696" s="17">
        <f>IF(D696="","",IFERROR(VLOOKUP(D696,'Ürün Eşleştirme'!$A$6:$D$505,4,FALSE),1))</f>
        <v/>
      </c>
      <c r="M696" s="16">
        <f>IF(I696="","",I696/L696)</f>
        <v/>
      </c>
      <c r="N696" s="16">
        <f>IF(M696="","",IFERROR(AVERAGEIFS($M$10:$M$1009,$K$10:$K$1009,K696,$A$10:$A$1009,"&lt;"&amp;A696,$A$10:$A$1009,"&gt;="&amp;(A696-$C$6)),""))</f>
        <v/>
      </c>
      <c r="O696" s="16">
        <f>IF(M696="","",_xlfn.MINIFS($M$10:$M$1009,$K$10:$K$1009,K696,$A$10:$A$1009,"&lt;="&amp;A696,$A$10:$A$1009,"&gt;="&amp;(A696-$C$6)))</f>
        <v/>
      </c>
      <c r="P696" s="18">
        <f>IF(OR(N696="",N696=0),"",M696/N696-1)</f>
        <v/>
      </c>
      <c r="Q696">
        <f>IF(D696="","",IF(COUNTIFS($B$10:$B$1009,B696,$C$10:$C$1009,C696,$D$10:$D$1009,D696,$E$10:$E$1009,E696)&gt;1,"MÜKERRER?",IF(P696="","",IF(P696&gt;=$C$5,"İNCELE",IF(P696&lt;=-$C$5,"Düşük",""))))</f>
        <v/>
      </c>
      <c r="R696" s="16">
        <f>IF(AND(P696&lt;&gt;"",N(P696)&gt;=$C$5,COUNTIFS($B$10:B696,B696,$C$10:C696,C696,$D$10:D696,D696,$E$10:E696,E696)=1),(M696-N696)*E696*L696,0)</f>
        <v/>
      </c>
      <c r="S696" s="19">
        <f>IF(D696="",0,N(E696)*L696)</f>
        <v/>
      </c>
    </row>
    <row r="697">
      <c r="A697" s="11" t="n"/>
      <c r="B697" s="12" t="n"/>
      <c r="C697" s="12" t="n"/>
      <c r="D697" s="12" t="n"/>
      <c r="E697" s="13" t="n"/>
      <c r="F697" s="12" t="n"/>
      <c r="G697" s="14" t="n"/>
      <c r="H697" s="15" t="n"/>
      <c r="I697" s="16">
        <f>IF(G697="","",G697*(1-N(H697)))</f>
        <v/>
      </c>
      <c r="J697" s="16">
        <f>IF(I697="","",E697*I697)</f>
        <v/>
      </c>
      <c r="K697">
        <f>IF(D697="","",IFERROR(VLOOKUP(D697,'Ürün Eşleştirme'!$A$6:$D$505,2,FALSE),D697))</f>
        <v/>
      </c>
      <c r="L697" s="17">
        <f>IF(D697="","",IFERROR(VLOOKUP(D697,'Ürün Eşleştirme'!$A$6:$D$505,4,FALSE),1))</f>
        <v/>
      </c>
      <c r="M697" s="16">
        <f>IF(I697="","",I697/L697)</f>
        <v/>
      </c>
      <c r="N697" s="16">
        <f>IF(M697="","",IFERROR(AVERAGEIFS($M$10:$M$1009,$K$10:$K$1009,K697,$A$10:$A$1009,"&lt;"&amp;A697,$A$10:$A$1009,"&gt;="&amp;(A697-$C$6)),""))</f>
        <v/>
      </c>
      <c r="O697" s="16">
        <f>IF(M697="","",_xlfn.MINIFS($M$10:$M$1009,$K$10:$K$1009,K697,$A$10:$A$1009,"&lt;="&amp;A697,$A$10:$A$1009,"&gt;="&amp;(A697-$C$6)))</f>
        <v/>
      </c>
      <c r="P697" s="18">
        <f>IF(OR(N697="",N697=0),"",M697/N697-1)</f>
        <v/>
      </c>
      <c r="Q697">
        <f>IF(D697="","",IF(COUNTIFS($B$10:$B$1009,B697,$C$10:$C$1009,C697,$D$10:$D$1009,D697,$E$10:$E$1009,E697)&gt;1,"MÜKERRER?",IF(P697="","",IF(P697&gt;=$C$5,"İNCELE",IF(P697&lt;=-$C$5,"Düşük",""))))</f>
        <v/>
      </c>
      <c r="R697" s="16">
        <f>IF(AND(P697&lt;&gt;"",N(P697)&gt;=$C$5,COUNTIFS($B$10:B697,B697,$C$10:C697,C697,$D$10:D697,D697,$E$10:E697,E697)=1),(M697-N697)*E697*L697,0)</f>
        <v/>
      </c>
      <c r="S697" s="19">
        <f>IF(D697="",0,N(E697)*L697)</f>
        <v/>
      </c>
    </row>
    <row r="698">
      <c r="A698" s="11" t="n"/>
      <c r="B698" s="12" t="n"/>
      <c r="C698" s="12" t="n"/>
      <c r="D698" s="12" t="n"/>
      <c r="E698" s="13" t="n"/>
      <c r="F698" s="12" t="n"/>
      <c r="G698" s="14" t="n"/>
      <c r="H698" s="15" t="n"/>
      <c r="I698" s="16">
        <f>IF(G698="","",G698*(1-N(H698)))</f>
        <v/>
      </c>
      <c r="J698" s="16">
        <f>IF(I698="","",E698*I698)</f>
        <v/>
      </c>
      <c r="K698">
        <f>IF(D698="","",IFERROR(VLOOKUP(D698,'Ürün Eşleştirme'!$A$6:$D$505,2,FALSE),D698))</f>
        <v/>
      </c>
      <c r="L698" s="17">
        <f>IF(D698="","",IFERROR(VLOOKUP(D698,'Ürün Eşleştirme'!$A$6:$D$505,4,FALSE),1))</f>
        <v/>
      </c>
      <c r="M698" s="16">
        <f>IF(I698="","",I698/L698)</f>
        <v/>
      </c>
      <c r="N698" s="16">
        <f>IF(M698="","",IFERROR(AVERAGEIFS($M$10:$M$1009,$K$10:$K$1009,K698,$A$10:$A$1009,"&lt;"&amp;A698,$A$10:$A$1009,"&gt;="&amp;(A698-$C$6)),""))</f>
        <v/>
      </c>
      <c r="O698" s="16">
        <f>IF(M698="","",_xlfn.MINIFS($M$10:$M$1009,$K$10:$K$1009,K698,$A$10:$A$1009,"&lt;="&amp;A698,$A$10:$A$1009,"&gt;="&amp;(A698-$C$6)))</f>
        <v/>
      </c>
      <c r="P698" s="18">
        <f>IF(OR(N698="",N698=0),"",M698/N698-1)</f>
        <v/>
      </c>
      <c r="Q698">
        <f>IF(D698="","",IF(COUNTIFS($B$10:$B$1009,B698,$C$10:$C$1009,C698,$D$10:$D$1009,D698,$E$10:$E$1009,E698)&gt;1,"MÜKERRER?",IF(P698="","",IF(P698&gt;=$C$5,"İNCELE",IF(P698&lt;=-$C$5,"Düşük",""))))</f>
        <v/>
      </c>
      <c r="R698" s="16">
        <f>IF(AND(P698&lt;&gt;"",N(P698)&gt;=$C$5,COUNTIFS($B$10:B698,B698,$C$10:C698,C698,$D$10:D698,D698,$E$10:E698,E698)=1),(M698-N698)*E698*L698,0)</f>
        <v/>
      </c>
      <c r="S698" s="19">
        <f>IF(D698="",0,N(E698)*L698)</f>
        <v/>
      </c>
    </row>
    <row r="699">
      <c r="A699" s="11" t="n"/>
      <c r="B699" s="12" t="n"/>
      <c r="C699" s="12" t="n"/>
      <c r="D699" s="12" t="n"/>
      <c r="E699" s="13" t="n"/>
      <c r="F699" s="12" t="n"/>
      <c r="G699" s="14" t="n"/>
      <c r="H699" s="15" t="n"/>
      <c r="I699" s="16">
        <f>IF(G699="","",G699*(1-N(H699)))</f>
        <v/>
      </c>
      <c r="J699" s="16">
        <f>IF(I699="","",E699*I699)</f>
        <v/>
      </c>
      <c r="K699">
        <f>IF(D699="","",IFERROR(VLOOKUP(D699,'Ürün Eşleştirme'!$A$6:$D$505,2,FALSE),D699))</f>
        <v/>
      </c>
      <c r="L699" s="17">
        <f>IF(D699="","",IFERROR(VLOOKUP(D699,'Ürün Eşleştirme'!$A$6:$D$505,4,FALSE),1))</f>
        <v/>
      </c>
      <c r="M699" s="16">
        <f>IF(I699="","",I699/L699)</f>
        <v/>
      </c>
      <c r="N699" s="16">
        <f>IF(M699="","",IFERROR(AVERAGEIFS($M$10:$M$1009,$K$10:$K$1009,K699,$A$10:$A$1009,"&lt;"&amp;A699,$A$10:$A$1009,"&gt;="&amp;(A699-$C$6)),""))</f>
        <v/>
      </c>
      <c r="O699" s="16">
        <f>IF(M699="","",_xlfn.MINIFS($M$10:$M$1009,$K$10:$K$1009,K699,$A$10:$A$1009,"&lt;="&amp;A699,$A$10:$A$1009,"&gt;="&amp;(A699-$C$6)))</f>
        <v/>
      </c>
      <c r="P699" s="18">
        <f>IF(OR(N699="",N699=0),"",M699/N699-1)</f>
        <v/>
      </c>
      <c r="Q699">
        <f>IF(D699="","",IF(COUNTIFS($B$10:$B$1009,B699,$C$10:$C$1009,C699,$D$10:$D$1009,D699,$E$10:$E$1009,E699)&gt;1,"MÜKERRER?",IF(P699="","",IF(P699&gt;=$C$5,"İNCELE",IF(P699&lt;=-$C$5,"Düşük",""))))</f>
        <v/>
      </c>
      <c r="R699" s="16">
        <f>IF(AND(P699&lt;&gt;"",N(P699)&gt;=$C$5,COUNTIFS($B$10:B699,B699,$C$10:C699,C699,$D$10:D699,D699,$E$10:E699,E699)=1),(M699-N699)*E699*L699,0)</f>
        <v/>
      </c>
      <c r="S699" s="19">
        <f>IF(D699="",0,N(E699)*L699)</f>
        <v/>
      </c>
    </row>
    <row r="700">
      <c r="A700" s="11" t="n"/>
      <c r="B700" s="12" t="n"/>
      <c r="C700" s="12" t="n"/>
      <c r="D700" s="12" t="n"/>
      <c r="E700" s="13" t="n"/>
      <c r="F700" s="12" t="n"/>
      <c r="G700" s="14" t="n"/>
      <c r="H700" s="15" t="n"/>
      <c r="I700" s="16">
        <f>IF(G700="","",G700*(1-N(H700)))</f>
        <v/>
      </c>
      <c r="J700" s="16">
        <f>IF(I700="","",E700*I700)</f>
        <v/>
      </c>
      <c r="K700">
        <f>IF(D700="","",IFERROR(VLOOKUP(D700,'Ürün Eşleştirme'!$A$6:$D$505,2,FALSE),D700))</f>
        <v/>
      </c>
      <c r="L700" s="17">
        <f>IF(D700="","",IFERROR(VLOOKUP(D700,'Ürün Eşleştirme'!$A$6:$D$505,4,FALSE),1))</f>
        <v/>
      </c>
      <c r="M700" s="16">
        <f>IF(I700="","",I700/L700)</f>
        <v/>
      </c>
      <c r="N700" s="16">
        <f>IF(M700="","",IFERROR(AVERAGEIFS($M$10:$M$1009,$K$10:$K$1009,K700,$A$10:$A$1009,"&lt;"&amp;A700,$A$10:$A$1009,"&gt;="&amp;(A700-$C$6)),""))</f>
        <v/>
      </c>
      <c r="O700" s="16">
        <f>IF(M700="","",_xlfn.MINIFS($M$10:$M$1009,$K$10:$K$1009,K700,$A$10:$A$1009,"&lt;="&amp;A700,$A$10:$A$1009,"&gt;="&amp;(A700-$C$6)))</f>
        <v/>
      </c>
      <c r="P700" s="18">
        <f>IF(OR(N700="",N700=0),"",M700/N700-1)</f>
        <v/>
      </c>
      <c r="Q700">
        <f>IF(D700="","",IF(COUNTIFS($B$10:$B$1009,B700,$C$10:$C$1009,C700,$D$10:$D$1009,D700,$E$10:$E$1009,E700)&gt;1,"MÜKERRER?",IF(P700="","",IF(P700&gt;=$C$5,"İNCELE",IF(P700&lt;=-$C$5,"Düşük",""))))</f>
        <v/>
      </c>
      <c r="R700" s="16">
        <f>IF(AND(P700&lt;&gt;"",N(P700)&gt;=$C$5,COUNTIFS($B$10:B700,B700,$C$10:C700,C700,$D$10:D700,D700,$E$10:E700,E700)=1),(M700-N700)*E700*L700,0)</f>
        <v/>
      </c>
      <c r="S700" s="19">
        <f>IF(D700="",0,N(E700)*L700)</f>
        <v/>
      </c>
    </row>
    <row r="701">
      <c r="A701" s="11" t="n"/>
      <c r="B701" s="12" t="n"/>
      <c r="C701" s="12" t="n"/>
      <c r="D701" s="12" t="n"/>
      <c r="E701" s="13" t="n"/>
      <c r="F701" s="12" t="n"/>
      <c r="G701" s="14" t="n"/>
      <c r="H701" s="15" t="n"/>
      <c r="I701" s="16">
        <f>IF(G701="","",G701*(1-N(H701)))</f>
        <v/>
      </c>
      <c r="J701" s="16">
        <f>IF(I701="","",E701*I701)</f>
        <v/>
      </c>
      <c r="K701">
        <f>IF(D701="","",IFERROR(VLOOKUP(D701,'Ürün Eşleştirme'!$A$6:$D$505,2,FALSE),D701))</f>
        <v/>
      </c>
      <c r="L701" s="17">
        <f>IF(D701="","",IFERROR(VLOOKUP(D701,'Ürün Eşleştirme'!$A$6:$D$505,4,FALSE),1))</f>
        <v/>
      </c>
      <c r="M701" s="16">
        <f>IF(I701="","",I701/L701)</f>
        <v/>
      </c>
      <c r="N701" s="16">
        <f>IF(M701="","",IFERROR(AVERAGEIFS($M$10:$M$1009,$K$10:$K$1009,K701,$A$10:$A$1009,"&lt;"&amp;A701,$A$10:$A$1009,"&gt;="&amp;(A701-$C$6)),""))</f>
        <v/>
      </c>
      <c r="O701" s="16">
        <f>IF(M701="","",_xlfn.MINIFS($M$10:$M$1009,$K$10:$K$1009,K701,$A$10:$A$1009,"&lt;="&amp;A701,$A$10:$A$1009,"&gt;="&amp;(A701-$C$6)))</f>
        <v/>
      </c>
      <c r="P701" s="18">
        <f>IF(OR(N701="",N701=0),"",M701/N701-1)</f>
        <v/>
      </c>
      <c r="Q701">
        <f>IF(D701="","",IF(COUNTIFS($B$10:$B$1009,B701,$C$10:$C$1009,C701,$D$10:$D$1009,D701,$E$10:$E$1009,E701)&gt;1,"MÜKERRER?",IF(P701="","",IF(P701&gt;=$C$5,"İNCELE",IF(P701&lt;=-$C$5,"Düşük",""))))</f>
        <v/>
      </c>
      <c r="R701" s="16">
        <f>IF(AND(P701&lt;&gt;"",N(P701)&gt;=$C$5,COUNTIFS($B$10:B701,B701,$C$10:C701,C701,$D$10:D701,D701,$E$10:E701,E701)=1),(M701-N701)*E701*L701,0)</f>
        <v/>
      </c>
      <c r="S701" s="19">
        <f>IF(D701="",0,N(E701)*L701)</f>
        <v/>
      </c>
    </row>
    <row r="702">
      <c r="A702" s="11" t="n"/>
      <c r="B702" s="12" t="n"/>
      <c r="C702" s="12" t="n"/>
      <c r="D702" s="12" t="n"/>
      <c r="E702" s="13" t="n"/>
      <c r="F702" s="12" t="n"/>
      <c r="G702" s="14" t="n"/>
      <c r="H702" s="15" t="n"/>
      <c r="I702" s="16">
        <f>IF(G702="","",G702*(1-N(H702)))</f>
        <v/>
      </c>
      <c r="J702" s="16">
        <f>IF(I702="","",E702*I702)</f>
        <v/>
      </c>
      <c r="K702">
        <f>IF(D702="","",IFERROR(VLOOKUP(D702,'Ürün Eşleştirme'!$A$6:$D$505,2,FALSE),D702))</f>
        <v/>
      </c>
      <c r="L702" s="17">
        <f>IF(D702="","",IFERROR(VLOOKUP(D702,'Ürün Eşleştirme'!$A$6:$D$505,4,FALSE),1))</f>
        <v/>
      </c>
      <c r="M702" s="16">
        <f>IF(I702="","",I702/L702)</f>
        <v/>
      </c>
      <c r="N702" s="16">
        <f>IF(M702="","",IFERROR(AVERAGEIFS($M$10:$M$1009,$K$10:$K$1009,K702,$A$10:$A$1009,"&lt;"&amp;A702,$A$10:$A$1009,"&gt;="&amp;(A702-$C$6)),""))</f>
        <v/>
      </c>
      <c r="O702" s="16">
        <f>IF(M702="","",_xlfn.MINIFS($M$10:$M$1009,$K$10:$K$1009,K702,$A$10:$A$1009,"&lt;="&amp;A702,$A$10:$A$1009,"&gt;="&amp;(A702-$C$6)))</f>
        <v/>
      </c>
      <c r="P702" s="18">
        <f>IF(OR(N702="",N702=0),"",M702/N702-1)</f>
        <v/>
      </c>
      <c r="Q702">
        <f>IF(D702="","",IF(COUNTIFS($B$10:$B$1009,B702,$C$10:$C$1009,C702,$D$10:$D$1009,D702,$E$10:$E$1009,E702)&gt;1,"MÜKERRER?",IF(P702="","",IF(P702&gt;=$C$5,"İNCELE",IF(P702&lt;=-$C$5,"Düşük",""))))</f>
        <v/>
      </c>
      <c r="R702" s="16">
        <f>IF(AND(P702&lt;&gt;"",N(P702)&gt;=$C$5,COUNTIFS($B$10:B702,B702,$C$10:C702,C702,$D$10:D702,D702,$E$10:E702,E702)=1),(M702-N702)*E702*L702,0)</f>
        <v/>
      </c>
      <c r="S702" s="19">
        <f>IF(D702="",0,N(E702)*L702)</f>
        <v/>
      </c>
    </row>
    <row r="703">
      <c r="A703" s="11" t="n"/>
      <c r="B703" s="12" t="n"/>
      <c r="C703" s="12" t="n"/>
      <c r="D703" s="12" t="n"/>
      <c r="E703" s="13" t="n"/>
      <c r="F703" s="12" t="n"/>
      <c r="G703" s="14" t="n"/>
      <c r="H703" s="15" t="n"/>
      <c r="I703" s="16">
        <f>IF(G703="","",G703*(1-N(H703)))</f>
        <v/>
      </c>
      <c r="J703" s="16">
        <f>IF(I703="","",E703*I703)</f>
        <v/>
      </c>
      <c r="K703">
        <f>IF(D703="","",IFERROR(VLOOKUP(D703,'Ürün Eşleştirme'!$A$6:$D$505,2,FALSE),D703))</f>
        <v/>
      </c>
      <c r="L703" s="17">
        <f>IF(D703="","",IFERROR(VLOOKUP(D703,'Ürün Eşleştirme'!$A$6:$D$505,4,FALSE),1))</f>
        <v/>
      </c>
      <c r="M703" s="16">
        <f>IF(I703="","",I703/L703)</f>
        <v/>
      </c>
      <c r="N703" s="16">
        <f>IF(M703="","",IFERROR(AVERAGEIFS($M$10:$M$1009,$K$10:$K$1009,K703,$A$10:$A$1009,"&lt;"&amp;A703,$A$10:$A$1009,"&gt;="&amp;(A703-$C$6)),""))</f>
        <v/>
      </c>
      <c r="O703" s="16">
        <f>IF(M703="","",_xlfn.MINIFS($M$10:$M$1009,$K$10:$K$1009,K703,$A$10:$A$1009,"&lt;="&amp;A703,$A$10:$A$1009,"&gt;="&amp;(A703-$C$6)))</f>
        <v/>
      </c>
      <c r="P703" s="18">
        <f>IF(OR(N703="",N703=0),"",M703/N703-1)</f>
        <v/>
      </c>
      <c r="Q703">
        <f>IF(D703="","",IF(COUNTIFS($B$10:$B$1009,B703,$C$10:$C$1009,C703,$D$10:$D$1009,D703,$E$10:$E$1009,E703)&gt;1,"MÜKERRER?",IF(P703="","",IF(P703&gt;=$C$5,"İNCELE",IF(P703&lt;=-$C$5,"Düşük",""))))</f>
        <v/>
      </c>
      <c r="R703" s="16">
        <f>IF(AND(P703&lt;&gt;"",N(P703)&gt;=$C$5,COUNTIFS($B$10:B703,B703,$C$10:C703,C703,$D$10:D703,D703,$E$10:E703,E703)=1),(M703-N703)*E703*L703,0)</f>
        <v/>
      </c>
      <c r="S703" s="19">
        <f>IF(D703="",0,N(E703)*L703)</f>
        <v/>
      </c>
    </row>
    <row r="704">
      <c r="A704" s="11" t="n"/>
      <c r="B704" s="12" t="n"/>
      <c r="C704" s="12" t="n"/>
      <c r="D704" s="12" t="n"/>
      <c r="E704" s="13" t="n"/>
      <c r="F704" s="12" t="n"/>
      <c r="G704" s="14" t="n"/>
      <c r="H704" s="15" t="n"/>
      <c r="I704" s="16">
        <f>IF(G704="","",G704*(1-N(H704)))</f>
        <v/>
      </c>
      <c r="J704" s="16">
        <f>IF(I704="","",E704*I704)</f>
        <v/>
      </c>
      <c r="K704">
        <f>IF(D704="","",IFERROR(VLOOKUP(D704,'Ürün Eşleştirme'!$A$6:$D$505,2,FALSE),D704))</f>
        <v/>
      </c>
      <c r="L704" s="17">
        <f>IF(D704="","",IFERROR(VLOOKUP(D704,'Ürün Eşleştirme'!$A$6:$D$505,4,FALSE),1))</f>
        <v/>
      </c>
      <c r="M704" s="16">
        <f>IF(I704="","",I704/L704)</f>
        <v/>
      </c>
      <c r="N704" s="16">
        <f>IF(M704="","",IFERROR(AVERAGEIFS($M$10:$M$1009,$K$10:$K$1009,K704,$A$10:$A$1009,"&lt;"&amp;A704,$A$10:$A$1009,"&gt;="&amp;(A704-$C$6)),""))</f>
        <v/>
      </c>
      <c r="O704" s="16">
        <f>IF(M704="","",_xlfn.MINIFS($M$10:$M$1009,$K$10:$K$1009,K704,$A$10:$A$1009,"&lt;="&amp;A704,$A$10:$A$1009,"&gt;="&amp;(A704-$C$6)))</f>
        <v/>
      </c>
      <c r="P704" s="18">
        <f>IF(OR(N704="",N704=0),"",M704/N704-1)</f>
        <v/>
      </c>
      <c r="Q704">
        <f>IF(D704="","",IF(COUNTIFS($B$10:$B$1009,B704,$C$10:$C$1009,C704,$D$10:$D$1009,D704,$E$10:$E$1009,E704)&gt;1,"MÜKERRER?",IF(P704="","",IF(P704&gt;=$C$5,"İNCELE",IF(P704&lt;=-$C$5,"Düşük",""))))</f>
        <v/>
      </c>
      <c r="R704" s="16">
        <f>IF(AND(P704&lt;&gt;"",N(P704)&gt;=$C$5,COUNTIFS($B$10:B704,B704,$C$10:C704,C704,$D$10:D704,D704,$E$10:E704,E704)=1),(M704-N704)*E704*L704,0)</f>
        <v/>
      </c>
      <c r="S704" s="19">
        <f>IF(D704="",0,N(E704)*L704)</f>
        <v/>
      </c>
    </row>
    <row r="705">
      <c r="A705" s="11" t="n"/>
      <c r="B705" s="12" t="n"/>
      <c r="C705" s="12" t="n"/>
      <c r="D705" s="12" t="n"/>
      <c r="E705" s="13" t="n"/>
      <c r="F705" s="12" t="n"/>
      <c r="G705" s="14" t="n"/>
      <c r="H705" s="15" t="n"/>
      <c r="I705" s="16">
        <f>IF(G705="","",G705*(1-N(H705)))</f>
        <v/>
      </c>
      <c r="J705" s="16">
        <f>IF(I705="","",E705*I705)</f>
        <v/>
      </c>
      <c r="K705">
        <f>IF(D705="","",IFERROR(VLOOKUP(D705,'Ürün Eşleştirme'!$A$6:$D$505,2,FALSE),D705))</f>
        <v/>
      </c>
      <c r="L705" s="17">
        <f>IF(D705="","",IFERROR(VLOOKUP(D705,'Ürün Eşleştirme'!$A$6:$D$505,4,FALSE),1))</f>
        <v/>
      </c>
      <c r="M705" s="16">
        <f>IF(I705="","",I705/L705)</f>
        <v/>
      </c>
      <c r="N705" s="16">
        <f>IF(M705="","",IFERROR(AVERAGEIFS($M$10:$M$1009,$K$10:$K$1009,K705,$A$10:$A$1009,"&lt;"&amp;A705,$A$10:$A$1009,"&gt;="&amp;(A705-$C$6)),""))</f>
        <v/>
      </c>
      <c r="O705" s="16">
        <f>IF(M705="","",_xlfn.MINIFS($M$10:$M$1009,$K$10:$K$1009,K705,$A$10:$A$1009,"&lt;="&amp;A705,$A$10:$A$1009,"&gt;="&amp;(A705-$C$6)))</f>
        <v/>
      </c>
      <c r="P705" s="18">
        <f>IF(OR(N705="",N705=0),"",M705/N705-1)</f>
        <v/>
      </c>
      <c r="Q705">
        <f>IF(D705="","",IF(COUNTIFS($B$10:$B$1009,B705,$C$10:$C$1009,C705,$D$10:$D$1009,D705,$E$10:$E$1009,E705)&gt;1,"MÜKERRER?",IF(P705="","",IF(P705&gt;=$C$5,"İNCELE",IF(P705&lt;=-$C$5,"Düşük",""))))</f>
        <v/>
      </c>
      <c r="R705" s="16">
        <f>IF(AND(P705&lt;&gt;"",N(P705)&gt;=$C$5,COUNTIFS($B$10:B705,B705,$C$10:C705,C705,$D$10:D705,D705,$E$10:E705,E705)=1),(M705-N705)*E705*L705,0)</f>
        <v/>
      </c>
      <c r="S705" s="19">
        <f>IF(D705="",0,N(E705)*L705)</f>
        <v/>
      </c>
    </row>
    <row r="706">
      <c r="A706" s="11" t="n"/>
      <c r="B706" s="12" t="n"/>
      <c r="C706" s="12" t="n"/>
      <c r="D706" s="12" t="n"/>
      <c r="E706" s="13" t="n"/>
      <c r="F706" s="12" t="n"/>
      <c r="G706" s="14" t="n"/>
      <c r="H706" s="15" t="n"/>
      <c r="I706" s="16">
        <f>IF(G706="","",G706*(1-N(H706)))</f>
        <v/>
      </c>
      <c r="J706" s="16">
        <f>IF(I706="","",E706*I706)</f>
        <v/>
      </c>
      <c r="K706">
        <f>IF(D706="","",IFERROR(VLOOKUP(D706,'Ürün Eşleştirme'!$A$6:$D$505,2,FALSE),D706))</f>
        <v/>
      </c>
      <c r="L706" s="17">
        <f>IF(D706="","",IFERROR(VLOOKUP(D706,'Ürün Eşleştirme'!$A$6:$D$505,4,FALSE),1))</f>
        <v/>
      </c>
      <c r="M706" s="16">
        <f>IF(I706="","",I706/L706)</f>
        <v/>
      </c>
      <c r="N706" s="16">
        <f>IF(M706="","",IFERROR(AVERAGEIFS($M$10:$M$1009,$K$10:$K$1009,K706,$A$10:$A$1009,"&lt;"&amp;A706,$A$10:$A$1009,"&gt;="&amp;(A706-$C$6)),""))</f>
        <v/>
      </c>
      <c r="O706" s="16">
        <f>IF(M706="","",_xlfn.MINIFS($M$10:$M$1009,$K$10:$K$1009,K706,$A$10:$A$1009,"&lt;="&amp;A706,$A$10:$A$1009,"&gt;="&amp;(A706-$C$6)))</f>
        <v/>
      </c>
      <c r="P706" s="18">
        <f>IF(OR(N706="",N706=0),"",M706/N706-1)</f>
        <v/>
      </c>
      <c r="Q706">
        <f>IF(D706="","",IF(COUNTIFS($B$10:$B$1009,B706,$C$10:$C$1009,C706,$D$10:$D$1009,D706,$E$10:$E$1009,E706)&gt;1,"MÜKERRER?",IF(P706="","",IF(P706&gt;=$C$5,"İNCELE",IF(P706&lt;=-$C$5,"Düşük",""))))</f>
        <v/>
      </c>
      <c r="R706" s="16">
        <f>IF(AND(P706&lt;&gt;"",N(P706)&gt;=$C$5,COUNTIFS($B$10:B706,B706,$C$10:C706,C706,$D$10:D706,D706,$E$10:E706,E706)=1),(M706-N706)*E706*L706,0)</f>
        <v/>
      </c>
      <c r="S706" s="19">
        <f>IF(D706="",0,N(E706)*L706)</f>
        <v/>
      </c>
    </row>
    <row r="707">
      <c r="A707" s="11" t="n"/>
      <c r="B707" s="12" t="n"/>
      <c r="C707" s="12" t="n"/>
      <c r="D707" s="12" t="n"/>
      <c r="E707" s="13" t="n"/>
      <c r="F707" s="12" t="n"/>
      <c r="G707" s="14" t="n"/>
      <c r="H707" s="15" t="n"/>
      <c r="I707" s="16">
        <f>IF(G707="","",G707*(1-N(H707)))</f>
        <v/>
      </c>
      <c r="J707" s="16">
        <f>IF(I707="","",E707*I707)</f>
        <v/>
      </c>
      <c r="K707">
        <f>IF(D707="","",IFERROR(VLOOKUP(D707,'Ürün Eşleştirme'!$A$6:$D$505,2,FALSE),D707))</f>
        <v/>
      </c>
      <c r="L707" s="17">
        <f>IF(D707="","",IFERROR(VLOOKUP(D707,'Ürün Eşleştirme'!$A$6:$D$505,4,FALSE),1))</f>
        <v/>
      </c>
      <c r="M707" s="16">
        <f>IF(I707="","",I707/L707)</f>
        <v/>
      </c>
      <c r="N707" s="16">
        <f>IF(M707="","",IFERROR(AVERAGEIFS($M$10:$M$1009,$K$10:$K$1009,K707,$A$10:$A$1009,"&lt;"&amp;A707,$A$10:$A$1009,"&gt;="&amp;(A707-$C$6)),""))</f>
        <v/>
      </c>
      <c r="O707" s="16">
        <f>IF(M707="","",_xlfn.MINIFS($M$10:$M$1009,$K$10:$K$1009,K707,$A$10:$A$1009,"&lt;="&amp;A707,$A$10:$A$1009,"&gt;="&amp;(A707-$C$6)))</f>
        <v/>
      </c>
      <c r="P707" s="18">
        <f>IF(OR(N707="",N707=0),"",M707/N707-1)</f>
        <v/>
      </c>
      <c r="Q707">
        <f>IF(D707="","",IF(COUNTIFS($B$10:$B$1009,B707,$C$10:$C$1009,C707,$D$10:$D$1009,D707,$E$10:$E$1009,E707)&gt;1,"MÜKERRER?",IF(P707="","",IF(P707&gt;=$C$5,"İNCELE",IF(P707&lt;=-$C$5,"Düşük",""))))</f>
        <v/>
      </c>
      <c r="R707" s="16">
        <f>IF(AND(P707&lt;&gt;"",N(P707)&gt;=$C$5,COUNTIFS($B$10:B707,B707,$C$10:C707,C707,$D$10:D707,D707,$E$10:E707,E707)=1),(M707-N707)*E707*L707,0)</f>
        <v/>
      </c>
      <c r="S707" s="19">
        <f>IF(D707="",0,N(E707)*L707)</f>
        <v/>
      </c>
    </row>
    <row r="708">
      <c r="A708" s="11" t="n"/>
      <c r="B708" s="12" t="n"/>
      <c r="C708" s="12" t="n"/>
      <c r="D708" s="12" t="n"/>
      <c r="E708" s="13" t="n"/>
      <c r="F708" s="12" t="n"/>
      <c r="G708" s="14" t="n"/>
      <c r="H708" s="15" t="n"/>
      <c r="I708" s="16">
        <f>IF(G708="","",G708*(1-N(H708)))</f>
        <v/>
      </c>
      <c r="J708" s="16">
        <f>IF(I708="","",E708*I708)</f>
        <v/>
      </c>
      <c r="K708">
        <f>IF(D708="","",IFERROR(VLOOKUP(D708,'Ürün Eşleştirme'!$A$6:$D$505,2,FALSE),D708))</f>
        <v/>
      </c>
      <c r="L708" s="17">
        <f>IF(D708="","",IFERROR(VLOOKUP(D708,'Ürün Eşleştirme'!$A$6:$D$505,4,FALSE),1))</f>
        <v/>
      </c>
      <c r="M708" s="16">
        <f>IF(I708="","",I708/L708)</f>
        <v/>
      </c>
      <c r="N708" s="16">
        <f>IF(M708="","",IFERROR(AVERAGEIFS($M$10:$M$1009,$K$10:$K$1009,K708,$A$10:$A$1009,"&lt;"&amp;A708,$A$10:$A$1009,"&gt;="&amp;(A708-$C$6)),""))</f>
        <v/>
      </c>
      <c r="O708" s="16">
        <f>IF(M708="","",_xlfn.MINIFS($M$10:$M$1009,$K$10:$K$1009,K708,$A$10:$A$1009,"&lt;="&amp;A708,$A$10:$A$1009,"&gt;="&amp;(A708-$C$6)))</f>
        <v/>
      </c>
      <c r="P708" s="18">
        <f>IF(OR(N708="",N708=0),"",M708/N708-1)</f>
        <v/>
      </c>
      <c r="Q708">
        <f>IF(D708="","",IF(COUNTIFS($B$10:$B$1009,B708,$C$10:$C$1009,C708,$D$10:$D$1009,D708,$E$10:$E$1009,E708)&gt;1,"MÜKERRER?",IF(P708="","",IF(P708&gt;=$C$5,"İNCELE",IF(P708&lt;=-$C$5,"Düşük",""))))</f>
        <v/>
      </c>
      <c r="R708" s="16">
        <f>IF(AND(P708&lt;&gt;"",N(P708)&gt;=$C$5,COUNTIFS($B$10:B708,B708,$C$10:C708,C708,$D$10:D708,D708,$E$10:E708,E708)=1),(M708-N708)*E708*L708,0)</f>
        <v/>
      </c>
      <c r="S708" s="19">
        <f>IF(D708="",0,N(E708)*L708)</f>
        <v/>
      </c>
    </row>
    <row r="709">
      <c r="A709" s="11" t="n"/>
      <c r="B709" s="12" t="n"/>
      <c r="C709" s="12" t="n"/>
      <c r="D709" s="12" t="n"/>
      <c r="E709" s="13" t="n"/>
      <c r="F709" s="12" t="n"/>
      <c r="G709" s="14" t="n"/>
      <c r="H709" s="15" t="n"/>
      <c r="I709" s="16">
        <f>IF(G709="","",G709*(1-N(H709)))</f>
        <v/>
      </c>
      <c r="J709" s="16">
        <f>IF(I709="","",E709*I709)</f>
        <v/>
      </c>
      <c r="K709">
        <f>IF(D709="","",IFERROR(VLOOKUP(D709,'Ürün Eşleştirme'!$A$6:$D$505,2,FALSE),D709))</f>
        <v/>
      </c>
      <c r="L709" s="17">
        <f>IF(D709="","",IFERROR(VLOOKUP(D709,'Ürün Eşleştirme'!$A$6:$D$505,4,FALSE),1))</f>
        <v/>
      </c>
      <c r="M709" s="16">
        <f>IF(I709="","",I709/L709)</f>
        <v/>
      </c>
      <c r="N709" s="16">
        <f>IF(M709="","",IFERROR(AVERAGEIFS($M$10:$M$1009,$K$10:$K$1009,K709,$A$10:$A$1009,"&lt;"&amp;A709,$A$10:$A$1009,"&gt;="&amp;(A709-$C$6)),""))</f>
        <v/>
      </c>
      <c r="O709" s="16">
        <f>IF(M709="","",_xlfn.MINIFS($M$10:$M$1009,$K$10:$K$1009,K709,$A$10:$A$1009,"&lt;="&amp;A709,$A$10:$A$1009,"&gt;="&amp;(A709-$C$6)))</f>
        <v/>
      </c>
      <c r="P709" s="18">
        <f>IF(OR(N709="",N709=0),"",M709/N709-1)</f>
        <v/>
      </c>
      <c r="Q709">
        <f>IF(D709="","",IF(COUNTIFS($B$10:$B$1009,B709,$C$10:$C$1009,C709,$D$10:$D$1009,D709,$E$10:$E$1009,E709)&gt;1,"MÜKERRER?",IF(P709="","",IF(P709&gt;=$C$5,"İNCELE",IF(P709&lt;=-$C$5,"Düşük",""))))</f>
        <v/>
      </c>
      <c r="R709" s="16">
        <f>IF(AND(P709&lt;&gt;"",N(P709)&gt;=$C$5,COUNTIFS($B$10:B709,B709,$C$10:C709,C709,$D$10:D709,D709,$E$10:E709,E709)=1),(M709-N709)*E709*L709,0)</f>
        <v/>
      </c>
      <c r="S709" s="19">
        <f>IF(D709="",0,N(E709)*L709)</f>
        <v/>
      </c>
    </row>
    <row r="710">
      <c r="A710" s="11" t="n"/>
      <c r="B710" s="12" t="n"/>
      <c r="C710" s="12" t="n"/>
      <c r="D710" s="12" t="n"/>
      <c r="E710" s="13" t="n"/>
      <c r="F710" s="12" t="n"/>
      <c r="G710" s="14" t="n"/>
      <c r="H710" s="15" t="n"/>
      <c r="I710" s="16">
        <f>IF(G710="","",G710*(1-N(H710)))</f>
        <v/>
      </c>
      <c r="J710" s="16">
        <f>IF(I710="","",E710*I710)</f>
        <v/>
      </c>
      <c r="K710">
        <f>IF(D710="","",IFERROR(VLOOKUP(D710,'Ürün Eşleştirme'!$A$6:$D$505,2,FALSE),D710))</f>
        <v/>
      </c>
      <c r="L710" s="17">
        <f>IF(D710="","",IFERROR(VLOOKUP(D710,'Ürün Eşleştirme'!$A$6:$D$505,4,FALSE),1))</f>
        <v/>
      </c>
      <c r="M710" s="16">
        <f>IF(I710="","",I710/L710)</f>
        <v/>
      </c>
      <c r="N710" s="16">
        <f>IF(M710="","",IFERROR(AVERAGEIFS($M$10:$M$1009,$K$10:$K$1009,K710,$A$10:$A$1009,"&lt;"&amp;A710,$A$10:$A$1009,"&gt;="&amp;(A710-$C$6)),""))</f>
        <v/>
      </c>
      <c r="O710" s="16">
        <f>IF(M710="","",_xlfn.MINIFS($M$10:$M$1009,$K$10:$K$1009,K710,$A$10:$A$1009,"&lt;="&amp;A710,$A$10:$A$1009,"&gt;="&amp;(A710-$C$6)))</f>
        <v/>
      </c>
      <c r="P710" s="18">
        <f>IF(OR(N710="",N710=0),"",M710/N710-1)</f>
        <v/>
      </c>
      <c r="Q710">
        <f>IF(D710="","",IF(COUNTIFS($B$10:$B$1009,B710,$C$10:$C$1009,C710,$D$10:$D$1009,D710,$E$10:$E$1009,E710)&gt;1,"MÜKERRER?",IF(P710="","",IF(P710&gt;=$C$5,"İNCELE",IF(P710&lt;=-$C$5,"Düşük",""))))</f>
        <v/>
      </c>
      <c r="R710" s="16">
        <f>IF(AND(P710&lt;&gt;"",N(P710)&gt;=$C$5,COUNTIFS($B$10:B710,B710,$C$10:C710,C710,$D$10:D710,D710,$E$10:E710,E710)=1),(M710-N710)*E710*L710,0)</f>
        <v/>
      </c>
      <c r="S710" s="19">
        <f>IF(D710="",0,N(E710)*L710)</f>
        <v/>
      </c>
    </row>
    <row r="711">
      <c r="A711" s="11" t="n"/>
      <c r="B711" s="12" t="n"/>
      <c r="C711" s="12" t="n"/>
      <c r="D711" s="12" t="n"/>
      <c r="E711" s="13" t="n"/>
      <c r="F711" s="12" t="n"/>
      <c r="G711" s="14" t="n"/>
      <c r="H711" s="15" t="n"/>
      <c r="I711" s="16">
        <f>IF(G711="","",G711*(1-N(H711)))</f>
        <v/>
      </c>
      <c r="J711" s="16">
        <f>IF(I711="","",E711*I711)</f>
        <v/>
      </c>
      <c r="K711">
        <f>IF(D711="","",IFERROR(VLOOKUP(D711,'Ürün Eşleştirme'!$A$6:$D$505,2,FALSE),D711))</f>
        <v/>
      </c>
      <c r="L711" s="17">
        <f>IF(D711="","",IFERROR(VLOOKUP(D711,'Ürün Eşleştirme'!$A$6:$D$505,4,FALSE),1))</f>
        <v/>
      </c>
      <c r="M711" s="16">
        <f>IF(I711="","",I711/L711)</f>
        <v/>
      </c>
      <c r="N711" s="16">
        <f>IF(M711="","",IFERROR(AVERAGEIFS($M$10:$M$1009,$K$10:$K$1009,K711,$A$10:$A$1009,"&lt;"&amp;A711,$A$10:$A$1009,"&gt;="&amp;(A711-$C$6)),""))</f>
        <v/>
      </c>
      <c r="O711" s="16">
        <f>IF(M711="","",_xlfn.MINIFS($M$10:$M$1009,$K$10:$K$1009,K711,$A$10:$A$1009,"&lt;="&amp;A711,$A$10:$A$1009,"&gt;="&amp;(A711-$C$6)))</f>
        <v/>
      </c>
      <c r="P711" s="18">
        <f>IF(OR(N711="",N711=0),"",M711/N711-1)</f>
        <v/>
      </c>
      <c r="Q711">
        <f>IF(D711="","",IF(COUNTIFS($B$10:$B$1009,B711,$C$10:$C$1009,C711,$D$10:$D$1009,D711,$E$10:$E$1009,E711)&gt;1,"MÜKERRER?",IF(P711="","",IF(P711&gt;=$C$5,"İNCELE",IF(P711&lt;=-$C$5,"Düşük",""))))</f>
        <v/>
      </c>
      <c r="R711" s="16">
        <f>IF(AND(P711&lt;&gt;"",N(P711)&gt;=$C$5,COUNTIFS($B$10:B711,B711,$C$10:C711,C711,$D$10:D711,D711,$E$10:E711,E711)=1),(M711-N711)*E711*L711,0)</f>
        <v/>
      </c>
      <c r="S711" s="19">
        <f>IF(D711="",0,N(E711)*L711)</f>
        <v/>
      </c>
    </row>
    <row r="712">
      <c r="A712" s="11" t="n"/>
      <c r="B712" s="12" t="n"/>
      <c r="C712" s="12" t="n"/>
      <c r="D712" s="12" t="n"/>
      <c r="E712" s="13" t="n"/>
      <c r="F712" s="12" t="n"/>
      <c r="G712" s="14" t="n"/>
      <c r="H712" s="15" t="n"/>
      <c r="I712" s="16">
        <f>IF(G712="","",G712*(1-N(H712)))</f>
        <v/>
      </c>
      <c r="J712" s="16">
        <f>IF(I712="","",E712*I712)</f>
        <v/>
      </c>
      <c r="K712">
        <f>IF(D712="","",IFERROR(VLOOKUP(D712,'Ürün Eşleştirme'!$A$6:$D$505,2,FALSE),D712))</f>
        <v/>
      </c>
      <c r="L712" s="17">
        <f>IF(D712="","",IFERROR(VLOOKUP(D712,'Ürün Eşleştirme'!$A$6:$D$505,4,FALSE),1))</f>
        <v/>
      </c>
      <c r="M712" s="16">
        <f>IF(I712="","",I712/L712)</f>
        <v/>
      </c>
      <c r="N712" s="16">
        <f>IF(M712="","",IFERROR(AVERAGEIFS($M$10:$M$1009,$K$10:$K$1009,K712,$A$10:$A$1009,"&lt;"&amp;A712,$A$10:$A$1009,"&gt;="&amp;(A712-$C$6)),""))</f>
        <v/>
      </c>
      <c r="O712" s="16">
        <f>IF(M712="","",_xlfn.MINIFS($M$10:$M$1009,$K$10:$K$1009,K712,$A$10:$A$1009,"&lt;="&amp;A712,$A$10:$A$1009,"&gt;="&amp;(A712-$C$6)))</f>
        <v/>
      </c>
      <c r="P712" s="18">
        <f>IF(OR(N712="",N712=0),"",M712/N712-1)</f>
        <v/>
      </c>
      <c r="Q712">
        <f>IF(D712="","",IF(COUNTIFS($B$10:$B$1009,B712,$C$10:$C$1009,C712,$D$10:$D$1009,D712,$E$10:$E$1009,E712)&gt;1,"MÜKERRER?",IF(P712="","",IF(P712&gt;=$C$5,"İNCELE",IF(P712&lt;=-$C$5,"Düşük",""))))</f>
        <v/>
      </c>
      <c r="R712" s="16">
        <f>IF(AND(P712&lt;&gt;"",N(P712)&gt;=$C$5,COUNTIFS($B$10:B712,B712,$C$10:C712,C712,$D$10:D712,D712,$E$10:E712,E712)=1),(M712-N712)*E712*L712,0)</f>
        <v/>
      </c>
      <c r="S712" s="19">
        <f>IF(D712="",0,N(E712)*L712)</f>
        <v/>
      </c>
    </row>
    <row r="713">
      <c r="A713" s="11" t="n"/>
      <c r="B713" s="12" t="n"/>
      <c r="C713" s="12" t="n"/>
      <c r="D713" s="12" t="n"/>
      <c r="E713" s="13" t="n"/>
      <c r="F713" s="12" t="n"/>
      <c r="G713" s="14" t="n"/>
      <c r="H713" s="15" t="n"/>
      <c r="I713" s="16">
        <f>IF(G713="","",G713*(1-N(H713)))</f>
        <v/>
      </c>
      <c r="J713" s="16">
        <f>IF(I713="","",E713*I713)</f>
        <v/>
      </c>
      <c r="K713">
        <f>IF(D713="","",IFERROR(VLOOKUP(D713,'Ürün Eşleştirme'!$A$6:$D$505,2,FALSE),D713))</f>
        <v/>
      </c>
      <c r="L713" s="17">
        <f>IF(D713="","",IFERROR(VLOOKUP(D713,'Ürün Eşleştirme'!$A$6:$D$505,4,FALSE),1))</f>
        <v/>
      </c>
      <c r="M713" s="16">
        <f>IF(I713="","",I713/L713)</f>
        <v/>
      </c>
      <c r="N713" s="16">
        <f>IF(M713="","",IFERROR(AVERAGEIFS($M$10:$M$1009,$K$10:$K$1009,K713,$A$10:$A$1009,"&lt;"&amp;A713,$A$10:$A$1009,"&gt;="&amp;(A713-$C$6)),""))</f>
        <v/>
      </c>
      <c r="O713" s="16">
        <f>IF(M713="","",_xlfn.MINIFS($M$10:$M$1009,$K$10:$K$1009,K713,$A$10:$A$1009,"&lt;="&amp;A713,$A$10:$A$1009,"&gt;="&amp;(A713-$C$6)))</f>
        <v/>
      </c>
      <c r="P713" s="18">
        <f>IF(OR(N713="",N713=0),"",M713/N713-1)</f>
        <v/>
      </c>
      <c r="Q713">
        <f>IF(D713="","",IF(COUNTIFS($B$10:$B$1009,B713,$C$10:$C$1009,C713,$D$10:$D$1009,D713,$E$10:$E$1009,E713)&gt;1,"MÜKERRER?",IF(P713="","",IF(P713&gt;=$C$5,"İNCELE",IF(P713&lt;=-$C$5,"Düşük",""))))</f>
        <v/>
      </c>
      <c r="R713" s="16">
        <f>IF(AND(P713&lt;&gt;"",N(P713)&gt;=$C$5,COUNTIFS($B$10:B713,B713,$C$10:C713,C713,$D$10:D713,D713,$E$10:E713,E713)=1),(M713-N713)*E713*L713,0)</f>
        <v/>
      </c>
      <c r="S713" s="19">
        <f>IF(D713="",0,N(E713)*L713)</f>
        <v/>
      </c>
    </row>
    <row r="714">
      <c r="A714" s="11" t="n"/>
      <c r="B714" s="12" t="n"/>
      <c r="C714" s="12" t="n"/>
      <c r="D714" s="12" t="n"/>
      <c r="E714" s="13" t="n"/>
      <c r="F714" s="12" t="n"/>
      <c r="G714" s="14" t="n"/>
      <c r="H714" s="15" t="n"/>
      <c r="I714" s="16">
        <f>IF(G714="","",G714*(1-N(H714)))</f>
        <v/>
      </c>
      <c r="J714" s="16">
        <f>IF(I714="","",E714*I714)</f>
        <v/>
      </c>
      <c r="K714">
        <f>IF(D714="","",IFERROR(VLOOKUP(D714,'Ürün Eşleştirme'!$A$6:$D$505,2,FALSE),D714))</f>
        <v/>
      </c>
      <c r="L714" s="17">
        <f>IF(D714="","",IFERROR(VLOOKUP(D714,'Ürün Eşleştirme'!$A$6:$D$505,4,FALSE),1))</f>
        <v/>
      </c>
      <c r="M714" s="16">
        <f>IF(I714="","",I714/L714)</f>
        <v/>
      </c>
      <c r="N714" s="16">
        <f>IF(M714="","",IFERROR(AVERAGEIFS($M$10:$M$1009,$K$10:$K$1009,K714,$A$10:$A$1009,"&lt;"&amp;A714,$A$10:$A$1009,"&gt;="&amp;(A714-$C$6)),""))</f>
        <v/>
      </c>
      <c r="O714" s="16">
        <f>IF(M714="","",_xlfn.MINIFS($M$10:$M$1009,$K$10:$K$1009,K714,$A$10:$A$1009,"&lt;="&amp;A714,$A$10:$A$1009,"&gt;="&amp;(A714-$C$6)))</f>
        <v/>
      </c>
      <c r="P714" s="18">
        <f>IF(OR(N714="",N714=0),"",M714/N714-1)</f>
        <v/>
      </c>
      <c r="Q714">
        <f>IF(D714="","",IF(COUNTIFS($B$10:$B$1009,B714,$C$10:$C$1009,C714,$D$10:$D$1009,D714,$E$10:$E$1009,E714)&gt;1,"MÜKERRER?",IF(P714="","",IF(P714&gt;=$C$5,"İNCELE",IF(P714&lt;=-$C$5,"Düşük",""))))</f>
        <v/>
      </c>
      <c r="R714" s="16">
        <f>IF(AND(P714&lt;&gt;"",N(P714)&gt;=$C$5,COUNTIFS($B$10:B714,B714,$C$10:C714,C714,$D$10:D714,D714,$E$10:E714,E714)=1),(M714-N714)*E714*L714,0)</f>
        <v/>
      </c>
      <c r="S714" s="19">
        <f>IF(D714="",0,N(E714)*L714)</f>
        <v/>
      </c>
    </row>
    <row r="715">
      <c r="A715" s="11" t="n"/>
      <c r="B715" s="12" t="n"/>
      <c r="C715" s="12" t="n"/>
      <c r="D715" s="12" t="n"/>
      <c r="E715" s="13" t="n"/>
      <c r="F715" s="12" t="n"/>
      <c r="G715" s="14" t="n"/>
      <c r="H715" s="15" t="n"/>
      <c r="I715" s="16">
        <f>IF(G715="","",G715*(1-N(H715)))</f>
        <v/>
      </c>
      <c r="J715" s="16">
        <f>IF(I715="","",E715*I715)</f>
        <v/>
      </c>
      <c r="K715">
        <f>IF(D715="","",IFERROR(VLOOKUP(D715,'Ürün Eşleştirme'!$A$6:$D$505,2,FALSE),D715))</f>
        <v/>
      </c>
      <c r="L715" s="17">
        <f>IF(D715="","",IFERROR(VLOOKUP(D715,'Ürün Eşleştirme'!$A$6:$D$505,4,FALSE),1))</f>
        <v/>
      </c>
      <c r="M715" s="16">
        <f>IF(I715="","",I715/L715)</f>
        <v/>
      </c>
      <c r="N715" s="16">
        <f>IF(M715="","",IFERROR(AVERAGEIFS($M$10:$M$1009,$K$10:$K$1009,K715,$A$10:$A$1009,"&lt;"&amp;A715,$A$10:$A$1009,"&gt;="&amp;(A715-$C$6)),""))</f>
        <v/>
      </c>
      <c r="O715" s="16">
        <f>IF(M715="","",_xlfn.MINIFS($M$10:$M$1009,$K$10:$K$1009,K715,$A$10:$A$1009,"&lt;="&amp;A715,$A$10:$A$1009,"&gt;="&amp;(A715-$C$6)))</f>
        <v/>
      </c>
      <c r="P715" s="18">
        <f>IF(OR(N715="",N715=0),"",M715/N715-1)</f>
        <v/>
      </c>
      <c r="Q715">
        <f>IF(D715="","",IF(COUNTIFS($B$10:$B$1009,B715,$C$10:$C$1009,C715,$D$10:$D$1009,D715,$E$10:$E$1009,E715)&gt;1,"MÜKERRER?",IF(P715="","",IF(P715&gt;=$C$5,"İNCELE",IF(P715&lt;=-$C$5,"Düşük",""))))</f>
        <v/>
      </c>
      <c r="R715" s="16">
        <f>IF(AND(P715&lt;&gt;"",N(P715)&gt;=$C$5,COUNTIFS($B$10:B715,B715,$C$10:C715,C715,$D$10:D715,D715,$E$10:E715,E715)=1),(M715-N715)*E715*L715,0)</f>
        <v/>
      </c>
      <c r="S715" s="19">
        <f>IF(D715="",0,N(E715)*L715)</f>
        <v/>
      </c>
    </row>
    <row r="716">
      <c r="A716" s="11" t="n"/>
      <c r="B716" s="12" t="n"/>
      <c r="C716" s="12" t="n"/>
      <c r="D716" s="12" t="n"/>
      <c r="E716" s="13" t="n"/>
      <c r="F716" s="12" t="n"/>
      <c r="G716" s="14" t="n"/>
      <c r="H716" s="15" t="n"/>
      <c r="I716" s="16">
        <f>IF(G716="","",G716*(1-N(H716)))</f>
        <v/>
      </c>
      <c r="J716" s="16">
        <f>IF(I716="","",E716*I716)</f>
        <v/>
      </c>
      <c r="K716">
        <f>IF(D716="","",IFERROR(VLOOKUP(D716,'Ürün Eşleştirme'!$A$6:$D$505,2,FALSE),D716))</f>
        <v/>
      </c>
      <c r="L716" s="17">
        <f>IF(D716="","",IFERROR(VLOOKUP(D716,'Ürün Eşleştirme'!$A$6:$D$505,4,FALSE),1))</f>
        <v/>
      </c>
      <c r="M716" s="16">
        <f>IF(I716="","",I716/L716)</f>
        <v/>
      </c>
      <c r="N716" s="16">
        <f>IF(M716="","",IFERROR(AVERAGEIFS($M$10:$M$1009,$K$10:$K$1009,K716,$A$10:$A$1009,"&lt;"&amp;A716,$A$10:$A$1009,"&gt;="&amp;(A716-$C$6)),""))</f>
        <v/>
      </c>
      <c r="O716" s="16">
        <f>IF(M716="","",_xlfn.MINIFS($M$10:$M$1009,$K$10:$K$1009,K716,$A$10:$A$1009,"&lt;="&amp;A716,$A$10:$A$1009,"&gt;="&amp;(A716-$C$6)))</f>
        <v/>
      </c>
      <c r="P716" s="18">
        <f>IF(OR(N716="",N716=0),"",M716/N716-1)</f>
        <v/>
      </c>
      <c r="Q716">
        <f>IF(D716="","",IF(COUNTIFS($B$10:$B$1009,B716,$C$10:$C$1009,C716,$D$10:$D$1009,D716,$E$10:$E$1009,E716)&gt;1,"MÜKERRER?",IF(P716="","",IF(P716&gt;=$C$5,"İNCELE",IF(P716&lt;=-$C$5,"Düşük",""))))</f>
        <v/>
      </c>
      <c r="R716" s="16">
        <f>IF(AND(P716&lt;&gt;"",N(P716)&gt;=$C$5,COUNTIFS($B$10:B716,B716,$C$10:C716,C716,$D$10:D716,D716,$E$10:E716,E716)=1),(M716-N716)*E716*L716,0)</f>
        <v/>
      </c>
      <c r="S716" s="19">
        <f>IF(D716="",0,N(E716)*L716)</f>
        <v/>
      </c>
    </row>
    <row r="717">
      <c r="A717" s="11" t="n"/>
      <c r="B717" s="12" t="n"/>
      <c r="C717" s="12" t="n"/>
      <c r="D717" s="12" t="n"/>
      <c r="E717" s="13" t="n"/>
      <c r="F717" s="12" t="n"/>
      <c r="G717" s="14" t="n"/>
      <c r="H717" s="15" t="n"/>
      <c r="I717" s="16">
        <f>IF(G717="","",G717*(1-N(H717)))</f>
        <v/>
      </c>
      <c r="J717" s="16">
        <f>IF(I717="","",E717*I717)</f>
        <v/>
      </c>
      <c r="K717">
        <f>IF(D717="","",IFERROR(VLOOKUP(D717,'Ürün Eşleştirme'!$A$6:$D$505,2,FALSE),D717))</f>
        <v/>
      </c>
      <c r="L717" s="17">
        <f>IF(D717="","",IFERROR(VLOOKUP(D717,'Ürün Eşleştirme'!$A$6:$D$505,4,FALSE),1))</f>
        <v/>
      </c>
      <c r="M717" s="16">
        <f>IF(I717="","",I717/L717)</f>
        <v/>
      </c>
      <c r="N717" s="16">
        <f>IF(M717="","",IFERROR(AVERAGEIFS($M$10:$M$1009,$K$10:$K$1009,K717,$A$10:$A$1009,"&lt;"&amp;A717,$A$10:$A$1009,"&gt;="&amp;(A717-$C$6)),""))</f>
        <v/>
      </c>
      <c r="O717" s="16">
        <f>IF(M717="","",_xlfn.MINIFS($M$10:$M$1009,$K$10:$K$1009,K717,$A$10:$A$1009,"&lt;="&amp;A717,$A$10:$A$1009,"&gt;="&amp;(A717-$C$6)))</f>
        <v/>
      </c>
      <c r="P717" s="18">
        <f>IF(OR(N717="",N717=0),"",M717/N717-1)</f>
        <v/>
      </c>
      <c r="Q717">
        <f>IF(D717="","",IF(COUNTIFS($B$10:$B$1009,B717,$C$10:$C$1009,C717,$D$10:$D$1009,D717,$E$10:$E$1009,E717)&gt;1,"MÜKERRER?",IF(P717="","",IF(P717&gt;=$C$5,"İNCELE",IF(P717&lt;=-$C$5,"Düşük",""))))</f>
        <v/>
      </c>
      <c r="R717" s="16">
        <f>IF(AND(P717&lt;&gt;"",N(P717)&gt;=$C$5,COUNTIFS($B$10:B717,B717,$C$10:C717,C717,$D$10:D717,D717,$E$10:E717,E717)=1),(M717-N717)*E717*L717,0)</f>
        <v/>
      </c>
      <c r="S717" s="19">
        <f>IF(D717="",0,N(E717)*L717)</f>
        <v/>
      </c>
    </row>
    <row r="718">
      <c r="A718" s="11" t="n"/>
      <c r="B718" s="12" t="n"/>
      <c r="C718" s="12" t="n"/>
      <c r="D718" s="12" t="n"/>
      <c r="E718" s="13" t="n"/>
      <c r="F718" s="12" t="n"/>
      <c r="G718" s="14" t="n"/>
      <c r="H718" s="15" t="n"/>
      <c r="I718" s="16">
        <f>IF(G718="","",G718*(1-N(H718)))</f>
        <v/>
      </c>
      <c r="J718" s="16">
        <f>IF(I718="","",E718*I718)</f>
        <v/>
      </c>
      <c r="K718">
        <f>IF(D718="","",IFERROR(VLOOKUP(D718,'Ürün Eşleştirme'!$A$6:$D$505,2,FALSE),D718))</f>
        <v/>
      </c>
      <c r="L718" s="17">
        <f>IF(D718="","",IFERROR(VLOOKUP(D718,'Ürün Eşleştirme'!$A$6:$D$505,4,FALSE),1))</f>
        <v/>
      </c>
      <c r="M718" s="16">
        <f>IF(I718="","",I718/L718)</f>
        <v/>
      </c>
      <c r="N718" s="16">
        <f>IF(M718="","",IFERROR(AVERAGEIFS($M$10:$M$1009,$K$10:$K$1009,K718,$A$10:$A$1009,"&lt;"&amp;A718,$A$10:$A$1009,"&gt;="&amp;(A718-$C$6)),""))</f>
        <v/>
      </c>
      <c r="O718" s="16">
        <f>IF(M718="","",_xlfn.MINIFS($M$10:$M$1009,$K$10:$K$1009,K718,$A$10:$A$1009,"&lt;="&amp;A718,$A$10:$A$1009,"&gt;="&amp;(A718-$C$6)))</f>
        <v/>
      </c>
      <c r="P718" s="18">
        <f>IF(OR(N718="",N718=0),"",M718/N718-1)</f>
        <v/>
      </c>
      <c r="Q718">
        <f>IF(D718="","",IF(COUNTIFS($B$10:$B$1009,B718,$C$10:$C$1009,C718,$D$10:$D$1009,D718,$E$10:$E$1009,E718)&gt;1,"MÜKERRER?",IF(P718="","",IF(P718&gt;=$C$5,"İNCELE",IF(P718&lt;=-$C$5,"Düşük",""))))</f>
        <v/>
      </c>
      <c r="R718" s="16">
        <f>IF(AND(P718&lt;&gt;"",N(P718)&gt;=$C$5,COUNTIFS($B$10:B718,B718,$C$10:C718,C718,$D$10:D718,D718,$E$10:E718,E718)=1),(M718-N718)*E718*L718,0)</f>
        <v/>
      </c>
      <c r="S718" s="19">
        <f>IF(D718="",0,N(E718)*L718)</f>
        <v/>
      </c>
    </row>
    <row r="719">
      <c r="A719" s="11" t="n"/>
      <c r="B719" s="12" t="n"/>
      <c r="C719" s="12" t="n"/>
      <c r="D719" s="12" t="n"/>
      <c r="E719" s="13" t="n"/>
      <c r="F719" s="12" t="n"/>
      <c r="G719" s="14" t="n"/>
      <c r="H719" s="15" t="n"/>
      <c r="I719" s="16">
        <f>IF(G719="","",G719*(1-N(H719)))</f>
        <v/>
      </c>
      <c r="J719" s="16">
        <f>IF(I719="","",E719*I719)</f>
        <v/>
      </c>
      <c r="K719">
        <f>IF(D719="","",IFERROR(VLOOKUP(D719,'Ürün Eşleştirme'!$A$6:$D$505,2,FALSE),D719))</f>
        <v/>
      </c>
      <c r="L719" s="17">
        <f>IF(D719="","",IFERROR(VLOOKUP(D719,'Ürün Eşleştirme'!$A$6:$D$505,4,FALSE),1))</f>
        <v/>
      </c>
      <c r="M719" s="16">
        <f>IF(I719="","",I719/L719)</f>
        <v/>
      </c>
      <c r="N719" s="16">
        <f>IF(M719="","",IFERROR(AVERAGEIFS($M$10:$M$1009,$K$10:$K$1009,K719,$A$10:$A$1009,"&lt;"&amp;A719,$A$10:$A$1009,"&gt;="&amp;(A719-$C$6)),""))</f>
        <v/>
      </c>
      <c r="O719" s="16">
        <f>IF(M719="","",_xlfn.MINIFS($M$10:$M$1009,$K$10:$K$1009,K719,$A$10:$A$1009,"&lt;="&amp;A719,$A$10:$A$1009,"&gt;="&amp;(A719-$C$6)))</f>
        <v/>
      </c>
      <c r="P719" s="18">
        <f>IF(OR(N719="",N719=0),"",M719/N719-1)</f>
        <v/>
      </c>
      <c r="Q719">
        <f>IF(D719="","",IF(COUNTIFS($B$10:$B$1009,B719,$C$10:$C$1009,C719,$D$10:$D$1009,D719,$E$10:$E$1009,E719)&gt;1,"MÜKERRER?",IF(P719="","",IF(P719&gt;=$C$5,"İNCELE",IF(P719&lt;=-$C$5,"Düşük",""))))</f>
        <v/>
      </c>
      <c r="R719" s="16">
        <f>IF(AND(P719&lt;&gt;"",N(P719)&gt;=$C$5,COUNTIFS($B$10:B719,B719,$C$10:C719,C719,$D$10:D719,D719,$E$10:E719,E719)=1),(M719-N719)*E719*L719,0)</f>
        <v/>
      </c>
      <c r="S719" s="19">
        <f>IF(D719="",0,N(E719)*L719)</f>
        <v/>
      </c>
    </row>
    <row r="720">
      <c r="A720" s="11" t="n"/>
      <c r="B720" s="12" t="n"/>
      <c r="C720" s="12" t="n"/>
      <c r="D720" s="12" t="n"/>
      <c r="E720" s="13" t="n"/>
      <c r="F720" s="12" t="n"/>
      <c r="G720" s="14" t="n"/>
      <c r="H720" s="15" t="n"/>
      <c r="I720" s="16">
        <f>IF(G720="","",G720*(1-N(H720)))</f>
        <v/>
      </c>
      <c r="J720" s="16">
        <f>IF(I720="","",E720*I720)</f>
        <v/>
      </c>
      <c r="K720">
        <f>IF(D720="","",IFERROR(VLOOKUP(D720,'Ürün Eşleştirme'!$A$6:$D$505,2,FALSE),D720))</f>
        <v/>
      </c>
      <c r="L720" s="17">
        <f>IF(D720="","",IFERROR(VLOOKUP(D720,'Ürün Eşleştirme'!$A$6:$D$505,4,FALSE),1))</f>
        <v/>
      </c>
      <c r="M720" s="16">
        <f>IF(I720="","",I720/L720)</f>
        <v/>
      </c>
      <c r="N720" s="16">
        <f>IF(M720="","",IFERROR(AVERAGEIFS($M$10:$M$1009,$K$10:$K$1009,K720,$A$10:$A$1009,"&lt;"&amp;A720,$A$10:$A$1009,"&gt;="&amp;(A720-$C$6)),""))</f>
        <v/>
      </c>
      <c r="O720" s="16">
        <f>IF(M720="","",_xlfn.MINIFS($M$10:$M$1009,$K$10:$K$1009,K720,$A$10:$A$1009,"&lt;="&amp;A720,$A$10:$A$1009,"&gt;="&amp;(A720-$C$6)))</f>
        <v/>
      </c>
      <c r="P720" s="18">
        <f>IF(OR(N720="",N720=0),"",M720/N720-1)</f>
        <v/>
      </c>
      <c r="Q720">
        <f>IF(D720="","",IF(COUNTIFS($B$10:$B$1009,B720,$C$10:$C$1009,C720,$D$10:$D$1009,D720,$E$10:$E$1009,E720)&gt;1,"MÜKERRER?",IF(P720="","",IF(P720&gt;=$C$5,"İNCELE",IF(P720&lt;=-$C$5,"Düşük",""))))</f>
        <v/>
      </c>
      <c r="R720" s="16">
        <f>IF(AND(P720&lt;&gt;"",N(P720)&gt;=$C$5,COUNTIFS($B$10:B720,B720,$C$10:C720,C720,$D$10:D720,D720,$E$10:E720,E720)=1),(M720-N720)*E720*L720,0)</f>
        <v/>
      </c>
      <c r="S720" s="19">
        <f>IF(D720="",0,N(E720)*L720)</f>
        <v/>
      </c>
    </row>
    <row r="721">
      <c r="A721" s="11" t="n"/>
      <c r="B721" s="12" t="n"/>
      <c r="C721" s="12" t="n"/>
      <c r="D721" s="12" t="n"/>
      <c r="E721" s="13" t="n"/>
      <c r="F721" s="12" t="n"/>
      <c r="G721" s="14" t="n"/>
      <c r="H721" s="15" t="n"/>
      <c r="I721" s="16">
        <f>IF(G721="","",G721*(1-N(H721)))</f>
        <v/>
      </c>
      <c r="J721" s="16">
        <f>IF(I721="","",E721*I721)</f>
        <v/>
      </c>
      <c r="K721">
        <f>IF(D721="","",IFERROR(VLOOKUP(D721,'Ürün Eşleştirme'!$A$6:$D$505,2,FALSE),D721))</f>
        <v/>
      </c>
      <c r="L721" s="17">
        <f>IF(D721="","",IFERROR(VLOOKUP(D721,'Ürün Eşleştirme'!$A$6:$D$505,4,FALSE),1))</f>
        <v/>
      </c>
      <c r="M721" s="16">
        <f>IF(I721="","",I721/L721)</f>
        <v/>
      </c>
      <c r="N721" s="16">
        <f>IF(M721="","",IFERROR(AVERAGEIFS($M$10:$M$1009,$K$10:$K$1009,K721,$A$10:$A$1009,"&lt;"&amp;A721,$A$10:$A$1009,"&gt;="&amp;(A721-$C$6)),""))</f>
        <v/>
      </c>
      <c r="O721" s="16">
        <f>IF(M721="","",_xlfn.MINIFS($M$10:$M$1009,$K$10:$K$1009,K721,$A$10:$A$1009,"&lt;="&amp;A721,$A$10:$A$1009,"&gt;="&amp;(A721-$C$6)))</f>
        <v/>
      </c>
      <c r="P721" s="18">
        <f>IF(OR(N721="",N721=0),"",M721/N721-1)</f>
        <v/>
      </c>
      <c r="Q721">
        <f>IF(D721="","",IF(COUNTIFS($B$10:$B$1009,B721,$C$10:$C$1009,C721,$D$10:$D$1009,D721,$E$10:$E$1009,E721)&gt;1,"MÜKERRER?",IF(P721="","",IF(P721&gt;=$C$5,"İNCELE",IF(P721&lt;=-$C$5,"Düşük",""))))</f>
        <v/>
      </c>
      <c r="R721" s="16">
        <f>IF(AND(P721&lt;&gt;"",N(P721)&gt;=$C$5,COUNTIFS($B$10:B721,B721,$C$10:C721,C721,$D$10:D721,D721,$E$10:E721,E721)=1),(M721-N721)*E721*L721,0)</f>
        <v/>
      </c>
      <c r="S721" s="19">
        <f>IF(D721="",0,N(E721)*L721)</f>
        <v/>
      </c>
    </row>
    <row r="722">
      <c r="A722" s="11" t="n"/>
      <c r="B722" s="12" t="n"/>
      <c r="C722" s="12" t="n"/>
      <c r="D722" s="12" t="n"/>
      <c r="E722" s="13" t="n"/>
      <c r="F722" s="12" t="n"/>
      <c r="G722" s="14" t="n"/>
      <c r="H722" s="15" t="n"/>
      <c r="I722" s="16">
        <f>IF(G722="","",G722*(1-N(H722)))</f>
        <v/>
      </c>
      <c r="J722" s="16">
        <f>IF(I722="","",E722*I722)</f>
        <v/>
      </c>
      <c r="K722">
        <f>IF(D722="","",IFERROR(VLOOKUP(D722,'Ürün Eşleştirme'!$A$6:$D$505,2,FALSE),D722))</f>
        <v/>
      </c>
      <c r="L722" s="17">
        <f>IF(D722="","",IFERROR(VLOOKUP(D722,'Ürün Eşleştirme'!$A$6:$D$505,4,FALSE),1))</f>
        <v/>
      </c>
      <c r="M722" s="16">
        <f>IF(I722="","",I722/L722)</f>
        <v/>
      </c>
      <c r="N722" s="16">
        <f>IF(M722="","",IFERROR(AVERAGEIFS($M$10:$M$1009,$K$10:$K$1009,K722,$A$10:$A$1009,"&lt;"&amp;A722,$A$10:$A$1009,"&gt;="&amp;(A722-$C$6)),""))</f>
        <v/>
      </c>
      <c r="O722" s="16">
        <f>IF(M722="","",_xlfn.MINIFS($M$10:$M$1009,$K$10:$K$1009,K722,$A$10:$A$1009,"&lt;="&amp;A722,$A$10:$A$1009,"&gt;="&amp;(A722-$C$6)))</f>
        <v/>
      </c>
      <c r="P722" s="18">
        <f>IF(OR(N722="",N722=0),"",M722/N722-1)</f>
        <v/>
      </c>
      <c r="Q722">
        <f>IF(D722="","",IF(COUNTIFS($B$10:$B$1009,B722,$C$10:$C$1009,C722,$D$10:$D$1009,D722,$E$10:$E$1009,E722)&gt;1,"MÜKERRER?",IF(P722="","",IF(P722&gt;=$C$5,"İNCELE",IF(P722&lt;=-$C$5,"Düşük",""))))</f>
        <v/>
      </c>
      <c r="R722" s="16">
        <f>IF(AND(P722&lt;&gt;"",N(P722)&gt;=$C$5,COUNTIFS($B$10:B722,B722,$C$10:C722,C722,$D$10:D722,D722,$E$10:E722,E722)=1),(M722-N722)*E722*L722,0)</f>
        <v/>
      </c>
      <c r="S722" s="19">
        <f>IF(D722="",0,N(E722)*L722)</f>
        <v/>
      </c>
    </row>
    <row r="723">
      <c r="A723" s="11" t="n"/>
      <c r="B723" s="12" t="n"/>
      <c r="C723" s="12" t="n"/>
      <c r="D723" s="12" t="n"/>
      <c r="E723" s="13" t="n"/>
      <c r="F723" s="12" t="n"/>
      <c r="G723" s="14" t="n"/>
      <c r="H723" s="15" t="n"/>
      <c r="I723" s="16">
        <f>IF(G723="","",G723*(1-N(H723)))</f>
        <v/>
      </c>
      <c r="J723" s="16">
        <f>IF(I723="","",E723*I723)</f>
        <v/>
      </c>
      <c r="K723">
        <f>IF(D723="","",IFERROR(VLOOKUP(D723,'Ürün Eşleştirme'!$A$6:$D$505,2,FALSE),D723))</f>
        <v/>
      </c>
      <c r="L723" s="17">
        <f>IF(D723="","",IFERROR(VLOOKUP(D723,'Ürün Eşleştirme'!$A$6:$D$505,4,FALSE),1))</f>
        <v/>
      </c>
      <c r="M723" s="16">
        <f>IF(I723="","",I723/L723)</f>
        <v/>
      </c>
      <c r="N723" s="16">
        <f>IF(M723="","",IFERROR(AVERAGEIFS($M$10:$M$1009,$K$10:$K$1009,K723,$A$10:$A$1009,"&lt;"&amp;A723,$A$10:$A$1009,"&gt;="&amp;(A723-$C$6)),""))</f>
        <v/>
      </c>
      <c r="O723" s="16">
        <f>IF(M723="","",_xlfn.MINIFS($M$10:$M$1009,$K$10:$K$1009,K723,$A$10:$A$1009,"&lt;="&amp;A723,$A$10:$A$1009,"&gt;="&amp;(A723-$C$6)))</f>
        <v/>
      </c>
      <c r="P723" s="18">
        <f>IF(OR(N723="",N723=0),"",M723/N723-1)</f>
        <v/>
      </c>
      <c r="Q723">
        <f>IF(D723="","",IF(COUNTIFS($B$10:$B$1009,B723,$C$10:$C$1009,C723,$D$10:$D$1009,D723,$E$10:$E$1009,E723)&gt;1,"MÜKERRER?",IF(P723="","",IF(P723&gt;=$C$5,"İNCELE",IF(P723&lt;=-$C$5,"Düşük",""))))</f>
        <v/>
      </c>
      <c r="R723" s="16">
        <f>IF(AND(P723&lt;&gt;"",N(P723)&gt;=$C$5,COUNTIFS($B$10:B723,B723,$C$10:C723,C723,$D$10:D723,D723,$E$10:E723,E723)=1),(M723-N723)*E723*L723,0)</f>
        <v/>
      </c>
      <c r="S723" s="19">
        <f>IF(D723="",0,N(E723)*L723)</f>
        <v/>
      </c>
    </row>
    <row r="724">
      <c r="A724" s="11" t="n"/>
      <c r="B724" s="12" t="n"/>
      <c r="C724" s="12" t="n"/>
      <c r="D724" s="12" t="n"/>
      <c r="E724" s="13" t="n"/>
      <c r="F724" s="12" t="n"/>
      <c r="G724" s="14" t="n"/>
      <c r="H724" s="15" t="n"/>
      <c r="I724" s="16">
        <f>IF(G724="","",G724*(1-N(H724)))</f>
        <v/>
      </c>
      <c r="J724" s="16">
        <f>IF(I724="","",E724*I724)</f>
        <v/>
      </c>
      <c r="K724">
        <f>IF(D724="","",IFERROR(VLOOKUP(D724,'Ürün Eşleştirme'!$A$6:$D$505,2,FALSE),D724))</f>
        <v/>
      </c>
      <c r="L724" s="17">
        <f>IF(D724="","",IFERROR(VLOOKUP(D724,'Ürün Eşleştirme'!$A$6:$D$505,4,FALSE),1))</f>
        <v/>
      </c>
      <c r="M724" s="16">
        <f>IF(I724="","",I724/L724)</f>
        <v/>
      </c>
      <c r="N724" s="16">
        <f>IF(M724="","",IFERROR(AVERAGEIFS($M$10:$M$1009,$K$10:$K$1009,K724,$A$10:$A$1009,"&lt;"&amp;A724,$A$10:$A$1009,"&gt;="&amp;(A724-$C$6)),""))</f>
        <v/>
      </c>
      <c r="O724" s="16">
        <f>IF(M724="","",_xlfn.MINIFS($M$10:$M$1009,$K$10:$K$1009,K724,$A$10:$A$1009,"&lt;="&amp;A724,$A$10:$A$1009,"&gt;="&amp;(A724-$C$6)))</f>
        <v/>
      </c>
      <c r="P724" s="18">
        <f>IF(OR(N724="",N724=0),"",M724/N724-1)</f>
        <v/>
      </c>
      <c r="Q724">
        <f>IF(D724="","",IF(COUNTIFS($B$10:$B$1009,B724,$C$10:$C$1009,C724,$D$10:$D$1009,D724,$E$10:$E$1009,E724)&gt;1,"MÜKERRER?",IF(P724="","",IF(P724&gt;=$C$5,"İNCELE",IF(P724&lt;=-$C$5,"Düşük",""))))</f>
        <v/>
      </c>
      <c r="R724" s="16">
        <f>IF(AND(P724&lt;&gt;"",N(P724)&gt;=$C$5,COUNTIFS($B$10:B724,B724,$C$10:C724,C724,$D$10:D724,D724,$E$10:E724,E724)=1),(M724-N724)*E724*L724,0)</f>
        <v/>
      </c>
      <c r="S724" s="19">
        <f>IF(D724="",0,N(E724)*L724)</f>
        <v/>
      </c>
    </row>
    <row r="725">
      <c r="A725" s="11" t="n"/>
      <c r="B725" s="12" t="n"/>
      <c r="C725" s="12" t="n"/>
      <c r="D725" s="12" t="n"/>
      <c r="E725" s="13" t="n"/>
      <c r="F725" s="12" t="n"/>
      <c r="G725" s="14" t="n"/>
      <c r="H725" s="15" t="n"/>
      <c r="I725" s="16">
        <f>IF(G725="","",G725*(1-N(H725)))</f>
        <v/>
      </c>
      <c r="J725" s="16">
        <f>IF(I725="","",E725*I725)</f>
        <v/>
      </c>
      <c r="K725">
        <f>IF(D725="","",IFERROR(VLOOKUP(D725,'Ürün Eşleştirme'!$A$6:$D$505,2,FALSE),D725))</f>
        <v/>
      </c>
      <c r="L725" s="17">
        <f>IF(D725="","",IFERROR(VLOOKUP(D725,'Ürün Eşleştirme'!$A$6:$D$505,4,FALSE),1))</f>
        <v/>
      </c>
      <c r="M725" s="16">
        <f>IF(I725="","",I725/L725)</f>
        <v/>
      </c>
      <c r="N725" s="16">
        <f>IF(M725="","",IFERROR(AVERAGEIFS($M$10:$M$1009,$K$10:$K$1009,K725,$A$10:$A$1009,"&lt;"&amp;A725,$A$10:$A$1009,"&gt;="&amp;(A725-$C$6)),""))</f>
        <v/>
      </c>
      <c r="O725" s="16">
        <f>IF(M725="","",_xlfn.MINIFS($M$10:$M$1009,$K$10:$K$1009,K725,$A$10:$A$1009,"&lt;="&amp;A725,$A$10:$A$1009,"&gt;="&amp;(A725-$C$6)))</f>
        <v/>
      </c>
      <c r="P725" s="18">
        <f>IF(OR(N725="",N725=0),"",M725/N725-1)</f>
        <v/>
      </c>
      <c r="Q725">
        <f>IF(D725="","",IF(COUNTIFS($B$10:$B$1009,B725,$C$10:$C$1009,C725,$D$10:$D$1009,D725,$E$10:$E$1009,E725)&gt;1,"MÜKERRER?",IF(P725="","",IF(P725&gt;=$C$5,"İNCELE",IF(P725&lt;=-$C$5,"Düşük",""))))</f>
        <v/>
      </c>
      <c r="R725" s="16">
        <f>IF(AND(P725&lt;&gt;"",N(P725)&gt;=$C$5,COUNTIFS($B$10:B725,B725,$C$10:C725,C725,$D$10:D725,D725,$E$10:E725,E725)=1),(M725-N725)*E725*L725,0)</f>
        <v/>
      </c>
      <c r="S725" s="19">
        <f>IF(D725="",0,N(E725)*L725)</f>
        <v/>
      </c>
    </row>
    <row r="726">
      <c r="A726" s="11" t="n"/>
      <c r="B726" s="12" t="n"/>
      <c r="C726" s="12" t="n"/>
      <c r="D726" s="12" t="n"/>
      <c r="E726" s="13" t="n"/>
      <c r="F726" s="12" t="n"/>
      <c r="G726" s="14" t="n"/>
      <c r="H726" s="15" t="n"/>
      <c r="I726" s="16">
        <f>IF(G726="","",G726*(1-N(H726)))</f>
        <v/>
      </c>
      <c r="J726" s="16">
        <f>IF(I726="","",E726*I726)</f>
        <v/>
      </c>
      <c r="K726">
        <f>IF(D726="","",IFERROR(VLOOKUP(D726,'Ürün Eşleştirme'!$A$6:$D$505,2,FALSE),D726))</f>
        <v/>
      </c>
      <c r="L726" s="17">
        <f>IF(D726="","",IFERROR(VLOOKUP(D726,'Ürün Eşleştirme'!$A$6:$D$505,4,FALSE),1))</f>
        <v/>
      </c>
      <c r="M726" s="16">
        <f>IF(I726="","",I726/L726)</f>
        <v/>
      </c>
      <c r="N726" s="16">
        <f>IF(M726="","",IFERROR(AVERAGEIFS($M$10:$M$1009,$K$10:$K$1009,K726,$A$10:$A$1009,"&lt;"&amp;A726,$A$10:$A$1009,"&gt;="&amp;(A726-$C$6)),""))</f>
        <v/>
      </c>
      <c r="O726" s="16">
        <f>IF(M726="","",_xlfn.MINIFS($M$10:$M$1009,$K$10:$K$1009,K726,$A$10:$A$1009,"&lt;="&amp;A726,$A$10:$A$1009,"&gt;="&amp;(A726-$C$6)))</f>
        <v/>
      </c>
      <c r="P726" s="18">
        <f>IF(OR(N726="",N726=0),"",M726/N726-1)</f>
        <v/>
      </c>
      <c r="Q726">
        <f>IF(D726="","",IF(COUNTIFS($B$10:$B$1009,B726,$C$10:$C$1009,C726,$D$10:$D$1009,D726,$E$10:$E$1009,E726)&gt;1,"MÜKERRER?",IF(P726="","",IF(P726&gt;=$C$5,"İNCELE",IF(P726&lt;=-$C$5,"Düşük",""))))</f>
        <v/>
      </c>
      <c r="R726" s="16">
        <f>IF(AND(P726&lt;&gt;"",N(P726)&gt;=$C$5,COUNTIFS($B$10:B726,B726,$C$10:C726,C726,$D$10:D726,D726,$E$10:E726,E726)=1),(M726-N726)*E726*L726,0)</f>
        <v/>
      </c>
      <c r="S726" s="19">
        <f>IF(D726="",0,N(E726)*L726)</f>
        <v/>
      </c>
    </row>
    <row r="727">
      <c r="A727" s="11" t="n"/>
      <c r="B727" s="12" t="n"/>
      <c r="C727" s="12" t="n"/>
      <c r="D727" s="12" t="n"/>
      <c r="E727" s="13" t="n"/>
      <c r="F727" s="12" t="n"/>
      <c r="G727" s="14" t="n"/>
      <c r="H727" s="15" t="n"/>
      <c r="I727" s="16">
        <f>IF(G727="","",G727*(1-N(H727)))</f>
        <v/>
      </c>
      <c r="J727" s="16">
        <f>IF(I727="","",E727*I727)</f>
        <v/>
      </c>
      <c r="K727">
        <f>IF(D727="","",IFERROR(VLOOKUP(D727,'Ürün Eşleştirme'!$A$6:$D$505,2,FALSE),D727))</f>
        <v/>
      </c>
      <c r="L727" s="17">
        <f>IF(D727="","",IFERROR(VLOOKUP(D727,'Ürün Eşleştirme'!$A$6:$D$505,4,FALSE),1))</f>
        <v/>
      </c>
      <c r="M727" s="16">
        <f>IF(I727="","",I727/L727)</f>
        <v/>
      </c>
      <c r="N727" s="16">
        <f>IF(M727="","",IFERROR(AVERAGEIFS($M$10:$M$1009,$K$10:$K$1009,K727,$A$10:$A$1009,"&lt;"&amp;A727,$A$10:$A$1009,"&gt;="&amp;(A727-$C$6)),""))</f>
        <v/>
      </c>
      <c r="O727" s="16">
        <f>IF(M727="","",_xlfn.MINIFS($M$10:$M$1009,$K$10:$K$1009,K727,$A$10:$A$1009,"&lt;="&amp;A727,$A$10:$A$1009,"&gt;="&amp;(A727-$C$6)))</f>
        <v/>
      </c>
      <c r="P727" s="18">
        <f>IF(OR(N727="",N727=0),"",M727/N727-1)</f>
        <v/>
      </c>
      <c r="Q727">
        <f>IF(D727="","",IF(COUNTIFS($B$10:$B$1009,B727,$C$10:$C$1009,C727,$D$10:$D$1009,D727,$E$10:$E$1009,E727)&gt;1,"MÜKERRER?",IF(P727="","",IF(P727&gt;=$C$5,"İNCELE",IF(P727&lt;=-$C$5,"Düşük",""))))</f>
        <v/>
      </c>
      <c r="R727" s="16">
        <f>IF(AND(P727&lt;&gt;"",N(P727)&gt;=$C$5,COUNTIFS($B$10:B727,B727,$C$10:C727,C727,$D$10:D727,D727,$E$10:E727,E727)=1),(M727-N727)*E727*L727,0)</f>
        <v/>
      </c>
      <c r="S727" s="19">
        <f>IF(D727="",0,N(E727)*L727)</f>
        <v/>
      </c>
    </row>
    <row r="728">
      <c r="A728" s="11" t="n"/>
      <c r="B728" s="12" t="n"/>
      <c r="C728" s="12" t="n"/>
      <c r="D728" s="12" t="n"/>
      <c r="E728" s="13" t="n"/>
      <c r="F728" s="12" t="n"/>
      <c r="G728" s="14" t="n"/>
      <c r="H728" s="15" t="n"/>
      <c r="I728" s="16">
        <f>IF(G728="","",G728*(1-N(H728)))</f>
        <v/>
      </c>
      <c r="J728" s="16">
        <f>IF(I728="","",E728*I728)</f>
        <v/>
      </c>
      <c r="K728">
        <f>IF(D728="","",IFERROR(VLOOKUP(D728,'Ürün Eşleştirme'!$A$6:$D$505,2,FALSE),D728))</f>
        <v/>
      </c>
      <c r="L728" s="17">
        <f>IF(D728="","",IFERROR(VLOOKUP(D728,'Ürün Eşleştirme'!$A$6:$D$505,4,FALSE),1))</f>
        <v/>
      </c>
      <c r="M728" s="16">
        <f>IF(I728="","",I728/L728)</f>
        <v/>
      </c>
      <c r="N728" s="16">
        <f>IF(M728="","",IFERROR(AVERAGEIFS($M$10:$M$1009,$K$10:$K$1009,K728,$A$10:$A$1009,"&lt;"&amp;A728,$A$10:$A$1009,"&gt;="&amp;(A728-$C$6)),""))</f>
        <v/>
      </c>
      <c r="O728" s="16">
        <f>IF(M728="","",_xlfn.MINIFS($M$10:$M$1009,$K$10:$K$1009,K728,$A$10:$A$1009,"&lt;="&amp;A728,$A$10:$A$1009,"&gt;="&amp;(A728-$C$6)))</f>
        <v/>
      </c>
      <c r="P728" s="18">
        <f>IF(OR(N728="",N728=0),"",M728/N728-1)</f>
        <v/>
      </c>
      <c r="Q728">
        <f>IF(D728="","",IF(COUNTIFS($B$10:$B$1009,B728,$C$10:$C$1009,C728,$D$10:$D$1009,D728,$E$10:$E$1009,E728)&gt;1,"MÜKERRER?",IF(P728="","",IF(P728&gt;=$C$5,"İNCELE",IF(P728&lt;=-$C$5,"Düşük",""))))</f>
        <v/>
      </c>
      <c r="R728" s="16">
        <f>IF(AND(P728&lt;&gt;"",N(P728)&gt;=$C$5,COUNTIFS($B$10:B728,B728,$C$10:C728,C728,$D$10:D728,D728,$E$10:E728,E728)=1),(M728-N728)*E728*L728,0)</f>
        <v/>
      </c>
      <c r="S728" s="19">
        <f>IF(D728="",0,N(E728)*L728)</f>
        <v/>
      </c>
    </row>
    <row r="729">
      <c r="A729" s="11" t="n"/>
      <c r="B729" s="12" t="n"/>
      <c r="C729" s="12" t="n"/>
      <c r="D729" s="12" t="n"/>
      <c r="E729" s="13" t="n"/>
      <c r="F729" s="12" t="n"/>
      <c r="G729" s="14" t="n"/>
      <c r="H729" s="15" t="n"/>
      <c r="I729" s="16">
        <f>IF(G729="","",G729*(1-N(H729)))</f>
        <v/>
      </c>
      <c r="J729" s="16">
        <f>IF(I729="","",E729*I729)</f>
        <v/>
      </c>
      <c r="K729">
        <f>IF(D729="","",IFERROR(VLOOKUP(D729,'Ürün Eşleştirme'!$A$6:$D$505,2,FALSE),D729))</f>
        <v/>
      </c>
      <c r="L729" s="17">
        <f>IF(D729="","",IFERROR(VLOOKUP(D729,'Ürün Eşleştirme'!$A$6:$D$505,4,FALSE),1))</f>
        <v/>
      </c>
      <c r="M729" s="16">
        <f>IF(I729="","",I729/L729)</f>
        <v/>
      </c>
      <c r="N729" s="16">
        <f>IF(M729="","",IFERROR(AVERAGEIFS($M$10:$M$1009,$K$10:$K$1009,K729,$A$10:$A$1009,"&lt;"&amp;A729,$A$10:$A$1009,"&gt;="&amp;(A729-$C$6)),""))</f>
        <v/>
      </c>
      <c r="O729" s="16">
        <f>IF(M729="","",_xlfn.MINIFS($M$10:$M$1009,$K$10:$K$1009,K729,$A$10:$A$1009,"&lt;="&amp;A729,$A$10:$A$1009,"&gt;="&amp;(A729-$C$6)))</f>
        <v/>
      </c>
      <c r="P729" s="18">
        <f>IF(OR(N729="",N729=0),"",M729/N729-1)</f>
        <v/>
      </c>
      <c r="Q729">
        <f>IF(D729="","",IF(COUNTIFS($B$10:$B$1009,B729,$C$10:$C$1009,C729,$D$10:$D$1009,D729,$E$10:$E$1009,E729)&gt;1,"MÜKERRER?",IF(P729="","",IF(P729&gt;=$C$5,"İNCELE",IF(P729&lt;=-$C$5,"Düşük",""))))</f>
        <v/>
      </c>
      <c r="R729" s="16">
        <f>IF(AND(P729&lt;&gt;"",N(P729)&gt;=$C$5,COUNTIFS($B$10:B729,B729,$C$10:C729,C729,$D$10:D729,D729,$E$10:E729,E729)=1),(M729-N729)*E729*L729,0)</f>
        <v/>
      </c>
      <c r="S729" s="19">
        <f>IF(D729="",0,N(E729)*L729)</f>
        <v/>
      </c>
    </row>
    <row r="730">
      <c r="A730" s="11" t="n"/>
      <c r="B730" s="12" t="n"/>
      <c r="C730" s="12" t="n"/>
      <c r="D730" s="12" t="n"/>
      <c r="E730" s="13" t="n"/>
      <c r="F730" s="12" t="n"/>
      <c r="G730" s="14" t="n"/>
      <c r="H730" s="15" t="n"/>
      <c r="I730" s="16">
        <f>IF(G730="","",G730*(1-N(H730)))</f>
        <v/>
      </c>
      <c r="J730" s="16">
        <f>IF(I730="","",E730*I730)</f>
        <v/>
      </c>
      <c r="K730">
        <f>IF(D730="","",IFERROR(VLOOKUP(D730,'Ürün Eşleştirme'!$A$6:$D$505,2,FALSE),D730))</f>
        <v/>
      </c>
      <c r="L730" s="17">
        <f>IF(D730="","",IFERROR(VLOOKUP(D730,'Ürün Eşleştirme'!$A$6:$D$505,4,FALSE),1))</f>
        <v/>
      </c>
      <c r="M730" s="16">
        <f>IF(I730="","",I730/L730)</f>
        <v/>
      </c>
      <c r="N730" s="16">
        <f>IF(M730="","",IFERROR(AVERAGEIFS($M$10:$M$1009,$K$10:$K$1009,K730,$A$10:$A$1009,"&lt;"&amp;A730,$A$10:$A$1009,"&gt;="&amp;(A730-$C$6)),""))</f>
        <v/>
      </c>
      <c r="O730" s="16">
        <f>IF(M730="","",_xlfn.MINIFS($M$10:$M$1009,$K$10:$K$1009,K730,$A$10:$A$1009,"&lt;="&amp;A730,$A$10:$A$1009,"&gt;="&amp;(A730-$C$6)))</f>
        <v/>
      </c>
      <c r="P730" s="18">
        <f>IF(OR(N730="",N730=0),"",M730/N730-1)</f>
        <v/>
      </c>
      <c r="Q730">
        <f>IF(D730="","",IF(COUNTIFS($B$10:$B$1009,B730,$C$10:$C$1009,C730,$D$10:$D$1009,D730,$E$10:$E$1009,E730)&gt;1,"MÜKERRER?",IF(P730="","",IF(P730&gt;=$C$5,"İNCELE",IF(P730&lt;=-$C$5,"Düşük",""))))</f>
        <v/>
      </c>
      <c r="R730" s="16">
        <f>IF(AND(P730&lt;&gt;"",N(P730)&gt;=$C$5,COUNTIFS($B$10:B730,B730,$C$10:C730,C730,$D$10:D730,D730,$E$10:E730,E730)=1),(M730-N730)*E730*L730,0)</f>
        <v/>
      </c>
      <c r="S730" s="19">
        <f>IF(D730="",0,N(E730)*L730)</f>
        <v/>
      </c>
    </row>
    <row r="731">
      <c r="A731" s="11" t="n"/>
      <c r="B731" s="12" t="n"/>
      <c r="C731" s="12" t="n"/>
      <c r="D731" s="12" t="n"/>
      <c r="E731" s="13" t="n"/>
      <c r="F731" s="12" t="n"/>
      <c r="G731" s="14" t="n"/>
      <c r="H731" s="15" t="n"/>
      <c r="I731" s="16">
        <f>IF(G731="","",G731*(1-N(H731)))</f>
        <v/>
      </c>
      <c r="J731" s="16">
        <f>IF(I731="","",E731*I731)</f>
        <v/>
      </c>
      <c r="K731">
        <f>IF(D731="","",IFERROR(VLOOKUP(D731,'Ürün Eşleştirme'!$A$6:$D$505,2,FALSE),D731))</f>
        <v/>
      </c>
      <c r="L731" s="17">
        <f>IF(D731="","",IFERROR(VLOOKUP(D731,'Ürün Eşleştirme'!$A$6:$D$505,4,FALSE),1))</f>
        <v/>
      </c>
      <c r="M731" s="16">
        <f>IF(I731="","",I731/L731)</f>
        <v/>
      </c>
      <c r="N731" s="16">
        <f>IF(M731="","",IFERROR(AVERAGEIFS($M$10:$M$1009,$K$10:$K$1009,K731,$A$10:$A$1009,"&lt;"&amp;A731,$A$10:$A$1009,"&gt;="&amp;(A731-$C$6)),""))</f>
        <v/>
      </c>
      <c r="O731" s="16">
        <f>IF(M731="","",_xlfn.MINIFS($M$10:$M$1009,$K$10:$K$1009,K731,$A$10:$A$1009,"&lt;="&amp;A731,$A$10:$A$1009,"&gt;="&amp;(A731-$C$6)))</f>
        <v/>
      </c>
      <c r="P731" s="18">
        <f>IF(OR(N731="",N731=0),"",M731/N731-1)</f>
        <v/>
      </c>
      <c r="Q731">
        <f>IF(D731="","",IF(COUNTIFS($B$10:$B$1009,B731,$C$10:$C$1009,C731,$D$10:$D$1009,D731,$E$10:$E$1009,E731)&gt;1,"MÜKERRER?",IF(P731="","",IF(P731&gt;=$C$5,"İNCELE",IF(P731&lt;=-$C$5,"Düşük",""))))</f>
        <v/>
      </c>
      <c r="R731" s="16">
        <f>IF(AND(P731&lt;&gt;"",N(P731)&gt;=$C$5,COUNTIFS($B$10:B731,B731,$C$10:C731,C731,$D$10:D731,D731,$E$10:E731,E731)=1),(M731-N731)*E731*L731,0)</f>
        <v/>
      </c>
      <c r="S731" s="19">
        <f>IF(D731="",0,N(E731)*L731)</f>
        <v/>
      </c>
    </row>
    <row r="732">
      <c r="A732" s="11" t="n"/>
      <c r="B732" s="12" t="n"/>
      <c r="C732" s="12" t="n"/>
      <c r="D732" s="12" t="n"/>
      <c r="E732" s="13" t="n"/>
      <c r="F732" s="12" t="n"/>
      <c r="G732" s="14" t="n"/>
      <c r="H732" s="15" t="n"/>
      <c r="I732" s="16">
        <f>IF(G732="","",G732*(1-N(H732)))</f>
        <v/>
      </c>
      <c r="J732" s="16">
        <f>IF(I732="","",E732*I732)</f>
        <v/>
      </c>
      <c r="K732">
        <f>IF(D732="","",IFERROR(VLOOKUP(D732,'Ürün Eşleştirme'!$A$6:$D$505,2,FALSE),D732))</f>
        <v/>
      </c>
      <c r="L732" s="17">
        <f>IF(D732="","",IFERROR(VLOOKUP(D732,'Ürün Eşleştirme'!$A$6:$D$505,4,FALSE),1))</f>
        <v/>
      </c>
      <c r="M732" s="16">
        <f>IF(I732="","",I732/L732)</f>
        <v/>
      </c>
      <c r="N732" s="16">
        <f>IF(M732="","",IFERROR(AVERAGEIFS($M$10:$M$1009,$K$10:$K$1009,K732,$A$10:$A$1009,"&lt;"&amp;A732,$A$10:$A$1009,"&gt;="&amp;(A732-$C$6)),""))</f>
        <v/>
      </c>
      <c r="O732" s="16">
        <f>IF(M732="","",_xlfn.MINIFS($M$10:$M$1009,$K$10:$K$1009,K732,$A$10:$A$1009,"&lt;="&amp;A732,$A$10:$A$1009,"&gt;="&amp;(A732-$C$6)))</f>
        <v/>
      </c>
      <c r="P732" s="18">
        <f>IF(OR(N732="",N732=0),"",M732/N732-1)</f>
        <v/>
      </c>
      <c r="Q732">
        <f>IF(D732="","",IF(COUNTIFS($B$10:$B$1009,B732,$C$10:$C$1009,C732,$D$10:$D$1009,D732,$E$10:$E$1009,E732)&gt;1,"MÜKERRER?",IF(P732="","",IF(P732&gt;=$C$5,"İNCELE",IF(P732&lt;=-$C$5,"Düşük",""))))</f>
        <v/>
      </c>
      <c r="R732" s="16">
        <f>IF(AND(P732&lt;&gt;"",N(P732)&gt;=$C$5,COUNTIFS($B$10:B732,B732,$C$10:C732,C732,$D$10:D732,D732,$E$10:E732,E732)=1),(M732-N732)*E732*L732,0)</f>
        <v/>
      </c>
      <c r="S732" s="19">
        <f>IF(D732="",0,N(E732)*L732)</f>
        <v/>
      </c>
    </row>
    <row r="733">
      <c r="A733" s="11" t="n"/>
      <c r="B733" s="12" t="n"/>
      <c r="C733" s="12" t="n"/>
      <c r="D733" s="12" t="n"/>
      <c r="E733" s="13" t="n"/>
      <c r="F733" s="12" t="n"/>
      <c r="G733" s="14" t="n"/>
      <c r="H733" s="15" t="n"/>
      <c r="I733" s="16">
        <f>IF(G733="","",G733*(1-N(H733)))</f>
        <v/>
      </c>
      <c r="J733" s="16">
        <f>IF(I733="","",E733*I733)</f>
        <v/>
      </c>
      <c r="K733">
        <f>IF(D733="","",IFERROR(VLOOKUP(D733,'Ürün Eşleştirme'!$A$6:$D$505,2,FALSE),D733))</f>
        <v/>
      </c>
      <c r="L733" s="17">
        <f>IF(D733="","",IFERROR(VLOOKUP(D733,'Ürün Eşleştirme'!$A$6:$D$505,4,FALSE),1))</f>
        <v/>
      </c>
      <c r="M733" s="16">
        <f>IF(I733="","",I733/L733)</f>
        <v/>
      </c>
      <c r="N733" s="16">
        <f>IF(M733="","",IFERROR(AVERAGEIFS($M$10:$M$1009,$K$10:$K$1009,K733,$A$10:$A$1009,"&lt;"&amp;A733,$A$10:$A$1009,"&gt;="&amp;(A733-$C$6)),""))</f>
        <v/>
      </c>
      <c r="O733" s="16">
        <f>IF(M733="","",_xlfn.MINIFS($M$10:$M$1009,$K$10:$K$1009,K733,$A$10:$A$1009,"&lt;="&amp;A733,$A$10:$A$1009,"&gt;="&amp;(A733-$C$6)))</f>
        <v/>
      </c>
      <c r="P733" s="18">
        <f>IF(OR(N733="",N733=0),"",M733/N733-1)</f>
        <v/>
      </c>
      <c r="Q733">
        <f>IF(D733="","",IF(COUNTIFS($B$10:$B$1009,B733,$C$10:$C$1009,C733,$D$10:$D$1009,D733,$E$10:$E$1009,E733)&gt;1,"MÜKERRER?",IF(P733="","",IF(P733&gt;=$C$5,"İNCELE",IF(P733&lt;=-$C$5,"Düşük",""))))</f>
        <v/>
      </c>
      <c r="R733" s="16">
        <f>IF(AND(P733&lt;&gt;"",N(P733)&gt;=$C$5,COUNTIFS($B$10:B733,B733,$C$10:C733,C733,$D$10:D733,D733,$E$10:E733,E733)=1),(M733-N733)*E733*L733,0)</f>
        <v/>
      </c>
      <c r="S733" s="19">
        <f>IF(D733="",0,N(E733)*L733)</f>
        <v/>
      </c>
    </row>
    <row r="734">
      <c r="A734" s="11" t="n"/>
      <c r="B734" s="12" t="n"/>
      <c r="C734" s="12" t="n"/>
      <c r="D734" s="12" t="n"/>
      <c r="E734" s="13" t="n"/>
      <c r="F734" s="12" t="n"/>
      <c r="G734" s="14" t="n"/>
      <c r="H734" s="15" t="n"/>
      <c r="I734" s="16">
        <f>IF(G734="","",G734*(1-N(H734)))</f>
        <v/>
      </c>
      <c r="J734" s="16">
        <f>IF(I734="","",E734*I734)</f>
        <v/>
      </c>
      <c r="K734">
        <f>IF(D734="","",IFERROR(VLOOKUP(D734,'Ürün Eşleştirme'!$A$6:$D$505,2,FALSE),D734))</f>
        <v/>
      </c>
      <c r="L734" s="17">
        <f>IF(D734="","",IFERROR(VLOOKUP(D734,'Ürün Eşleştirme'!$A$6:$D$505,4,FALSE),1))</f>
        <v/>
      </c>
      <c r="M734" s="16">
        <f>IF(I734="","",I734/L734)</f>
        <v/>
      </c>
      <c r="N734" s="16">
        <f>IF(M734="","",IFERROR(AVERAGEIFS($M$10:$M$1009,$K$10:$K$1009,K734,$A$10:$A$1009,"&lt;"&amp;A734,$A$10:$A$1009,"&gt;="&amp;(A734-$C$6)),""))</f>
        <v/>
      </c>
      <c r="O734" s="16">
        <f>IF(M734="","",_xlfn.MINIFS($M$10:$M$1009,$K$10:$K$1009,K734,$A$10:$A$1009,"&lt;="&amp;A734,$A$10:$A$1009,"&gt;="&amp;(A734-$C$6)))</f>
        <v/>
      </c>
      <c r="P734" s="18">
        <f>IF(OR(N734="",N734=0),"",M734/N734-1)</f>
        <v/>
      </c>
      <c r="Q734">
        <f>IF(D734="","",IF(COUNTIFS($B$10:$B$1009,B734,$C$10:$C$1009,C734,$D$10:$D$1009,D734,$E$10:$E$1009,E734)&gt;1,"MÜKERRER?",IF(P734="","",IF(P734&gt;=$C$5,"İNCELE",IF(P734&lt;=-$C$5,"Düşük",""))))</f>
        <v/>
      </c>
      <c r="R734" s="16">
        <f>IF(AND(P734&lt;&gt;"",N(P734)&gt;=$C$5,COUNTIFS($B$10:B734,B734,$C$10:C734,C734,$D$10:D734,D734,$E$10:E734,E734)=1),(M734-N734)*E734*L734,0)</f>
        <v/>
      </c>
      <c r="S734" s="19">
        <f>IF(D734="",0,N(E734)*L734)</f>
        <v/>
      </c>
    </row>
    <row r="735">
      <c r="A735" s="11" t="n"/>
      <c r="B735" s="12" t="n"/>
      <c r="C735" s="12" t="n"/>
      <c r="D735" s="12" t="n"/>
      <c r="E735" s="13" t="n"/>
      <c r="F735" s="12" t="n"/>
      <c r="G735" s="14" t="n"/>
      <c r="H735" s="15" t="n"/>
      <c r="I735" s="16">
        <f>IF(G735="","",G735*(1-N(H735)))</f>
        <v/>
      </c>
      <c r="J735" s="16">
        <f>IF(I735="","",E735*I735)</f>
        <v/>
      </c>
      <c r="K735">
        <f>IF(D735="","",IFERROR(VLOOKUP(D735,'Ürün Eşleştirme'!$A$6:$D$505,2,FALSE),D735))</f>
        <v/>
      </c>
      <c r="L735" s="17">
        <f>IF(D735="","",IFERROR(VLOOKUP(D735,'Ürün Eşleştirme'!$A$6:$D$505,4,FALSE),1))</f>
        <v/>
      </c>
      <c r="M735" s="16">
        <f>IF(I735="","",I735/L735)</f>
        <v/>
      </c>
      <c r="N735" s="16">
        <f>IF(M735="","",IFERROR(AVERAGEIFS($M$10:$M$1009,$K$10:$K$1009,K735,$A$10:$A$1009,"&lt;"&amp;A735,$A$10:$A$1009,"&gt;="&amp;(A735-$C$6)),""))</f>
        <v/>
      </c>
      <c r="O735" s="16">
        <f>IF(M735="","",_xlfn.MINIFS($M$10:$M$1009,$K$10:$K$1009,K735,$A$10:$A$1009,"&lt;="&amp;A735,$A$10:$A$1009,"&gt;="&amp;(A735-$C$6)))</f>
        <v/>
      </c>
      <c r="P735" s="18">
        <f>IF(OR(N735="",N735=0),"",M735/N735-1)</f>
        <v/>
      </c>
      <c r="Q735">
        <f>IF(D735="","",IF(COUNTIFS($B$10:$B$1009,B735,$C$10:$C$1009,C735,$D$10:$D$1009,D735,$E$10:$E$1009,E735)&gt;1,"MÜKERRER?",IF(P735="","",IF(P735&gt;=$C$5,"İNCELE",IF(P735&lt;=-$C$5,"Düşük",""))))</f>
        <v/>
      </c>
      <c r="R735" s="16">
        <f>IF(AND(P735&lt;&gt;"",N(P735)&gt;=$C$5,COUNTIFS($B$10:B735,B735,$C$10:C735,C735,$D$10:D735,D735,$E$10:E735,E735)=1),(M735-N735)*E735*L735,0)</f>
        <v/>
      </c>
      <c r="S735" s="19">
        <f>IF(D735="",0,N(E735)*L735)</f>
        <v/>
      </c>
    </row>
    <row r="736">
      <c r="A736" s="11" t="n"/>
      <c r="B736" s="12" t="n"/>
      <c r="C736" s="12" t="n"/>
      <c r="D736" s="12" t="n"/>
      <c r="E736" s="13" t="n"/>
      <c r="F736" s="12" t="n"/>
      <c r="G736" s="14" t="n"/>
      <c r="H736" s="15" t="n"/>
      <c r="I736" s="16">
        <f>IF(G736="","",G736*(1-N(H736)))</f>
        <v/>
      </c>
      <c r="J736" s="16">
        <f>IF(I736="","",E736*I736)</f>
        <v/>
      </c>
      <c r="K736">
        <f>IF(D736="","",IFERROR(VLOOKUP(D736,'Ürün Eşleştirme'!$A$6:$D$505,2,FALSE),D736))</f>
        <v/>
      </c>
      <c r="L736" s="17">
        <f>IF(D736="","",IFERROR(VLOOKUP(D736,'Ürün Eşleştirme'!$A$6:$D$505,4,FALSE),1))</f>
        <v/>
      </c>
      <c r="M736" s="16">
        <f>IF(I736="","",I736/L736)</f>
        <v/>
      </c>
      <c r="N736" s="16">
        <f>IF(M736="","",IFERROR(AVERAGEIFS($M$10:$M$1009,$K$10:$K$1009,K736,$A$10:$A$1009,"&lt;"&amp;A736,$A$10:$A$1009,"&gt;="&amp;(A736-$C$6)),""))</f>
        <v/>
      </c>
      <c r="O736" s="16">
        <f>IF(M736="","",_xlfn.MINIFS($M$10:$M$1009,$K$10:$K$1009,K736,$A$10:$A$1009,"&lt;="&amp;A736,$A$10:$A$1009,"&gt;="&amp;(A736-$C$6)))</f>
        <v/>
      </c>
      <c r="P736" s="18">
        <f>IF(OR(N736="",N736=0),"",M736/N736-1)</f>
        <v/>
      </c>
      <c r="Q736">
        <f>IF(D736="","",IF(COUNTIFS($B$10:$B$1009,B736,$C$10:$C$1009,C736,$D$10:$D$1009,D736,$E$10:$E$1009,E736)&gt;1,"MÜKERRER?",IF(P736="","",IF(P736&gt;=$C$5,"İNCELE",IF(P736&lt;=-$C$5,"Düşük",""))))</f>
        <v/>
      </c>
      <c r="R736" s="16">
        <f>IF(AND(P736&lt;&gt;"",N(P736)&gt;=$C$5,COUNTIFS($B$10:B736,B736,$C$10:C736,C736,$D$10:D736,D736,$E$10:E736,E736)=1),(M736-N736)*E736*L736,0)</f>
        <v/>
      </c>
      <c r="S736" s="19">
        <f>IF(D736="",0,N(E736)*L736)</f>
        <v/>
      </c>
    </row>
    <row r="737">
      <c r="A737" s="11" t="n"/>
      <c r="B737" s="12" t="n"/>
      <c r="C737" s="12" t="n"/>
      <c r="D737" s="12" t="n"/>
      <c r="E737" s="13" t="n"/>
      <c r="F737" s="12" t="n"/>
      <c r="G737" s="14" t="n"/>
      <c r="H737" s="15" t="n"/>
      <c r="I737" s="16">
        <f>IF(G737="","",G737*(1-N(H737)))</f>
        <v/>
      </c>
      <c r="J737" s="16">
        <f>IF(I737="","",E737*I737)</f>
        <v/>
      </c>
      <c r="K737">
        <f>IF(D737="","",IFERROR(VLOOKUP(D737,'Ürün Eşleştirme'!$A$6:$D$505,2,FALSE),D737))</f>
        <v/>
      </c>
      <c r="L737" s="17">
        <f>IF(D737="","",IFERROR(VLOOKUP(D737,'Ürün Eşleştirme'!$A$6:$D$505,4,FALSE),1))</f>
        <v/>
      </c>
      <c r="M737" s="16">
        <f>IF(I737="","",I737/L737)</f>
        <v/>
      </c>
      <c r="N737" s="16">
        <f>IF(M737="","",IFERROR(AVERAGEIFS($M$10:$M$1009,$K$10:$K$1009,K737,$A$10:$A$1009,"&lt;"&amp;A737,$A$10:$A$1009,"&gt;="&amp;(A737-$C$6)),""))</f>
        <v/>
      </c>
      <c r="O737" s="16">
        <f>IF(M737="","",_xlfn.MINIFS($M$10:$M$1009,$K$10:$K$1009,K737,$A$10:$A$1009,"&lt;="&amp;A737,$A$10:$A$1009,"&gt;="&amp;(A737-$C$6)))</f>
        <v/>
      </c>
      <c r="P737" s="18">
        <f>IF(OR(N737="",N737=0),"",M737/N737-1)</f>
        <v/>
      </c>
      <c r="Q737">
        <f>IF(D737="","",IF(COUNTIFS($B$10:$B$1009,B737,$C$10:$C$1009,C737,$D$10:$D$1009,D737,$E$10:$E$1009,E737)&gt;1,"MÜKERRER?",IF(P737="","",IF(P737&gt;=$C$5,"İNCELE",IF(P737&lt;=-$C$5,"Düşük",""))))</f>
        <v/>
      </c>
      <c r="R737" s="16">
        <f>IF(AND(P737&lt;&gt;"",N(P737)&gt;=$C$5,COUNTIFS($B$10:B737,B737,$C$10:C737,C737,$D$10:D737,D737,$E$10:E737,E737)=1),(M737-N737)*E737*L737,0)</f>
        <v/>
      </c>
      <c r="S737" s="19">
        <f>IF(D737="",0,N(E737)*L737)</f>
        <v/>
      </c>
    </row>
    <row r="738">
      <c r="A738" s="11" t="n"/>
      <c r="B738" s="12" t="n"/>
      <c r="C738" s="12" t="n"/>
      <c r="D738" s="12" t="n"/>
      <c r="E738" s="13" t="n"/>
      <c r="F738" s="12" t="n"/>
      <c r="G738" s="14" t="n"/>
      <c r="H738" s="15" t="n"/>
      <c r="I738" s="16">
        <f>IF(G738="","",G738*(1-N(H738)))</f>
        <v/>
      </c>
      <c r="J738" s="16">
        <f>IF(I738="","",E738*I738)</f>
        <v/>
      </c>
      <c r="K738">
        <f>IF(D738="","",IFERROR(VLOOKUP(D738,'Ürün Eşleştirme'!$A$6:$D$505,2,FALSE),D738))</f>
        <v/>
      </c>
      <c r="L738" s="17">
        <f>IF(D738="","",IFERROR(VLOOKUP(D738,'Ürün Eşleştirme'!$A$6:$D$505,4,FALSE),1))</f>
        <v/>
      </c>
      <c r="M738" s="16">
        <f>IF(I738="","",I738/L738)</f>
        <v/>
      </c>
      <c r="N738" s="16">
        <f>IF(M738="","",IFERROR(AVERAGEIFS($M$10:$M$1009,$K$10:$K$1009,K738,$A$10:$A$1009,"&lt;"&amp;A738,$A$10:$A$1009,"&gt;="&amp;(A738-$C$6)),""))</f>
        <v/>
      </c>
      <c r="O738" s="16">
        <f>IF(M738="","",_xlfn.MINIFS($M$10:$M$1009,$K$10:$K$1009,K738,$A$10:$A$1009,"&lt;="&amp;A738,$A$10:$A$1009,"&gt;="&amp;(A738-$C$6)))</f>
        <v/>
      </c>
      <c r="P738" s="18">
        <f>IF(OR(N738="",N738=0),"",M738/N738-1)</f>
        <v/>
      </c>
      <c r="Q738">
        <f>IF(D738="","",IF(COUNTIFS($B$10:$B$1009,B738,$C$10:$C$1009,C738,$D$10:$D$1009,D738,$E$10:$E$1009,E738)&gt;1,"MÜKERRER?",IF(P738="","",IF(P738&gt;=$C$5,"İNCELE",IF(P738&lt;=-$C$5,"Düşük",""))))</f>
        <v/>
      </c>
      <c r="R738" s="16">
        <f>IF(AND(P738&lt;&gt;"",N(P738)&gt;=$C$5,COUNTIFS($B$10:B738,B738,$C$10:C738,C738,$D$10:D738,D738,$E$10:E738,E738)=1),(M738-N738)*E738*L738,0)</f>
        <v/>
      </c>
      <c r="S738" s="19">
        <f>IF(D738="",0,N(E738)*L738)</f>
        <v/>
      </c>
    </row>
    <row r="739">
      <c r="A739" s="11" t="n"/>
      <c r="B739" s="12" t="n"/>
      <c r="C739" s="12" t="n"/>
      <c r="D739" s="12" t="n"/>
      <c r="E739" s="13" t="n"/>
      <c r="F739" s="12" t="n"/>
      <c r="G739" s="14" t="n"/>
      <c r="H739" s="15" t="n"/>
      <c r="I739" s="16">
        <f>IF(G739="","",G739*(1-N(H739)))</f>
        <v/>
      </c>
      <c r="J739" s="16">
        <f>IF(I739="","",E739*I739)</f>
        <v/>
      </c>
      <c r="K739">
        <f>IF(D739="","",IFERROR(VLOOKUP(D739,'Ürün Eşleştirme'!$A$6:$D$505,2,FALSE),D739))</f>
        <v/>
      </c>
      <c r="L739" s="17">
        <f>IF(D739="","",IFERROR(VLOOKUP(D739,'Ürün Eşleştirme'!$A$6:$D$505,4,FALSE),1))</f>
        <v/>
      </c>
      <c r="M739" s="16">
        <f>IF(I739="","",I739/L739)</f>
        <v/>
      </c>
      <c r="N739" s="16">
        <f>IF(M739="","",IFERROR(AVERAGEIFS($M$10:$M$1009,$K$10:$K$1009,K739,$A$10:$A$1009,"&lt;"&amp;A739,$A$10:$A$1009,"&gt;="&amp;(A739-$C$6)),""))</f>
        <v/>
      </c>
      <c r="O739" s="16">
        <f>IF(M739="","",_xlfn.MINIFS($M$10:$M$1009,$K$10:$K$1009,K739,$A$10:$A$1009,"&lt;="&amp;A739,$A$10:$A$1009,"&gt;="&amp;(A739-$C$6)))</f>
        <v/>
      </c>
      <c r="P739" s="18">
        <f>IF(OR(N739="",N739=0),"",M739/N739-1)</f>
        <v/>
      </c>
      <c r="Q739">
        <f>IF(D739="","",IF(COUNTIFS($B$10:$B$1009,B739,$C$10:$C$1009,C739,$D$10:$D$1009,D739,$E$10:$E$1009,E739)&gt;1,"MÜKERRER?",IF(P739="","",IF(P739&gt;=$C$5,"İNCELE",IF(P739&lt;=-$C$5,"Düşük",""))))</f>
        <v/>
      </c>
      <c r="R739" s="16">
        <f>IF(AND(P739&lt;&gt;"",N(P739)&gt;=$C$5,COUNTIFS($B$10:B739,B739,$C$10:C739,C739,$D$10:D739,D739,$E$10:E739,E739)=1),(M739-N739)*E739*L739,0)</f>
        <v/>
      </c>
      <c r="S739" s="19">
        <f>IF(D739="",0,N(E739)*L739)</f>
        <v/>
      </c>
    </row>
    <row r="740">
      <c r="A740" s="11" t="n"/>
      <c r="B740" s="12" t="n"/>
      <c r="C740" s="12" t="n"/>
      <c r="D740" s="12" t="n"/>
      <c r="E740" s="13" t="n"/>
      <c r="F740" s="12" t="n"/>
      <c r="G740" s="14" t="n"/>
      <c r="H740" s="15" t="n"/>
      <c r="I740" s="16">
        <f>IF(G740="","",G740*(1-N(H740)))</f>
        <v/>
      </c>
      <c r="J740" s="16">
        <f>IF(I740="","",E740*I740)</f>
        <v/>
      </c>
      <c r="K740">
        <f>IF(D740="","",IFERROR(VLOOKUP(D740,'Ürün Eşleştirme'!$A$6:$D$505,2,FALSE),D740))</f>
        <v/>
      </c>
      <c r="L740" s="17">
        <f>IF(D740="","",IFERROR(VLOOKUP(D740,'Ürün Eşleştirme'!$A$6:$D$505,4,FALSE),1))</f>
        <v/>
      </c>
      <c r="M740" s="16">
        <f>IF(I740="","",I740/L740)</f>
        <v/>
      </c>
      <c r="N740" s="16">
        <f>IF(M740="","",IFERROR(AVERAGEIFS($M$10:$M$1009,$K$10:$K$1009,K740,$A$10:$A$1009,"&lt;"&amp;A740,$A$10:$A$1009,"&gt;="&amp;(A740-$C$6)),""))</f>
        <v/>
      </c>
      <c r="O740" s="16">
        <f>IF(M740="","",_xlfn.MINIFS($M$10:$M$1009,$K$10:$K$1009,K740,$A$10:$A$1009,"&lt;="&amp;A740,$A$10:$A$1009,"&gt;="&amp;(A740-$C$6)))</f>
        <v/>
      </c>
      <c r="P740" s="18">
        <f>IF(OR(N740="",N740=0),"",M740/N740-1)</f>
        <v/>
      </c>
      <c r="Q740">
        <f>IF(D740="","",IF(COUNTIFS($B$10:$B$1009,B740,$C$10:$C$1009,C740,$D$10:$D$1009,D740,$E$10:$E$1009,E740)&gt;1,"MÜKERRER?",IF(P740="","",IF(P740&gt;=$C$5,"İNCELE",IF(P740&lt;=-$C$5,"Düşük",""))))</f>
        <v/>
      </c>
      <c r="R740" s="16">
        <f>IF(AND(P740&lt;&gt;"",N(P740)&gt;=$C$5,COUNTIFS($B$10:B740,B740,$C$10:C740,C740,$D$10:D740,D740,$E$10:E740,E740)=1),(M740-N740)*E740*L740,0)</f>
        <v/>
      </c>
      <c r="S740" s="19">
        <f>IF(D740="",0,N(E740)*L740)</f>
        <v/>
      </c>
    </row>
    <row r="741">
      <c r="A741" s="11" t="n"/>
      <c r="B741" s="12" t="n"/>
      <c r="C741" s="12" t="n"/>
      <c r="D741" s="12" t="n"/>
      <c r="E741" s="13" t="n"/>
      <c r="F741" s="12" t="n"/>
      <c r="G741" s="14" t="n"/>
      <c r="H741" s="15" t="n"/>
      <c r="I741" s="16">
        <f>IF(G741="","",G741*(1-N(H741)))</f>
        <v/>
      </c>
      <c r="J741" s="16">
        <f>IF(I741="","",E741*I741)</f>
        <v/>
      </c>
      <c r="K741">
        <f>IF(D741="","",IFERROR(VLOOKUP(D741,'Ürün Eşleştirme'!$A$6:$D$505,2,FALSE),D741))</f>
        <v/>
      </c>
      <c r="L741" s="17">
        <f>IF(D741="","",IFERROR(VLOOKUP(D741,'Ürün Eşleştirme'!$A$6:$D$505,4,FALSE),1))</f>
        <v/>
      </c>
      <c r="M741" s="16">
        <f>IF(I741="","",I741/L741)</f>
        <v/>
      </c>
      <c r="N741" s="16">
        <f>IF(M741="","",IFERROR(AVERAGEIFS($M$10:$M$1009,$K$10:$K$1009,K741,$A$10:$A$1009,"&lt;"&amp;A741,$A$10:$A$1009,"&gt;="&amp;(A741-$C$6)),""))</f>
        <v/>
      </c>
      <c r="O741" s="16">
        <f>IF(M741="","",_xlfn.MINIFS($M$10:$M$1009,$K$10:$K$1009,K741,$A$10:$A$1009,"&lt;="&amp;A741,$A$10:$A$1009,"&gt;="&amp;(A741-$C$6)))</f>
        <v/>
      </c>
      <c r="P741" s="18">
        <f>IF(OR(N741="",N741=0),"",M741/N741-1)</f>
        <v/>
      </c>
      <c r="Q741">
        <f>IF(D741="","",IF(COUNTIFS($B$10:$B$1009,B741,$C$10:$C$1009,C741,$D$10:$D$1009,D741,$E$10:$E$1009,E741)&gt;1,"MÜKERRER?",IF(P741="","",IF(P741&gt;=$C$5,"İNCELE",IF(P741&lt;=-$C$5,"Düşük",""))))</f>
        <v/>
      </c>
      <c r="R741" s="16">
        <f>IF(AND(P741&lt;&gt;"",N(P741)&gt;=$C$5,COUNTIFS($B$10:B741,B741,$C$10:C741,C741,$D$10:D741,D741,$E$10:E741,E741)=1),(M741-N741)*E741*L741,0)</f>
        <v/>
      </c>
      <c r="S741" s="19">
        <f>IF(D741="",0,N(E741)*L741)</f>
        <v/>
      </c>
    </row>
    <row r="742">
      <c r="A742" s="11" t="n"/>
      <c r="B742" s="12" t="n"/>
      <c r="C742" s="12" t="n"/>
      <c r="D742" s="12" t="n"/>
      <c r="E742" s="13" t="n"/>
      <c r="F742" s="12" t="n"/>
      <c r="G742" s="14" t="n"/>
      <c r="H742" s="15" t="n"/>
      <c r="I742" s="16">
        <f>IF(G742="","",G742*(1-N(H742)))</f>
        <v/>
      </c>
      <c r="J742" s="16">
        <f>IF(I742="","",E742*I742)</f>
        <v/>
      </c>
      <c r="K742">
        <f>IF(D742="","",IFERROR(VLOOKUP(D742,'Ürün Eşleştirme'!$A$6:$D$505,2,FALSE),D742))</f>
        <v/>
      </c>
      <c r="L742" s="17">
        <f>IF(D742="","",IFERROR(VLOOKUP(D742,'Ürün Eşleştirme'!$A$6:$D$505,4,FALSE),1))</f>
        <v/>
      </c>
      <c r="M742" s="16">
        <f>IF(I742="","",I742/L742)</f>
        <v/>
      </c>
      <c r="N742" s="16">
        <f>IF(M742="","",IFERROR(AVERAGEIFS($M$10:$M$1009,$K$10:$K$1009,K742,$A$10:$A$1009,"&lt;"&amp;A742,$A$10:$A$1009,"&gt;="&amp;(A742-$C$6)),""))</f>
        <v/>
      </c>
      <c r="O742" s="16">
        <f>IF(M742="","",_xlfn.MINIFS($M$10:$M$1009,$K$10:$K$1009,K742,$A$10:$A$1009,"&lt;="&amp;A742,$A$10:$A$1009,"&gt;="&amp;(A742-$C$6)))</f>
        <v/>
      </c>
      <c r="P742" s="18">
        <f>IF(OR(N742="",N742=0),"",M742/N742-1)</f>
        <v/>
      </c>
      <c r="Q742">
        <f>IF(D742="","",IF(COUNTIFS($B$10:$B$1009,B742,$C$10:$C$1009,C742,$D$10:$D$1009,D742,$E$10:$E$1009,E742)&gt;1,"MÜKERRER?",IF(P742="","",IF(P742&gt;=$C$5,"İNCELE",IF(P742&lt;=-$C$5,"Düşük",""))))</f>
        <v/>
      </c>
      <c r="R742" s="16">
        <f>IF(AND(P742&lt;&gt;"",N(P742)&gt;=$C$5,COUNTIFS($B$10:B742,B742,$C$10:C742,C742,$D$10:D742,D742,$E$10:E742,E742)=1),(M742-N742)*E742*L742,0)</f>
        <v/>
      </c>
      <c r="S742" s="19">
        <f>IF(D742="",0,N(E742)*L742)</f>
        <v/>
      </c>
    </row>
    <row r="743">
      <c r="A743" s="11" t="n"/>
      <c r="B743" s="12" t="n"/>
      <c r="C743" s="12" t="n"/>
      <c r="D743" s="12" t="n"/>
      <c r="E743" s="13" t="n"/>
      <c r="F743" s="12" t="n"/>
      <c r="G743" s="14" t="n"/>
      <c r="H743" s="15" t="n"/>
      <c r="I743" s="16">
        <f>IF(G743="","",G743*(1-N(H743)))</f>
        <v/>
      </c>
      <c r="J743" s="16">
        <f>IF(I743="","",E743*I743)</f>
        <v/>
      </c>
      <c r="K743">
        <f>IF(D743="","",IFERROR(VLOOKUP(D743,'Ürün Eşleştirme'!$A$6:$D$505,2,FALSE),D743))</f>
        <v/>
      </c>
      <c r="L743" s="17">
        <f>IF(D743="","",IFERROR(VLOOKUP(D743,'Ürün Eşleştirme'!$A$6:$D$505,4,FALSE),1))</f>
        <v/>
      </c>
      <c r="M743" s="16">
        <f>IF(I743="","",I743/L743)</f>
        <v/>
      </c>
      <c r="N743" s="16">
        <f>IF(M743="","",IFERROR(AVERAGEIFS($M$10:$M$1009,$K$10:$K$1009,K743,$A$10:$A$1009,"&lt;"&amp;A743,$A$10:$A$1009,"&gt;="&amp;(A743-$C$6)),""))</f>
        <v/>
      </c>
      <c r="O743" s="16">
        <f>IF(M743="","",_xlfn.MINIFS($M$10:$M$1009,$K$10:$K$1009,K743,$A$10:$A$1009,"&lt;="&amp;A743,$A$10:$A$1009,"&gt;="&amp;(A743-$C$6)))</f>
        <v/>
      </c>
      <c r="P743" s="18">
        <f>IF(OR(N743="",N743=0),"",M743/N743-1)</f>
        <v/>
      </c>
      <c r="Q743">
        <f>IF(D743="","",IF(COUNTIFS($B$10:$B$1009,B743,$C$10:$C$1009,C743,$D$10:$D$1009,D743,$E$10:$E$1009,E743)&gt;1,"MÜKERRER?",IF(P743="","",IF(P743&gt;=$C$5,"İNCELE",IF(P743&lt;=-$C$5,"Düşük",""))))</f>
        <v/>
      </c>
      <c r="R743" s="16">
        <f>IF(AND(P743&lt;&gt;"",N(P743)&gt;=$C$5,COUNTIFS($B$10:B743,B743,$C$10:C743,C743,$D$10:D743,D743,$E$10:E743,E743)=1),(M743-N743)*E743*L743,0)</f>
        <v/>
      </c>
      <c r="S743" s="19">
        <f>IF(D743="",0,N(E743)*L743)</f>
        <v/>
      </c>
    </row>
    <row r="744">
      <c r="A744" s="11" t="n"/>
      <c r="B744" s="12" t="n"/>
      <c r="C744" s="12" t="n"/>
      <c r="D744" s="12" t="n"/>
      <c r="E744" s="13" t="n"/>
      <c r="F744" s="12" t="n"/>
      <c r="G744" s="14" t="n"/>
      <c r="H744" s="15" t="n"/>
      <c r="I744" s="16">
        <f>IF(G744="","",G744*(1-N(H744)))</f>
        <v/>
      </c>
      <c r="J744" s="16">
        <f>IF(I744="","",E744*I744)</f>
        <v/>
      </c>
      <c r="K744">
        <f>IF(D744="","",IFERROR(VLOOKUP(D744,'Ürün Eşleştirme'!$A$6:$D$505,2,FALSE),D744))</f>
        <v/>
      </c>
      <c r="L744" s="17">
        <f>IF(D744="","",IFERROR(VLOOKUP(D744,'Ürün Eşleştirme'!$A$6:$D$505,4,FALSE),1))</f>
        <v/>
      </c>
      <c r="M744" s="16">
        <f>IF(I744="","",I744/L744)</f>
        <v/>
      </c>
      <c r="N744" s="16">
        <f>IF(M744="","",IFERROR(AVERAGEIFS($M$10:$M$1009,$K$10:$K$1009,K744,$A$10:$A$1009,"&lt;"&amp;A744,$A$10:$A$1009,"&gt;="&amp;(A744-$C$6)),""))</f>
        <v/>
      </c>
      <c r="O744" s="16">
        <f>IF(M744="","",_xlfn.MINIFS($M$10:$M$1009,$K$10:$K$1009,K744,$A$10:$A$1009,"&lt;="&amp;A744,$A$10:$A$1009,"&gt;="&amp;(A744-$C$6)))</f>
        <v/>
      </c>
      <c r="P744" s="18">
        <f>IF(OR(N744="",N744=0),"",M744/N744-1)</f>
        <v/>
      </c>
      <c r="Q744">
        <f>IF(D744="","",IF(COUNTIFS($B$10:$B$1009,B744,$C$10:$C$1009,C744,$D$10:$D$1009,D744,$E$10:$E$1009,E744)&gt;1,"MÜKERRER?",IF(P744="","",IF(P744&gt;=$C$5,"İNCELE",IF(P744&lt;=-$C$5,"Düşük",""))))</f>
        <v/>
      </c>
      <c r="R744" s="16">
        <f>IF(AND(P744&lt;&gt;"",N(P744)&gt;=$C$5,COUNTIFS($B$10:B744,B744,$C$10:C744,C744,$D$10:D744,D744,$E$10:E744,E744)=1),(M744-N744)*E744*L744,0)</f>
        <v/>
      </c>
      <c r="S744" s="19">
        <f>IF(D744="",0,N(E744)*L744)</f>
        <v/>
      </c>
    </row>
    <row r="745">
      <c r="A745" s="11" t="n"/>
      <c r="B745" s="12" t="n"/>
      <c r="C745" s="12" t="n"/>
      <c r="D745" s="12" t="n"/>
      <c r="E745" s="13" t="n"/>
      <c r="F745" s="12" t="n"/>
      <c r="G745" s="14" t="n"/>
      <c r="H745" s="15" t="n"/>
      <c r="I745" s="16">
        <f>IF(G745="","",G745*(1-N(H745)))</f>
        <v/>
      </c>
      <c r="J745" s="16">
        <f>IF(I745="","",E745*I745)</f>
        <v/>
      </c>
      <c r="K745">
        <f>IF(D745="","",IFERROR(VLOOKUP(D745,'Ürün Eşleştirme'!$A$6:$D$505,2,FALSE),D745))</f>
        <v/>
      </c>
      <c r="L745" s="17">
        <f>IF(D745="","",IFERROR(VLOOKUP(D745,'Ürün Eşleştirme'!$A$6:$D$505,4,FALSE),1))</f>
        <v/>
      </c>
      <c r="M745" s="16">
        <f>IF(I745="","",I745/L745)</f>
        <v/>
      </c>
      <c r="N745" s="16">
        <f>IF(M745="","",IFERROR(AVERAGEIFS($M$10:$M$1009,$K$10:$K$1009,K745,$A$10:$A$1009,"&lt;"&amp;A745,$A$10:$A$1009,"&gt;="&amp;(A745-$C$6)),""))</f>
        <v/>
      </c>
      <c r="O745" s="16">
        <f>IF(M745="","",_xlfn.MINIFS($M$10:$M$1009,$K$10:$K$1009,K745,$A$10:$A$1009,"&lt;="&amp;A745,$A$10:$A$1009,"&gt;="&amp;(A745-$C$6)))</f>
        <v/>
      </c>
      <c r="P745" s="18">
        <f>IF(OR(N745="",N745=0),"",M745/N745-1)</f>
        <v/>
      </c>
      <c r="Q745">
        <f>IF(D745="","",IF(COUNTIFS($B$10:$B$1009,B745,$C$10:$C$1009,C745,$D$10:$D$1009,D745,$E$10:$E$1009,E745)&gt;1,"MÜKERRER?",IF(P745="","",IF(P745&gt;=$C$5,"İNCELE",IF(P745&lt;=-$C$5,"Düşük",""))))</f>
        <v/>
      </c>
      <c r="R745" s="16">
        <f>IF(AND(P745&lt;&gt;"",N(P745)&gt;=$C$5,COUNTIFS($B$10:B745,B745,$C$10:C745,C745,$D$10:D745,D745,$E$10:E745,E745)=1),(M745-N745)*E745*L745,0)</f>
        <v/>
      </c>
      <c r="S745" s="19">
        <f>IF(D745="",0,N(E745)*L745)</f>
        <v/>
      </c>
    </row>
    <row r="746">
      <c r="A746" s="11" t="n"/>
      <c r="B746" s="12" t="n"/>
      <c r="C746" s="12" t="n"/>
      <c r="D746" s="12" t="n"/>
      <c r="E746" s="13" t="n"/>
      <c r="F746" s="12" t="n"/>
      <c r="G746" s="14" t="n"/>
      <c r="H746" s="15" t="n"/>
      <c r="I746" s="16">
        <f>IF(G746="","",G746*(1-N(H746)))</f>
        <v/>
      </c>
      <c r="J746" s="16">
        <f>IF(I746="","",E746*I746)</f>
        <v/>
      </c>
      <c r="K746">
        <f>IF(D746="","",IFERROR(VLOOKUP(D746,'Ürün Eşleştirme'!$A$6:$D$505,2,FALSE),D746))</f>
        <v/>
      </c>
      <c r="L746" s="17">
        <f>IF(D746="","",IFERROR(VLOOKUP(D746,'Ürün Eşleştirme'!$A$6:$D$505,4,FALSE),1))</f>
        <v/>
      </c>
      <c r="M746" s="16">
        <f>IF(I746="","",I746/L746)</f>
        <v/>
      </c>
      <c r="N746" s="16">
        <f>IF(M746="","",IFERROR(AVERAGEIFS($M$10:$M$1009,$K$10:$K$1009,K746,$A$10:$A$1009,"&lt;"&amp;A746,$A$10:$A$1009,"&gt;="&amp;(A746-$C$6)),""))</f>
        <v/>
      </c>
      <c r="O746" s="16">
        <f>IF(M746="","",_xlfn.MINIFS($M$10:$M$1009,$K$10:$K$1009,K746,$A$10:$A$1009,"&lt;="&amp;A746,$A$10:$A$1009,"&gt;="&amp;(A746-$C$6)))</f>
        <v/>
      </c>
      <c r="P746" s="18">
        <f>IF(OR(N746="",N746=0),"",M746/N746-1)</f>
        <v/>
      </c>
      <c r="Q746">
        <f>IF(D746="","",IF(COUNTIFS($B$10:$B$1009,B746,$C$10:$C$1009,C746,$D$10:$D$1009,D746,$E$10:$E$1009,E746)&gt;1,"MÜKERRER?",IF(P746="","",IF(P746&gt;=$C$5,"İNCELE",IF(P746&lt;=-$C$5,"Düşük",""))))</f>
        <v/>
      </c>
      <c r="R746" s="16">
        <f>IF(AND(P746&lt;&gt;"",N(P746)&gt;=$C$5,COUNTIFS($B$10:B746,B746,$C$10:C746,C746,$D$10:D746,D746,$E$10:E746,E746)=1),(M746-N746)*E746*L746,0)</f>
        <v/>
      </c>
      <c r="S746" s="19">
        <f>IF(D746="",0,N(E746)*L746)</f>
        <v/>
      </c>
    </row>
    <row r="747">
      <c r="A747" s="11" t="n"/>
      <c r="B747" s="12" t="n"/>
      <c r="C747" s="12" t="n"/>
      <c r="D747" s="12" t="n"/>
      <c r="E747" s="13" t="n"/>
      <c r="F747" s="12" t="n"/>
      <c r="G747" s="14" t="n"/>
      <c r="H747" s="15" t="n"/>
      <c r="I747" s="16">
        <f>IF(G747="","",G747*(1-N(H747)))</f>
        <v/>
      </c>
      <c r="J747" s="16">
        <f>IF(I747="","",E747*I747)</f>
        <v/>
      </c>
      <c r="K747">
        <f>IF(D747="","",IFERROR(VLOOKUP(D747,'Ürün Eşleştirme'!$A$6:$D$505,2,FALSE),D747))</f>
        <v/>
      </c>
      <c r="L747" s="17">
        <f>IF(D747="","",IFERROR(VLOOKUP(D747,'Ürün Eşleştirme'!$A$6:$D$505,4,FALSE),1))</f>
        <v/>
      </c>
      <c r="M747" s="16">
        <f>IF(I747="","",I747/L747)</f>
        <v/>
      </c>
      <c r="N747" s="16">
        <f>IF(M747="","",IFERROR(AVERAGEIFS($M$10:$M$1009,$K$10:$K$1009,K747,$A$10:$A$1009,"&lt;"&amp;A747,$A$10:$A$1009,"&gt;="&amp;(A747-$C$6)),""))</f>
        <v/>
      </c>
      <c r="O747" s="16">
        <f>IF(M747="","",_xlfn.MINIFS($M$10:$M$1009,$K$10:$K$1009,K747,$A$10:$A$1009,"&lt;="&amp;A747,$A$10:$A$1009,"&gt;="&amp;(A747-$C$6)))</f>
        <v/>
      </c>
      <c r="P747" s="18">
        <f>IF(OR(N747="",N747=0),"",M747/N747-1)</f>
        <v/>
      </c>
      <c r="Q747">
        <f>IF(D747="","",IF(COUNTIFS($B$10:$B$1009,B747,$C$10:$C$1009,C747,$D$10:$D$1009,D747,$E$10:$E$1009,E747)&gt;1,"MÜKERRER?",IF(P747="","",IF(P747&gt;=$C$5,"İNCELE",IF(P747&lt;=-$C$5,"Düşük",""))))</f>
        <v/>
      </c>
      <c r="R747" s="16">
        <f>IF(AND(P747&lt;&gt;"",N(P747)&gt;=$C$5,COUNTIFS($B$10:B747,B747,$C$10:C747,C747,$D$10:D747,D747,$E$10:E747,E747)=1),(M747-N747)*E747*L747,0)</f>
        <v/>
      </c>
      <c r="S747" s="19">
        <f>IF(D747="",0,N(E747)*L747)</f>
        <v/>
      </c>
    </row>
    <row r="748">
      <c r="A748" s="11" t="n"/>
      <c r="B748" s="12" t="n"/>
      <c r="C748" s="12" t="n"/>
      <c r="D748" s="12" t="n"/>
      <c r="E748" s="13" t="n"/>
      <c r="F748" s="12" t="n"/>
      <c r="G748" s="14" t="n"/>
      <c r="H748" s="15" t="n"/>
      <c r="I748" s="16">
        <f>IF(G748="","",G748*(1-N(H748)))</f>
        <v/>
      </c>
      <c r="J748" s="16">
        <f>IF(I748="","",E748*I748)</f>
        <v/>
      </c>
      <c r="K748">
        <f>IF(D748="","",IFERROR(VLOOKUP(D748,'Ürün Eşleştirme'!$A$6:$D$505,2,FALSE),D748))</f>
        <v/>
      </c>
      <c r="L748" s="17">
        <f>IF(D748="","",IFERROR(VLOOKUP(D748,'Ürün Eşleştirme'!$A$6:$D$505,4,FALSE),1))</f>
        <v/>
      </c>
      <c r="M748" s="16">
        <f>IF(I748="","",I748/L748)</f>
        <v/>
      </c>
      <c r="N748" s="16">
        <f>IF(M748="","",IFERROR(AVERAGEIFS($M$10:$M$1009,$K$10:$K$1009,K748,$A$10:$A$1009,"&lt;"&amp;A748,$A$10:$A$1009,"&gt;="&amp;(A748-$C$6)),""))</f>
        <v/>
      </c>
      <c r="O748" s="16">
        <f>IF(M748="","",_xlfn.MINIFS($M$10:$M$1009,$K$10:$K$1009,K748,$A$10:$A$1009,"&lt;="&amp;A748,$A$10:$A$1009,"&gt;="&amp;(A748-$C$6)))</f>
        <v/>
      </c>
      <c r="P748" s="18">
        <f>IF(OR(N748="",N748=0),"",M748/N748-1)</f>
        <v/>
      </c>
      <c r="Q748">
        <f>IF(D748="","",IF(COUNTIFS($B$10:$B$1009,B748,$C$10:$C$1009,C748,$D$10:$D$1009,D748,$E$10:$E$1009,E748)&gt;1,"MÜKERRER?",IF(P748="","",IF(P748&gt;=$C$5,"İNCELE",IF(P748&lt;=-$C$5,"Düşük",""))))</f>
        <v/>
      </c>
      <c r="R748" s="16">
        <f>IF(AND(P748&lt;&gt;"",N(P748)&gt;=$C$5,COUNTIFS($B$10:B748,B748,$C$10:C748,C748,$D$10:D748,D748,$E$10:E748,E748)=1),(M748-N748)*E748*L748,0)</f>
        <v/>
      </c>
      <c r="S748" s="19">
        <f>IF(D748="",0,N(E748)*L748)</f>
        <v/>
      </c>
    </row>
    <row r="749">
      <c r="A749" s="11" t="n"/>
      <c r="B749" s="12" t="n"/>
      <c r="C749" s="12" t="n"/>
      <c r="D749" s="12" t="n"/>
      <c r="E749" s="13" t="n"/>
      <c r="F749" s="12" t="n"/>
      <c r="G749" s="14" t="n"/>
      <c r="H749" s="15" t="n"/>
      <c r="I749" s="16">
        <f>IF(G749="","",G749*(1-N(H749)))</f>
        <v/>
      </c>
      <c r="J749" s="16">
        <f>IF(I749="","",E749*I749)</f>
        <v/>
      </c>
      <c r="K749">
        <f>IF(D749="","",IFERROR(VLOOKUP(D749,'Ürün Eşleştirme'!$A$6:$D$505,2,FALSE),D749))</f>
        <v/>
      </c>
      <c r="L749" s="17">
        <f>IF(D749="","",IFERROR(VLOOKUP(D749,'Ürün Eşleştirme'!$A$6:$D$505,4,FALSE),1))</f>
        <v/>
      </c>
      <c r="M749" s="16">
        <f>IF(I749="","",I749/L749)</f>
        <v/>
      </c>
      <c r="N749" s="16">
        <f>IF(M749="","",IFERROR(AVERAGEIFS($M$10:$M$1009,$K$10:$K$1009,K749,$A$10:$A$1009,"&lt;"&amp;A749,$A$10:$A$1009,"&gt;="&amp;(A749-$C$6)),""))</f>
        <v/>
      </c>
      <c r="O749" s="16">
        <f>IF(M749="","",_xlfn.MINIFS($M$10:$M$1009,$K$10:$K$1009,K749,$A$10:$A$1009,"&lt;="&amp;A749,$A$10:$A$1009,"&gt;="&amp;(A749-$C$6)))</f>
        <v/>
      </c>
      <c r="P749" s="18">
        <f>IF(OR(N749="",N749=0),"",M749/N749-1)</f>
        <v/>
      </c>
      <c r="Q749">
        <f>IF(D749="","",IF(COUNTIFS($B$10:$B$1009,B749,$C$10:$C$1009,C749,$D$10:$D$1009,D749,$E$10:$E$1009,E749)&gt;1,"MÜKERRER?",IF(P749="","",IF(P749&gt;=$C$5,"İNCELE",IF(P749&lt;=-$C$5,"Düşük",""))))</f>
        <v/>
      </c>
      <c r="R749" s="16">
        <f>IF(AND(P749&lt;&gt;"",N(P749)&gt;=$C$5,COUNTIFS($B$10:B749,B749,$C$10:C749,C749,$D$10:D749,D749,$E$10:E749,E749)=1),(M749-N749)*E749*L749,0)</f>
        <v/>
      </c>
      <c r="S749" s="19">
        <f>IF(D749="",0,N(E749)*L749)</f>
        <v/>
      </c>
    </row>
    <row r="750">
      <c r="A750" s="11" t="n"/>
      <c r="B750" s="12" t="n"/>
      <c r="C750" s="12" t="n"/>
      <c r="D750" s="12" t="n"/>
      <c r="E750" s="13" t="n"/>
      <c r="F750" s="12" t="n"/>
      <c r="G750" s="14" t="n"/>
      <c r="H750" s="15" t="n"/>
      <c r="I750" s="16">
        <f>IF(G750="","",G750*(1-N(H750)))</f>
        <v/>
      </c>
      <c r="J750" s="16">
        <f>IF(I750="","",E750*I750)</f>
        <v/>
      </c>
      <c r="K750">
        <f>IF(D750="","",IFERROR(VLOOKUP(D750,'Ürün Eşleştirme'!$A$6:$D$505,2,FALSE),D750))</f>
        <v/>
      </c>
      <c r="L750" s="17">
        <f>IF(D750="","",IFERROR(VLOOKUP(D750,'Ürün Eşleştirme'!$A$6:$D$505,4,FALSE),1))</f>
        <v/>
      </c>
      <c r="M750" s="16">
        <f>IF(I750="","",I750/L750)</f>
        <v/>
      </c>
      <c r="N750" s="16">
        <f>IF(M750="","",IFERROR(AVERAGEIFS($M$10:$M$1009,$K$10:$K$1009,K750,$A$10:$A$1009,"&lt;"&amp;A750,$A$10:$A$1009,"&gt;="&amp;(A750-$C$6)),""))</f>
        <v/>
      </c>
      <c r="O750" s="16">
        <f>IF(M750="","",_xlfn.MINIFS($M$10:$M$1009,$K$10:$K$1009,K750,$A$10:$A$1009,"&lt;="&amp;A750,$A$10:$A$1009,"&gt;="&amp;(A750-$C$6)))</f>
        <v/>
      </c>
      <c r="P750" s="18">
        <f>IF(OR(N750="",N750=0),"",M750/N750-1)</f>
        <v/>
      </c>
      <c r="Q750">
        <f>IF(D750="","",IF(COUNTIFS($B$10:$B$1009,B750,$C$10:$C$1009,C750,$D$10:$D$1009,D750,$E$10:$E$1009,E750)&gt;1,"MÜKERRER?",IF(P750="","",IF(P750&gt;=$C$5,"İNCELE",IF(P750&lt;=-$C$5,"Düşük",""))))</f>
        <v/>
      </c>
      <c r="R750" s="16">
        <f>IF(AND(P750&lt;&gt;"",N(P750)&gt;=$C$5,COUNTIFS($B$10:B750,B750,$C$10:C750,C750,$D$10:D750,D750,$E$10:E750,E750)=1),(M750-N750)*E750*L750,0)</f>
        <v/>
      </c>
      <c r="S750" s="19">
        <f>IF(D750="",0,N(E750)*L750)</f>
        <v/>
      </c>
    </row>
    <row r="751">
      <c r="A751" s="11" t="n"/>
      <c r="B751" s="12" t="n"/>
      <c r="C751" s="12" t="n"/>
      <c r="D751" s="12" t="n"/>
      <c r="E751" s="13" t="n"/>
      <c r="F751" s="12" t="n"/>
      <c r="G751" s="14" t="n"/>
      <c r="H751" s="15" t="n"/>
      <c r="I751" s="16">
        <f>IF(G751="","",G751*(1-N(H751)))</f>
        <v/>
      </c>
      <c r="J751" s="16">
        <f>IF(I751="","",E751*I751)</f>
        <v/>
      </c>
      <c r="K751">
        <f>IF(D751="","",IFERROR(VLOOKUP(D751,'Ürün Eşleştirme'!$A$6:$D$505,2,FALSE),D751))</f>
        <v/>
      </c>
      <c r="L751" s="17">
        <f>IF(D751="","",IFERROR(VLOOKUP(D751,'Ürün Eşleştirme'!$A$6:$D$505,4,FALSE),1))</f>
        <v/>
      </c>
      <c r="M751" s="16">
        <f>IF(I751="","",I751/L751)</f>
        <v/>
      </c>
      <c r="N751" s="16">
        <f>IF(M751="","",IFERROR(AVERAGEIFS($M$10:$M$1009,$K$10:$K$1009,K751,$A$10:$A$1009,"&lt;"&amp;A751,$A$10:$A$1009,"&gt;="&amp;(A751-$C$6)),""))</f>
        <v/>
      </c>
      <c r="O751" s="16">
        <f>IF(M751="","",_xlfn.MINIFS($M$10:$M$1009,$K$10:$K$1009,K751,$A$10:$A$1009,"&lt;="&amp;A751,$A$10:$A$1009,"&gt;="&amp;(A751-$C$6)))</f>
        <v/>
      </c>
      <c r="P751" s="18">
        <f>IF(OR(N751="",N751=0),"",M751/N751-1)</f>
        <v/>
      </c>
      <c r="Q751">
        <f>IF(D751="","",IF(COUNTIFS($B$10:$B$1009,B751,$C$10:$C$1009,C751,$D$10:$D$1009,D751,$E$10:$E$1009,E751)&gt;1,"MÜKERRER?",IF(P751="","",IF(P751&gt;=$C$5,"İNCELE",IF(P751&lt;=-$C$5,"Düşük",""))))</f>
        <v/>
      </c>
      <c r="R751" s="16">
        <f>IF(AND(P751&lt;&gt;"",N(P751)&gt;=$C$5,COUNTIFS($B$10:B751,B751,$C$10:C751,C751,$D$10:D751,D751,$E$10:E751,E751)=1),(M751-N751)*E751*L751,0)</f>
        <v/>
      </c>
      <c r="S751" s="19">
        <f>IF(D751="",0,N(E751)*L751)</f>
        <v/>
      </c>
    </row>
    <row r="752">
      <c r="A752" s="11" t="n"/>
      <c r="B752" s="12" t="n"/>
      <c r="C752" s="12" t="n"/>
      <c r="D752" s="12" t="n"/>
      <c r="E752" s="13" t="n"/>
      <c r="F752" s="12" t="n"/>
      <c r="G752" s="14" t="n"/>
      <c r="H752" s="15" t="n"/>
      <c r="I752" s="16">
        <f>IF(G752="","",G752*(1-N(H752)))</f>
        <v/>
      </c>
      <c r="J752" s="16">
        <f>IF(I752="","",E752*I752)</f>
        <v/>
      </c>
      <c r="K752">
        <f>IF(D752="","",IFERROR(VLOOKUP(D752,'Ürün Eşleştirme'!$A$6:$D$505,2,FALSE),D752))</f>
        <v/>
      </c>
      <c r="L752" s="17">
        <f>IF(D752="","",IFERROR(VLOOKUP(D752,'Ürün Eşleştirme'!$A$6:$D$505,4,FALSE),1))</f>
        <v/>
      </c>
      <c r="M752" s="16">
        <f>IF(I752="","",I752/L752)</f>
        <v/>
      </c>
      <c r="N752" s="16">
        <f>IF(M752="","",IFERROR(AVERAGEIFS($M$10:$M$1009,$K$10:$K$1009,K752,$A$10:$A$1009,"&lt;"&amp;A752,$A$10:$A$1009,"&gt;="&amp;(A752-$C$6)),""))</f>
        <v/>
      </c>
      <c r="O752" s="16">
        <f>IF(M752="","",_xlfn.MINIFS($M$10:$M$1009,$K$10:$K$1009,K752,$A$10:$A$1009,"&lt;="&amp;A752,$A$10:$A$1009,"&gt;="&amp;(A752-$C$6)))</f>
        <v/>
      </c>
      <c r="P752" s="18">
        <f>IF(OR(N752="",N752=0),"",M752/N752-1)</f>
        <v/>
      </c>
      <c r="Q752">
        <f>IF(D752="","",IF(COUNTIFS($B$10:$B$1009,B752,$C$10:$C$1009,C752,$D$10:$D$1009,D752,$E$10:$E$1009,E752)&gt;1,"MÜKERRER?",IF(P752="","",IF(P752&gt;=$C$5,"İNCELE",IF(P752&lt;=-$C$5,"Düşük",""))))</f>
        <v/>
      </c>
      <c r="R752" s="16">
        <f>IF(AND(P752&lt;&gt;"",N(P752)&gt;=$C$5,COUNTIFS($B$10:B752,B752,$C$10:C752,C752,$D$10:D752,D752,$E$10:E752,E752)=1),(M752-N752)*E752*L752,0)</f>
        <v/>
      </c>
      <c r="S752" s="19">
        <f>IF(D752="",0,N(E752)*L752)</f>
        <v/>
      </c>
    </row>
    <row r="753">
      <c r="A753" s="11" t="n"/>
      <c r="B753" s="12" t="n"/>
      <c r="C753" s="12" t="n"/>
      <c r="D753" s="12" t="n"/>
      <c r="E753" s="13" t="n"/>
      <c r="F753" s="12" t="n"/>
      <c r="G753" s="14" t="n"/>
      <c r="H753" s="15" t="n"/>
      <c r="I753" s="16">
        <f>IF(G753="","",G753*(1-N(H753)))</f>
        <v/>
      </c>
      <c r="J753" s="16">
        <f>IF(I753="","",E753*I753)</f>
        <v/>
      </c>
      <c r="K753">
        <f>IF(D753="","",IFERROR(VLOOKUP(D753,'Ürün Eşleştirme'!$A$6:$D$505,2,FALSE),D753))</f>
        <v/>
      </c>
      <c r="L753" s="17">
        <f>IF(D753="","",IFERROR(VLOOKUP(D753,'Ürün Eşleştirme'!$A$6:$D$505,4,FALSE),1))</f>
        <v/>
      </c>
      <c r="M753" s="16">
        <f>IF(I753="","",I753/L753)</f>
        <v/>
      </c>
      <c r="N753" s="16">
        <f>IF(M753="","",IFERROR(AVERAGEIFS($M$10:$M$1009,$K$10:$K$1009,K753,$A$10:$A$1009,"&lt;"&amp;A753,$A$10:$A$1009,"&gt;="&amp;(A753-$C$6)),""))</f>
        <v/>
      </c>
      <c r="O753" s="16">
        <f>IF(M753="","",_xlfn.MINIFS($M$10:$M$1009,$K$10:$K$1009,K753,$A$10:$A$1009,"&lt;="&amp;A753,$A$10:$A$1009,"&gt;="&amp;(A753-$C$6)))</f>
        <v/>
      </c>
      <c r="P753" s="18">
        <f>IF(OR(N753="",N753=0),"",M753/N753-1)</f>
        <v/>
      </c>
      <c r="Q753">
        <f>IF(D753="","",IF(COUNTIFS($B$10:$B$1009,B753,$C$10:$C$1009,C753,$D$10:$D$1009,D753,$E$10:$E$1009,E753)&gt;1,"MÜKERRER?",IF(P753="","",IF(P753&gt;=$C$5,"İNCELE",IF(P753&lt;=-$C$5,"Düşük",""))))</f>
        <v/>
      </c>
      <c r="R753" s="16">
        <f>IF(AND(P753&lt;&gt;"",N(P753)&gt;=$C$5,COUNTIFS($B$10:B753,B753,$C$10:C753,C753,$D$10:D753,D753,$E$10:E753,E753)=1),(M753-N753)*E753*L753,0)</f>
        <v/>
      </c>
      <c r="S753" s="19">
        <f>IF(D753="",0,N(E753)*L753)</f>
        <v/>
      </c>
    </row>
    <row r="754">
      <c r="A754" s="11" t="n"/>
      <c r="B754" s="12" t="n"/>
      <c r="C754" s="12" t="n"/>
      <c r="D754" s="12" t="n"/>
      <c r="E754" s="13" t="n"/>
      <c r="F754" s="12" t="n"/>
      <c r="G754" s="14" t="n"/>
      <c r="H754" s="15" t="n"/>
      <c r="I754" s="16">
        <f>IF(G754="","",G754*(1-N(H754)))</f>
        <v/>
      </c>
      <c r="J754" s="16">
        <f>IF(I754="","",E754*I754)</f>
        <v/>
      </c>
      <c r="K754">
        <f>IF(D754="","",IFERROR(VLOOKUP(D754,'Ürün Eşleştirme'!$A$6:$D$505,2,FALSE),D754))</f>
        <v/>
      </c>
      <c r="L754" s="17">
        <f>IF(D754="","",IFERROR(VLOOKUP(D754,'Ürün Eşleştirme'!$A$6:$D$505,4,FALSE),1))</f>
        <v/>
      </c>
      <c r="M754" s="16">
        <f>IF(I754="","",I754/L754)</f>
        <v/>
      </c>
      <c r="N754" s="16">
        <f>IF(M754="","",IFERROR(AVERAGEIFS($M$10:$M$1009,$K$10:$K$1009,K754,$A$10:$A$1009,"&lt;"&amp;A754,$A$10:$A$1009,"&gt;="&amp;(A754-$C$6)),""))</f>
        <v/>
      </c>
      <c r="O754" s="16">
        <f>IF(M754="","",_xlfn.MINIFS($M$10:$M$1009,$K$10:$K$1009,K754,$A$10:$A$1009,"&lt;="&amp;A754,$A$10:$A$1009,"&gt;="&amp;(A754-$C$6)))</f>
        <v/>
      </c>
      <c r="P754" s="18">
        <f>IF(OR(N754="",N754=0),"",M754/N754-1)</f>
        <v/>
      </c>
      <c r="Q754">
        <f>IF(D754="","",IF(COUNTIFS($B$10:$B$1009,B754,$C$10:$C$1009,C754,$D$10:$D$1009,D754,$E$10:$E$1009,E754)&gt;1,"MÜKERRER?",IF(P754="","",IF(P754&gt;=$C$5,"İNCELE",IF(P754&lt;=-$C$5,"Düşük",""))))</f>
        <v/>
      </c>
      <c r="R754" s="16">
        <f>IF(AND(P754&lt;&gt;"",N(P754)&gt;=$C$5,COUNTIFS($B$10:B754,B754,$C$10:C754,C754,$D$10:D754,D754,$E$10:E754,E754)=1),(M754-N754)*E754*L754,0)</f>
        <v/>
      </c>
      <c r="S754" s="19">
        <f>IF(D754="",0,N(E754)*L754)</f>
        <v/>
      </c>
    </row>
    <row r="755">
      <c r="A755" s="11" t="n"/>
      <c r="B755" s="12" t="n"/>
      <c r="C755" s="12" t="n"/>
      <c r="D755" s="12" t="n"/>
      <c r="E755" s="13" t="n"/>
      <c r="F755" s="12" t="n"/>
      <c r="G755" s="14" t="n"/>
      <c r="H755" s="15" t="n"/>
      <c r="I755" s="16">
        <f>IF(G755="","",G755*(1-N(H755)))</f>
        <v/>
      </c>
      <c r="J755" s="16">
        <f>IF(I755="","",E755*I755)</f>
        <v/>
      </c>
      <c r="K755">
        <f>IF(D755="","",IFERROR(VLOOKUP(D755,'Ürün Eşleştirme'!$A$6:$D$505,2,FALSE),D755))</f>
        <v/>
      </c>
      <c r="L755" s="17">
        <f>IF(D755="","",IFERROR(VLOOKUP(D755,'Ürün Eşleştirme'!$A$6:$D$505,4,FALSE),1))</f>
        <v/>
      </c>
      <c r="M755" s="16">
        <f>IF(I755="","",I755/L755)</f>
        <v/>
      </c>
      <c r="N755" s="16">
        <f>IF(M755="","",IFERROR(AVERAGEIFS($M$10:$M$1009,$K$10:$K$1009,K755,$A$10:$A$1009,"&lt;"&amp;A755,$A$10:$A$1009,"&gt;="&amp;(A755-$C$6)),""))</f>
        <v/>
      </c>
      <c r="O755" s="16">
        <f>IF(M755="","",_xlfn.MINIFS($M$10:$M$1009,$K$10:$K$1009,K755,$A$10:$A$1009,"&lt;="&amp;A755,$A$10:$A$1009,"&gt;="&amp;(A755-$C$6)))</f>
        <v/>
      </c>
      <c r="P755" s="18">
        <f>IF(OR(N755="",N755=0),"",M755/N755-1)</f>
        <v/>
      </c>
      <c r="Q755">
        <f>IF(D755="","",IF(COUNTIFS($B$10:$B$1009,B755,$C$10:$C$1009,C755,$D$10:$D$1009,D755,$E$10:$E$1009,E755)&gt;1,"MÜKERRER?",IF(P755="","",IF(P755&gt;=$C$5,"İNCELE",IF(P755&lt;=-$C$5,"Düşük",""))))</f>
        <v/>
      </c>
      <c r="R755" s="16">
        <f>IF(AND(P755&lt;&gt;"",N(P755)&gt;=$C$5,COUNTIFS($B$10:B755,B755,$C$10:C755,C755,$D$10:D755,D755,$E$10:E755,E755)=1),(M755-N755)*E755*L755,0)</f>
        <v/>
      </c>
      <c r="S755" s="19">
        <f>IF(D755="",0,N(E755)*L755)</f>
        <v/>
      </c>
    </row>
    <row r="756">
      <c r="A756" s="11" t="n"/>
      <c r="B756" s="12" t="n"/>
      <c r="C756" s="12" t="n"/>
      <c r="D756" s="12" t="n"/>
      <c r="E756" s="13" t="n"/>
      <c r="F756" s="12" t="n"/>
      <c r="G756" s="14" t="n"/>
      <c r="H756" s="15" t="n"/>
      <c r="I756" s="16">
        <f>IF(G756="","",G756*(1-N(H756)))</f>
        <v/>
      </c>
      <c r="J756" s="16">
        <f>IF(I756="","",E756*I756)</f>
        <v/>
      </c>
      <c r="K756">
        <f>IF(D756="","",IFERROR(VLOOKUP(D756,'Ürün Eşleştirme'!$A$6:$D$505,2,FALSE),D756))</f>
        <v/>
      </c>
      <c r="L756" s="17">
        <f>IF(D756="","",IFERROR(VLOOKUP(D756,'Ürün Eşleştirme'!$A$6:$D$505,4,FALSE),1))</f>
        <v/>
      </c>
      <c r="M756" s="16">
        <f>IF(I756="","",I756/L756)</f>
        <v/>
      </c>
      <c r="N756" s="16">
        <f>IF(M756="","",IFERROR(AVERAGEIFS($M$10:$M$1009,$K$10:$K$1009,K756,$A$10:$A$1009,"&lt;"&amp;A756,$A$10:$A$1009,"&gt;="&amp;(A756-$C$6)),""))</f>
        <v/>
      </c>
      <c r="O756" s="16">
        <f>IF(M756="","",_xlfn.MINIFS($M$10:$M$1009,$K$10:$K$1009,K756,$A$10:$A$1009,"&lt;="&amp;A756,$A$10:$A$1009,"&gt;="&amp;(A756-$C$6)))</f>
        <v/>
      </c>
      <c r="P756" s="18">
        <f>IF(OR(N756="",N756=0),"",M756/N756-1)</f>
        <v/>
      </c>
      <c r="Q756">
        <f>IF(D756="","",IF(COUNTIFS($B$10:$B$1009,B756,$C$10:$C$1009,C756,$D$10:$D$1009,D756,$E$10:$E$1009,E756)&gt;1,"MÜKERRER?",IF(P756="","",IF(P756&gt;=$C$5,"İNCELE",IF(P756&lt;=-$C$5,"Düşük",""))))</f>
        <v/>
      </c>
      <c r="R756" s="16">
        <f>IF(AND(P756&lt;&gt;"",N(P756)&gt;=$C$5,COUNTIFS($B$10:B756,B756,$C$10:C756,C756,$D$10:D756,D756,$E$10:E756,E756)=1),(M756-N756)*E756*L756,0)</f>
        <v/>
      </c>
      <c r="S756" s="19">
        <f>IF(D756="",0,N(E756)*L756)</f>
        <v/>
      </c>
    </row>
    <row r="757">
      <c r="A757" s="11" t="n"/>
      <c r="B757" s="12" t="n"/>
      <c r="C757" s="12" t="n"/>
      <c r="D757" s="12" t="n"/>
      <c r="E757" s="13" t="n"/>
      <c r="F757" s="12" t="n"/>
      <c r="G757" s="14" t="n"/>
      <c r="H757" s="15" t="n"/>
      <c r="I757" s="16">
        <f>IF(G757="","",G757*(1-N(H757)))</f>
        <v/>
      </c>
      <c r="J757" s="16">
        <f>IF(I757="","",E757*I757)</f>
        <v/>
      </c>
      <c r="K757">
        <f>IF(D757="","",IFERROR(VLOOKUP(D757,'Ürün Eşleştirme'!$A$6:$D$505,2,FALSE),D757))</f>
        <v/>
      </c>
      <c r="L757" s="17">
        <f>IF(D757="","",IFERROR(VLOOKUP(D757,'Ürün Eşleştirme'!$A$6:$D$505,4,FALSE),1))</f>
        <v/>
      </c>
      <c r="M757" s="16">
        <f>IF(I757="","",I757/L757)</f>
        <v/>
      </c>
      <c r="N757" s="16">
        <f>IF(M757="","",IFERROR(AVERAGEIFS($M$10:$M$1009,$K$10:$K$1009,K757,$A$10:$A$1009,"&lt;"&amp;A757,$A$10:$A$1009,"&gt;="&amp;(A757-$C$6)),""))</f>
        <v/>
      </c>
      <c r="O757" s="16">
        <f>IF(M757="","",_xlfn.MINIFS($M$10:$M$1009,$K$10:$K$1009,K757,$A$10:$A$1009,"&lt;="&amp;A757,$A$10:$A$1009,"&gt;="&amp;(A757-$C$6)))</f>
        <v/>
      </c>
      <c r="P757" s="18">
        <f>IF(OR(N757="",N757=0),"",M757/N757-1)</f>
        <v/>
      </c>
      <c r="Q757">
        <f>IF(D757="","",IF(COUNTIFS($B$10:$B$1009,B757,$C$10:$C$1009,C757,$D$10:$D$1009,D757,$E$10:$E$1009,E757)&gt;1,"MÜKERRER?",IF(P757="","",IF(P757&gt;=$C$5,"İNCELE",IF(P757&lt;=-$C$5,"Düşük",""))))</f>
        <v/>
      </c>
      <c r="R757" s="16">
        <f>IF(AND(P757&lt;&gt;"",N(P757)&gt;=$C$5,COUNTIFS($B$10:B757,B757,$C$10:C757,C757,$D$10:D757,D757,$E$10:E757,E757)=1),(M757-N757)*E757*L757,0)</f>
        <v/>
      </c>
      <c r="S757" s="19">
        <f>IF(D757="",0,N(E757)*L757)</f>
        <v/>
      </c>
    </row>
    <row r="758">
      <c r="A758" s="11" t="n"/>
      <c r="B758" s="12" t="n"/>
      <c r="C758" s="12" t="n"/>
      <c r="D758" s="12" t="n"/>
      <c r="E758" s="13" t="n"/>
      <c r="F758" s="12" t="n"/>
      <c r="G758" s="14" t="n"/>
      <c r="H758" s="15" t="n"/>
      <c r="I758" s="16">
        <f>IF(G758="","",G758*(1-N(H758)))</f>
        <v/>
      </c>
      <c r="J758" s="16">
        <f>IF(I758="","",E758*I758)</f>
        <v/>
      </c>
      <c r="K758">
        <f>IF(D758="","",IFERROR(VLOOKUP(D758,'Ürün Eşleştirme'!$A$6:$D$505,2,FALSE),D758))</f>
        <v/>
      </c>
      <c r="L758" s="17">
        <f>IF(D758="","",IFERROR(VLOOKUP(D758,'Ürün Eşleştirme'!$A$6:$D$505,4,FALSE),1))</f>
        <v/>
      </c>
      <c r="M758" s="16">
        <f>IF(I758="","",I758/L758)</f>
        <v/>
      </c>
      <c r="N758" s="16">
        <f>IF(M758="","",IFERROR(AVERAGEIFS($M$10:$M$1009,$K$10:$K$1009,K758,$A$10:$A$1009,"&lt;"&amp;A758,$A$10:$A$1009,"&gt;="&amp;(A758-$C$6)),""))</f>
        <v/>
      </c>
      <c r="O758" s="16">
        <f>IF(M758="","",_xlfn.MINIFS($M$10:$M$1009,$K$10:$K$1009,K758,$A$10:$A$1009,"&lt;="&amp;A758,$A$10:$A$1009,"&gt;="&amp;(A758-$C$6)))</f>
        <v/>
      </c>
      <c r="P758" s="18">
        <f>IF(OR(N758="",N758=0),"",M758/N758-1)</f>
        <v/>
      </c>
      <c r="Q758">
        <f>IF(D758="","",IF(COUNTIFS($B$10:$B$1009,B758,$C$10:$C$1009,C758,$D$10:$D$1009,D758,$E$10:$E$1009,E758)&gt;1,"MÜKERRER?",IF(P758="","",IF(P758&gt;=$C$5,"İNCELE",IF(P758&lt;=-$C$5,"Düşük",""))))</f>
        <v/>
      </c>
      <c r="R758" s="16">
        <f>IF(AND(P758&lt;&gt;"",N(P758)&gt;=$C$5,COUNTIFS($B$10:B758,B758,$C$10:C758,C758,$D$10:D758,D758,$E$10:E758,E758)=1),(M758-N758)*E758*L758,0)</f>
        <v/>
      </c>
      <c r="S758" s="19">
        <f>IF(D758="",0,N(E758)*L758)</f>
        <v/>
      </c>
    </row>
    <row r="759">
      <c r="A759" s="11" t="n"/>
      <c r="B759" s="12" t="n"/>
      <c r="C759" s="12" t="n"/>
      <c r="D759" s="12" t="n"/>
      <c r="E759" s="13" t="n"/>
      <c r="F759" s="12" t="n"/>
      <c r="G759" s="14" t="n"/>
      <c r="H759" s="15" t="n"/>
      <c r="I759" s="16">
        <f>IF(G759="","",G759*(1-N(H759)))</f>
        <v/>
      </c>
      <c r="J759" s="16">
        <f>IF(I759="","",E759*I759)</f>
        <v/>
      </c>
      <c r="K759">
        <f>IF(D759="","",IFERROR(VLOOKUP(D759,'Ürün Eşleştirme'!$A$6:$D$505,2,FALSE),D759))</f>
        <v/>
      </c>
      <c r="L759" s="17">
        <f>IF(D759="","",IFERROR(VLOOKUP(D759,'Ürün Eşleştirme'!$A$6:$D$505,4,FALSE),1))</f>
        <v/>
      </c>
      <c r="M759" s="16">
        <f>IF(I759="","",I759/L759)</f>
        <v/>
      </c>
      <c r="N759" s="16">
        <f>IF(M759="","",IFERROR(AVERAGEIFS($M$10:$M$1009,$K$10:$K$1009,K759,$A$10:$A$1009,"&lt;"&amp;A759,$A$10:$A$1009,"&gt;="&amp;(A759-$C$6)),""))</f>
        <v/>
      </c>
      <c r="O759" s="16">
        <f>IF(M759="","",_xlfn.MINIFS($M$10:$M$1009,$K$10:$K$1009,K759,$A$10:$A$1009,"&lt;="&amp;A759,$A$10:$A$1009,"&gt;="&amp;(A759-$C$6)))</f>
        <v/>
      </c>
      <c r="P759" s="18">
        <f>IF(OR(N759="",N759=0),"",M759/N759-1)</f>
        <v/>
      </c>
      <c r="Q759">
        <f>IF(D759="","",IF(COUNTIFS($B$10:$B$1009,B759,$C$10:$C$1009,C759,$D$10:$D$1009,D759,$E$10:$E$1009,E759)&gt;1,"MÜKERRER?",IF(P759="","",IF(P759&gt;=$C$5,"İNCELE",IF(P759&lt;=-$C$5,"Düşük",""))))</f>
        <v/>
      </c>
      <c r="R759" s="16">
        <f>IF(AND(P759&lt;&gt;"",N(P759)&gt;=$C$5,COUNTIFS($B$10:B759,B759,$C$10:C759,C759,$D$10:D759,D759,$E$10:E759,E759)=1),(M759-N759)*E759*L759,0)</f>
        <v/>
      </c>
      <c r="S759" s="19">
        <f>IF(D759="",0,N(E759)*L759)</f>
        <v/>
      </c>
    </row>
    <row r="760">
      <c r="A760" s="11" t="n"/>
      <c r="B760" s="12" t="n"/>
      <c r="C760" s="12" t="n"/>
      <c r="D760" s="12" t="n"/>
      <c r="E760" s="13" t="n"/>
      <c r="F760" s="12" t="n"/>
      <c r="G760" s="14" t="n"/>
      <c r="H760" s="15" t="n"/>
      <c r="I760" s="16">
        <f>IF(G760="","",G760*(1-N(H760)))</f>
        <v/>
      </c>
      <c r="J760" s="16">
        <f>IF(I760="","",E760*I760)</f>
        <v/>
      </c>
      <c r="K760">
        <f>IF(D760="","",IFERROR(VLOOKUP(D760,'Ürün Eşleştirme'!$A$6:$D$505,2,FALSE),D760))</f>
        <v/>
      </c>
      <c r="L760" s="17">
        <f>IF(D760="","",IFERROR(VLOOKUP(D760,'Ürün Eşleştirme'!$A$6:$D$505,4,FALSE),1))</f>
        <v/>
      </c>
      <c r="M760" s="16">
        <f>IF(I760="","",I760/L760)</f>
        <v/>
      </c>
      <c r="N760" s="16">
        <f>IF(M760="","",IFERROR(AVERAGEIFS($M$10:$M$1009,$K$10:$K$1009,K760,$A$10:$A$1009,"&lt;"&amp;A760,$A$10:$A$1009,"&gt;="&amp;(A760-$C$6)),""))</f>
        <v/>
      </c>
      <c r="O760" s="16">
        <f>IF(M760="","",_xlfn.MINIFS($M$10:$M$1009,$K$10:$K$1009,K760,$A$10:$A$1009,"&lt;="&amp;A760,$A$10:$A$1009,"&gt;="&amp;(A760-$C$6)))</f>
        <v/>
      </c>
      <c r="P760" s="18">
        <f>IF(OR(N760="",N760=0),"",M760/N760-1)</f>
        <v/>
      </c>
      <c r="Q760">
        <f>IF(D760="","",IF(COUNTIFS($B$10:$B$1009,B760,$C$10:$C$1009,C760,$D$10:$D$1009,D760,$E$10:$E$1009,E760)&gt;1,"MÜKERRER?",IF(P760="","",IF(P760&gt;=$C$5,"İNCELE",IF(P760&lt;=-$C$5,"Düşük",""))))</f>
        <v/>
      </c>
      <c r="R760" s="16">
        <f>IF(AND(P760&lt;&gt;"",N(P760)&gt;=$C$5,COUNTIFS($B$10:B760,B760,$C$10:C760,C760,$D$10:D760,D760,$E$10:E760,E760)=1),(M760-N760)*E760*L760,0)</f>
        <v/>
      </c>
      <c r="S760" s="19">
        <f>IF(D760="",0,N(E760)*L760)</f>
        <v/>
      </c>
    </row>
    <row r="761">
      <c r="A761" s="11" t="n"/>
      <c r="B761" s="12" t="n"/>
      <c r="C761" s="12" t="n"/>
      <c r="D761" s="12" t="n"/>
      <c r="E761" s="13" t="n"/>
      <c r="F761" s="12" t="n"/>
      <c r="G761" s="14" t="n"/>
      <c r="H761" s="15" t="n"/>
      <c r="I761" s="16">
        <f>IF(G761="","",G761*(1-N(H761)))</f>
        <v/>
      </c>
      <c r="J761" s="16">
        <f>IF(I761="","",E761*I761)</f>
        <v/>
      </c>
      <c r="K761">
        <f>IF(D761="","",IFERROR(VLOOKUP(D761,'Ürün Eşleştirme'!$A$6:$D$505,2,FALSE),D761))</f>
        <v/>
      </c>
      <c r="L761" s="17">
        <f>IF(D761="","",IFERROR(VLOOKUP(D761,'Ürün Eşleştirme'!$A$6:$D$505,4,FALSE),1))</f>
        <v/>
      </c>
      <c r="M761" s="16">
        <f>IF(I761="","",I761/L761)</f>
        <v/>
      </c>
      <c r="N761" s="16">
        <f>IF(M761="","",IFERROR(AVERAGEIFS($M$10:$M$1009,$K$10:$K$1009,K761,$A$10:$A$1009,"&lt;"&amp;A761,$A$10:$A$1009,"&gt;="&amp;(A761-$C$6)),""))</f>
        <v/>
      </c>
      <c r="O761" s="16">
        <f>IF(M761="","",_xlfn.MINIFS($M$10:$M$1009,$K$10:$K$1009,K761,$A$10:$A$1009,"&lt;="&amp;A761,$A$10:$A$1009,"&gt;="&amp;(A761-$C$6)))</f>
        <v/>
      </c>
      <c r="P761" s="18">
        <f>IF(OR(N761="",N761=0),"",M761/N761-1)</f>
        <v/>
      </c>
      <c r="Q761">
        <f>IF(D761="","",IF(COUNTIFS($B$10:$B$1009,B761,$C$10:$C$1009,C761,$D$10:$D$1009,D761,$E$10:$E$1009,E761)&gt;1,"MÜKERRER?",IF(P761="","",IF(P761&gt;=$C$5,"İNCELE",IF(P761&lt;=-$C$5,"Düşük",""))))</f>
        <v/>
      </c>
      <c r="R761" s="16">
        <f>IF(AND(P761&lt;&gt;"",N(P761)&gt;=$C$5,COUNTIFS($B$10:B761,B761,$C$10:C761,C761,$D$10:D761,D761,$E$10:E761,E761)=1),(M761-N761)*E761*L761,0)</f>
        <v/>
      </c>
      <c r="S761" s="19">
        <f>IF(D761="",0,N(E761)*L761)</f>
        <v/>
      </c>
    </row>
    <row r="762">
      <c r="A762" s="11" t="n"/>
      <c r="B762" s="12" t="n"/>
      <c r="C762" s="12" t="n"/>
      <c r="D762" s="12" t="n"/>
      <c r="E762" s="13" t="n"/>
      <c r="F762" s="12" t="n"/>
      <c r="G762" s="14" t="n"/>
      <c r="H762" s="15" t="n"/>
      <c r="I762" s="16">
        <f>IF(G762="","",G762*(1-N(H762)))</f>
        <v/>
      </c>
      <c r="J762" s="16">
        <f>IF(I762="","",E762*I762)</f>
        <v/>
      </c>
      <c r="K762">
        <f>IF(D762="","",IFERROR(VLOOKUP(D762,'Ürün Eşleştirme'!$A$6:$D$505,2,FALSE),D762))</f>
        <v/>
      </c>
      <c r="L762" s="17">
        <f>IF(D762="","",IFERROR(VLOOKUP(D762,'Ürün Eşleştirme'!$A$6:$D$505,4,FALSE),1))</f>
        <v/>
      </c>
      <c r="M762" s="16">
        <f>IF(I762="","",I762/L762)</f>
        <v/>
      </c>
      <c r="N762" s="16">
        <f>IF(M762="","",IFERROR(AVERAGEIFS($M$10:$M$1009,$K$10:$K$1009,K762,$A$10:$A$1009,"&lt;"&amp;A762,$A$10:$A$1009,"&gt;="&amp;(A762-$C$6)),""))</f>
        <v/>
      </c>
      <c r="O762" s="16">
        <f>IF(M762="","",_xlfn.MINIFS($M$10:$M$1009,$K$10:$K$1009,K762,$A$10:$A$1009,"&lt;="&amp;A762,$A$10:$A$1009,"&gt;="&amp;(A762-$C$6)))</f>
        <v/>
      </c>
      <c r="P762" s="18">
        <f>IF(OR(N762="",N762=0),"",M762/N762-1)</f>
        <v/>
      </c>
      <c r="Q762">
        <f>IF(D762="","",IF(COUNTIFS($B$10:$B$1009,B762,$C$10:$C$1009,C762,$D$10:$D$1009,D762,$E$10:$E$1009,E762)&gt;1,"MÜKERRER?",IF(P762="","",IF(P762&gt;=$C$5,"İNCELE",IF(P762&lt;=-$C$5,"Düşük",""))))</f>
        <v/>
      </c>
      <c r="R762" s="16">
        <f>IF(AND(P762&lt;&gt;"",N(P762)&gt;=$C$5,COUNTIFS($B$10:B762,B762,$C$10:C762,C762,$D$10:D762,D762,$E$10:E762,E762)=1),(M762-N762)*E762*L762,0)</f>
        <v/>
      </c>
      <c r="S762" s="19">
        <f>IF(D762="",0,N(E762)*L762)</f>
        <v/>
      </c>
    </row>
    <row r="763">
      <c r="A763" s="11" t="n"/>
      <c r="B763" s="12" t="n"/>
      <c r="C763" s="12" t="n"/>
      <c r="D763" s="12" t="n"/>
      <c r="E763" s="13" t="n"/>
      <c r="F763" s="12" t="n"/>
      <c r="G763" s="14" t="n"/>
      <c r="H763" s="15" t="n"/>
      <c r="I763" s="16">
        <f>IF(G763="","",G763*(1-N(H763)))</f>
        <v/>
      </c>
      <c r="J763" s="16">
        <f>IF(I763="","",E763*I763)</f>
        <v/>
      </c>
      <c r="K763">
        <f>IF(D763="","",IFERROR(VLOOKUP(D763,'Ürün Eşleştirme'!$A$6:$D$505,2,FALSE),D763))</f>
        <v/>
      </c>
      <c r="L763" s="17">
        <f>IF(D763="","",IFERROR(VLOOKUP(D763,'Ürün Eşleştirme'!$A$6:$D$505,4,FALSE),1))</f>
        <v/>
      </c>
      <c r="M763" s="16">
        <f>IF(I763="","",I763/L763)</f>
        <v/>
      </c>
      <c r="N763" s="16">
        <f>IF(M763="","",IFERROR(AVERAGEIFS($M$10:$M$1009,$K$10:$K$1009,K763,$A$10:$A$1009,"&lt;"&amp;A763,$A$10:$A$1009,"&gt;="&amp;(A763-$C$6)),""))</f>
        <v/>
      </c>
      <c r="O763" s="16">
        <f>IF(M763="","",_xlfn.MINIFS($M$10:$M$1009,$K$10:$K$1009,K763,$A$10:$A$1009,"&lt;="&amp;A763,$A$10:$A$1009,"&gt;="&amp;(A763-$C$6)))</f>
        <v/>
      </c>
      <c r="P763" s="18">
        <f>IF(OR(N763="",N763=0),"",M763/N763-1)</f>
        <v/>
      </c>
      <c r="Q763">
        <f>IF(D763="","",IF(COUNTIFS($B$10:$B$1009,B763,$C$10:$C$1009,C763,$D$10:$D$1009,D763,$E$10:$E$1009,E763)&gt;1,"MÜKERRER?",IF(P763="","",IF(P763&gt;=$C$5,"İNCELE",IF(P763&lt;=-$C$5,"Düşük",""))))</f>
        <v/>
      </c>
      <c r="R763" s="16">
        <f>IF(AND(P763&lt;&gt;"",N(P763)&gt;=$C$5,COUNTIFS($B$10:B763,B763,$C$10:C763,C763,$D$10:D763,D763,$E$10:E763,E763)=1),(M763-N763)*E763*L763,0)</f>
        <v/>
      </c>
      <c r="S763" s="19">
        <f>IF(D763="",0,N(E763)*L763)</f>
        <v/>
      </c>
    </row>
    <row r="764">
      <c r="A764" s="11" t="n"/>
      <c r="B764" s="12" t="n"/>
      <c r="C764" s="12" t="n"/>
      <c r="D764" s="12" t="n"/>
      <c r="E764" s="13" t="n"/>
      <c r="F764" s="12" t="n"/>
      <c r="G764" s="14" t="n"/>
      <c r="H764" s="15" t="n"/>
      <c r="I764" s="16">
        <f>IF(G764="","",G764*(1-N(H764)))</f>
        <v/>
      </c>
      <c r="J764" s="16">
        <f>IF(I764="","",E764*I764)</f>
        <v/>
      </c>
      <c r="K764">
        <f>IF(D764="","",IFERROR(VLOOKUP(D764,'Ürün Eşleştirme'!$A$6:$D$505,2,FALSE),D764))</f>
        <v/>
      </c>
      <c r="L764" s="17">
        <f>IF(D764="","",IFERROR(VLOOKUP(D764,'Ürün Eşleştirme'!$A$6:$D$505,4,FALSE),1))</f>
        <v/>
      </c>
      <c r="M764" s="16">
        <f>IF(I764="","",I764/L764)</f>
        <v/>
      </c>
      <c r="N764" s="16">
        <f>IF(M764="","",IFERROR(AVERAGEIFS($M$10:$M$1009,$K$10:$K$1009,K764,$A$10:$A$1009,"&lt;"&amp;A764,$A$10:$A$1009,"&gt;="&amp;(A764-$C$6)),""))</f>
        <v/>
      </c>
      <c r="O764" s="16">
        <f>IF(M764="","",_xlfn.MINIFS($M$10:$M$1009,$K$10:$K$1009,K764,$A$10:$A$1009,"&lt;="&amp;A764,$A$10:$A$1009,"&gt;="&amp;(A764-$C$6)))</f>
        <v/>
      </c>
      <c r="P764" s="18">
        <f>IF(OR(N764="",N764=0),"",M764/N764-1)</f>
        <v/>
      </c>
      <c r="Q764">
        <f>IF(D764="","",IF(COUNTIFS($B$10:$B$1009,B764,$C$10:$C$1009,C764,$D$10:$D$1009,D764,$E$10:$E$1009,E764)&gt;1,"MÜKERRER?",IF(P764="","",IF(P764&gt;=$C$5,"İNCELE",IF(P764&lt;=-$C$5,"Düşük",""))))</f>
        <v/>
      </c>
      <c r="R764" s="16">
        <f>IF(AND(P764&lt;&gt;"",N(P764)&gt;=$C$5,COUNTIFS($B$10:B764,B764,$C$10:C764,C764,$D$10:D764,D764,$E$10:E764,E764)=1),(M764-N764)*E764*L764,0)</f>
        <v/>
      </c>
      <c r="S764" s="19">
        <f>IF(D764="",0,N(E764)*L764)</f>
        <v/>
      </c>
    </row>
    <row r="765">
      <c r="A765" s="11" t="n"/>
      <c r="B765" s="12" t="n"/>
      <c r="C765" s="12" t="n"/>
      <c r="D765" s="12" t="n"/>
      <c r="E765" s="13" t="n"/>
      <c r="F765" s="12" t="n"/>
      <c r="G765" s="14" t="n"/>
      <c r="H765" s="15" t="n"/>
      <c r="I765" s="16">
        <f>IF(G765="","",G765*(1-N(H765)))</f>
        <v/>
      </c>
      <c r="J765" s="16">
        <f>IF(I765="","",E765*I765)</f>
        <v/>
      </c>
      <c r="K765">
        <f>IF(D765="","",IFERROR(VLOOKUP(D765,'Ürün Eşleştirme'!$A$6:$D$505,2,FALSE),D765))</f>
        <v/>
      </c>
      <c r="L765" s="17">
        <f>IF(D765="","",IFERROR(VLOOKUP(D765,'Ürün Eşleştirme'!$A$6:$D$505,4,FALSE),1))</f>
        <v/>
      </c>
      <c r="M765" s="16">
        <f>IF(I765="","",I765/L765)</f>
        <v/>
      </c>
      <c r="N765" s="16">
        <f>IF(M765="","",IFERROR(AVERAGEIFS($M$10:$M$1009,$K$10:$K$1009,K765,$A$10:$A$1009,"&lt;"&amp;A765,$A$10:$A$1009,"&gt;="&amp;(A765-$C$6)),""))</f>
        <v/>
      </c>
      <c r="O765" s="16">
        <f>IF(M765="","",_xlfn.MINIFS($M$10:$M$1009,$K$10:$K$1009,K765,$A$10:$A$1009,"&lt;="&amp;A765,$A$10:$A$1009,"&gt;="&amp;(A765-$C$6)))</f>
        <v/>
      </c>
      <c r="P765" s="18">
        <f>IF(OR(N765="",N765=0),"",M765/N765-1)</f>
        <v/>
      </c>
      <c r="Q765">
        <f>IF(D765="","",IF(COUNTIFS($B$10:$B$1009,B765,$C$10:$C$1009,C765,$D$10:$D$1009,D765,$E$10:$E$1009,E765)&gt;1,"MÜKERRER?",IF(P765="","",IF(P765&gt;=$C$5,"İNCELE",IF(P765&lt;=-$C$5,"Düşük",""))))</f>
        <v/>
      </c>
      <c r="R765" s="16">
        <f>IF(AND(P765&lt;&gt;"",N(P765)&gt;=$C$5,COUNTIFS($B$10:B765,B765,$C$10:C765,C765,$D$10:D765,D765,$E$10:E765,E765)=1),(M765-N765)*E765*L765,0)</f>
        <v/>
      </c>
      <c r="S765" s="19">
        <f>IF(D765="",0,N(E765)*L765)</f>
        <v/>
      </c>
    </row>
    <row r="766">
      <c r="A766" s="11" t="n"/>
      <c r="B766" s="12" t="n"/>
      <c r="C766" s="12" t="n"/>
      <c r="D766" s="12" t="n"/>
      <c r="E766" s="13" t="n"/>
      <c r="F766" s="12" t="n"/>
      <c r="G766" s="14" t="n"/>
      <c r="H766" s="15" t="n"/>
      <c r="I766" s="16">
        <f>IF(G766="","",G766*(1-N(H766)))</f>
        <v/>
      </c>
      <c r="J766" s="16">
        <f>IF(I766="","",E766*I766)</f>
        <v/>
      </c>
      <c r="K766">
        <f>IF(D766="","",IFERROR(VLOOKUP(D766,'Ürün Eşleştirme'!$A$6:$D$505,2,FALSE),D766))</f>
        <v/>
      </c>
      <c r="L766" s="17">
        <f>IF(D766="","",IFERROR(VLOOKUP(D766,'Ürün Eşleştirme'!$A$6:$D$505,4,FALSE),1))</f>
        <v/>
      </c>
      <c r="M766" s="16">
        <f>IF(I766="","",I766/L766)</f>
        <v/>
      </c>
      <c r="N766" s="16">
        <f>IF(M766="","",IFERROR(AVERAGEIFS($M$10:$M$1009,$K$10:$K$1009,K766,$A$10:$A$1009,"&lt;"&amp;A766,$A$10:$A$1009,"&gt;="&amp;(A766-$C$6)),""))</f>
        <v/>
      </c>
      <c r="O766" s="16">
        <f>IF(M766="","",_xlfn.MINIFS($M$10:$M$1009,$K$10:$K$1009,K766,$A$10:$A$1009,"&lt;="&amp;A766,$A$10:$A$1009,"&gt;="&amp;(A766-$C$6)))</f>
        <v/>
      </c>
      <c r="P766" s="18">
        <f>IF(OR(N766="",N766=0),"",M766/N766-1)</f>
        <v/>
      </c>
      <c r="Q766">
        <f>IF(D766="","",IF(COUNTIFS($B$10:$B$1009,B766,$C$10:$C$1009,C766,$D$10:$D$1009,D766,$E$10:$E$1009,E766)&gt;1,"MÜKERRER?",IF(P766="","",IF(P766&gt;=$C$5,"İNCELE",IF(P766&lt;=-$C$5,"Düşük",""))))</f>
        <v/>
      </c>
      <c r="R766" s="16">
        <f>IF(AND(P766&lt;&gt;"",N(P766)&gt;=$C$5,COUNTIFS($B$10:B766,B766,$C$10:C766,C766,$D$10:D766,D766,$E$10:E766,E766)=1),(M766-N766)*E766*L766,0)</f>
        <v/>
      </c>
      <c r="S766" s="19">
        <f>IF(D766="",0,N(E766)*L766)</f>
        <v/>
      </c>
    </row>
    <row r="767">
      <c r="A767" s="11" t="n"/>
      <c r="B767" s="12" t="n"/>
      <c r="C767" s="12" t="n"/>
      <c r="D767" s="12" t="n"/>
      <c r="E767" s="13" t="n"/>
      <c r="F767" s="12" t="n"/>
      <c r="G767" s="14" t="n"/>
      <c r="H767" s="15" t="n"/>
      <c r="I767" s="16">
        <f>IF(G767="","",G767*(1-N(H767)))</f>
        <v/>
      </c>
      <c r="J767" s="16">
        <f>IF(I767="","",E767*I767)</f>
        <v/>
      </c>
      <c r="K767">
        <f>IF(D767="","",IFERROR(VLOOKUP(D767,'Ürün Eşleştirme'!$A$6:$D$505,2,FALSE),D767))</f>
        <v/>
      </c>
      <c r="L767" s="17">
        <f>IF(D767="","",IFERROR(VLOOKUP(D767,'Ürün Eşleştirme'!$A$6:$D$505,4,FALSE),1))</f>
        <v/>
      </c>
      <c r="M767" s="16">
        <f>IF(I767="","",I767/L767)</f>
        <v/>
      </c>
      <c r="N767" s="16">
        <f>IF(M767="","",IFERROR(AVERAGEIFS($M$10:$M$1009,$K$10:$K$1009,K767,$A$10:$A$1009,"&lt;"&amp;A767,$A$10:$A$1009,"&gt;="&amp;(A767-$C$6)),""))</f>
        <v/>
      </c>
      <c r="O767" s="16">
        <f>IF(M767="","",_xlfn.MINIFS($M$10:$M$1009,$K$10:$K$1009,K767,$A$10:$A$1009,"&lt;="&amp;A767,$A$10:$A$1009,"&gt;="&amp;(A767-$C$6)))</f>
        <v/>
      </c>
      <c r="P767" s="18">
        <f>IF(OR(N767="",N767=0),"",M767/N767-1)</f>
        <v/>
      </c>
      <c r="Q767">
        <f>IF(D767="","",IF(COUNTIFS($B$10:$B$1009,B767,$C$10:$C$1009,C767,$D$10:$D$1009,D767,$E$10:$E$1009,E767)&gt;1,"MÜKERRER?",IF(P767="","",IF(P767&gt;=$C$5,"İNCELE",IF(P767&lt;=-$C$5,"Düşük",""))))</f>
        <v/>
      </c>
      <c r="R767" s="16">
        <f>IF(AND(P767&lt;&gt;"",N(P767)&gt;=$C$5,COUNTIFS($B$10:B767,B767,$C$10:C767,C767,$D$10:D767,D767,$E$10:E767,E767)=1),(M767-N767)*E767*L767,0)</f>
        <v/>
      </c>
      <c r="S767" s="19">
        <f>IF(D767="",0,N(E767)*L767)</f>
        <v/>
      </c>
    </row>
    <row r="768">
      <c r="A768" s="11" t="n"/>
      <c r="B768" s="12" t="n"/>
      <c r="C768" s="12" t="n"/>
      <c r="D768" s="12" t="n"/>
      <c r="E768" s="13" t="n"/>
      <c r="F768" s="12" t="n"/>
      <c r="G768" s="14" t="n"/>
      <c r="H768" s="15" t="n"/>
      <c r="I768" s="16">
        <f>IF(G768="","",G768*(1-N(H768)))</f>
        <v/>
      </c>
      <c r="J768" s="16">
        <f>IF(I768="","",E768*I768)</f>
        <v/>
      </c>
      <c r="K768">
        <f>IF(D768="","",IFERROR(VLOOKUP(D768,'Ürün Eşleştirme'!$A$6:$D$505,2,FALSE),D768))</f>
        <v/>
      </c>
      <c r="L768" s="17">
        <f>IF(D768="","",IFERROR(VLOOKUP(D768,'Ürün Eşleştirme'!$A$6:$D$505,4,FALSE),1))</f>
        <v/>
      </c>
      <c r="M768" s="16">
        <f>IF(I768="","",I768/L768)</f>
        <v/>
      </c>
      <c r="N768" s="16">
        <f>IF(M768="","",IFERROR(AVERAGEIFS($M$10:$M$1009,$K$10:$K$1009,K768,$A$10:$A$1009,"&lt;"&amp;A768,$A$10:$A$1009,"&gt;="&amp;(A768-$C$6)),""))</f>
        <v/>
      </c>
      <c r="O768" s="16">
        <f>IF(M768="","",_xlfn.MINIFS($M$10:$M$1009,$K$10:$K$1009,K768,$A$10:$A$1009,"&lt;="&amp;A768,$A$10:$A$1009,"&gt;="&amp;(A768-$C$6)))</f>
        <v/>
      </c>
      <c r="P768" s="18">
        <f>IF(OR(N768="",N768=0),"",M768/N768-1)</f>
        <v/>
      </c>
      <c r="Q768">
        <f>IF(D768="","",IF(COUNTIFS($B$10:$B$1009,B768,$C$10:$C$1009,C768,$D$10:$D$1009,D768,$E$10:$E$1009,E768)&gt;1,"MÜKERRER?",IF(P768="","",IF(P768&gt;=$C$5,"İNCELE",IF(P768&lt;=-$C$5,"Düşük",""))))</f>
        <v/>
      </c>
      <c r="R768" s="16">
        <f>IF(AND(P768&lt;&gt;"",N(P768)&gt;=$C$5,COUNTIFS($B$10:B768,B768,$C$10:C768,C768,$D$10:D768,D768,$E$10:E768,E768)=1),(M768-N768)*E768*L768,0)</f>
        <v/>
      </c>
      <c r="S768" s="19">
        <f>IF(D768="",0,N(E768)*L768)</f>
        <v/>
      </c>
    </row>
    <row r="769">
      <c r="A769" s="11" t="n"/>
      <c r="B769" s="12" t="n"/>
      <c r="C769" s="12" t="n"/>
      <c r="D769" s="12" t="n"/>
      <c r="E769" s="13" t="n"/>
      <c r="F769" s="12" t="n"/>
      <c r="G769" s="14" t="n"/>
      <c r="H769" s="15" t="n"/>
      <c r="I769" s="16">
        <f>IF(G769="","",G769*(1-N(H769)))</f>
        <v/>
      </c>
      <c r="J769" s="16">
        <f>IF(I769="","",E769*I769)</f>
        <v/>
      </c>
      <c r="K769">
        <f>IF(D769="","",IFERROR(VLOOKUP(D769,'Ürün Eşleştirme'!$A$6:$D$505,2,FALSE),D769))</f>
        <v/>
      </c>
      <c r="L769" s="17">
        <f>IF(D769="","",IFERROR(VLOOKUP(D769,'Ürün Eşleştirme'!$A$6:$D$505,4,FALSE),1))</f>
        <v/>
      </c>
      <c r="M769" s="16">
        <f>IF(I769="","",I769/L769)</f>
        <v/>
      </c>
      <c r="N769" s="16">
        <f>IF(M769="","",IFERROR(AVERAGEIFS($M$10:$M$1009,$K$10:$K$1009,K769,$A$10:$A$1009,"&lt;"&amp;A769,$A$10:$A$1009,"&gt;="&amp;(A769-$C$6)),""))</f>
        <v/>
      </c>
      <c r="O769" s="16">
        <f>IF(M769="","",_xlfn.MINIFS($M$10:$M$1009,$K$10:$K$1009,K769,$A$10:$A$1009,"&lt;="&amp;A769,$A$10:$A$1009,"&gt;="&amp;(A769-$C$6)))</f>
        <v/>
      </c>
      <c r="P769" s="18">
        <f>IF(OR(N769="",N769=0),"",M769/N769-1)</f>
        <v/>
      </c>
      <c r="Q769">
        <f>IF(D769="","",IF(COUNTIFS($B$10:$B$1009,B769,$C$10:$C$1009,C769,$D$10:$D$1009,D769,$E$10:$E$1009,E769)&gt;1,"MÜKERRER?",IF(P769="","",IF(P769&gt;=$C$5,"İNCELE",IF(P769&lt;=-$C$5,"Düşük",""))))</f>
        <v/>
      </c>
      <c r="R769" s="16">
        <f>IF(AND(P769&lt;&gt;"",N(P769)&gt;=$C$5,COUNTIFS($B$10:B769,B769,$C$10:C769,C769,$D$10:D769,D769,$E$10:E769,E769)=1),(M769-N769)*E769*L769,0)</f>
        <v/>
      </c>
      <c r="S769" s="19">
        <f>IF(D769="",0,N(E769)*L769)</f>
        <v/>
      </c>
    </row>
    <row r="770">
      <c r="A770" s="11" t="n"/>
      <c r="B770" s="12" t="n"/>
      <c r="C770" s="12" t="n"/>
      <c r="D770" s="12" t="n"/>
      <c r="E770" s="13" t="n"/>
      <c r="F770" s="12" t="n"/>
      <c r="G770" s="14" t="n"/>
      <c r="H770" s="15" t="n"/>
      <c r="I770" s="16">
        <f>IF(G770="","",G770*(1-N(H770)))</f>
        <v/>
      </c>
      <c r="J770" s="16">
        <f>IF(I770="","",E770*I770)</f>
        <v/>
      </c>
      <c r="K770">
        <f>IF(D770="","",IFERROR(VLOOKUP(D770,'Ürün Eşleştirme'!$A$6:$D$505,2,FALSE),D770))</f>
        <v/>
      </c>
      <c r="L770" s="17">
        <f>IF(D770="","",IFERROR(VLOOKUP(D770,'Ürün Eşleştirme'!$A$6:$D$505,4,FALSE),1))</f>
        <v/>
      </c>
      <c r="M770" s="16">
        <f>IF(I770="","",I770/L770)</f>
        <v/>
      </c>
      <c r="N770" s="16">
        <f>IF(M770="","",IFERROR(AVERAGEIFS($M$10:$M$1009,$K$10:$K$1009,K770,$A$10:$A$1009,"&lt;"&amp;A770,$A$10:$A$1009,"&gt;="&amp;(A770-$C$6)),""))</f>
        <v/>
      </c>
      <c r="O770" s="16">
        <f>IF(M770="","",_xlfn.MINIFS($M$10:$M$1009,$K$10:$K$1009,K770,$A$10:$A$1009,"&lt;="&amp;A770,$A$10:$A$1009,"&gt;="&amp;(A770-$C$6)))</f>
        <v/>
      </c>
      <c r="P770" s="18">
        <f>IF(OR(N770="",N770=0),"",M770/N770-1)</f>
        <v/>
      </c>
      <c r="Q770">
        <f>IF(D770="","",IF(COUNTIFS($B$10:$B$1009,B770,$C$10:$C$1009,C770,$D$10:$D$1009,D770,$E$10:$E$1009,E770)&gt;1,"MÜKERRER?",IF(P770="","",IF(P770&gt;=$C$5,"İNCELE",IF(P770&lt;=-$C$5,"Düşük",""))))</f>
        <v/>
      </c>
      <c r="R770" s="16">
        <f>IF(AND(P770&lt;&gt;"",N(P770)&gt;=$C$5,COUNTIFS($B$10:B770,B770,$C$10:C770,C770,$D$10:D770,D770,$E$10:E770,E770)=1),(M770-N770)*E770*L770,0)</f>
        <v/>
      </c>
      <c r="S770" s="19">
        <f>IF(D770="",0,N(E770)*L770)</f>
        <v/>
      </c>
    </row>
    <row r="771">
      <c r="A771" s="11" t="n"/>
      <c r="B771" s="12" t="n"/>
      <c r="C771" s="12" t="n"/>
      <c r="D771" s="12" t="n"/>
      <c r="E771" s="13" t="n"/>
      <c r="F771" s="12" t="n"/>
      <c r="G771" s="14" t="n"/>
      <c r="H771" s="15" t="n"/>
      <c r="I771" s="16">
        <f>IF(G771="","",G771*(1-N(H771)))</f>
        <v/>
      </c>
      <c r="J771" s="16">
        <f>IF(I771="","",E771*I771)</f>
        <v/>
      </c>
      <c r="K771">
        <f>IF(D771="","",IFERROR(VLOOKUP(D771,'Ürün Eşleştirme'!$A$6:$D$505,2,FALSE),D771))</f>
        <v/>
      </c>
      <c r="L771" s="17">
        <f>IF(D771="","",IFERROR(VLOOKUP(D771,'Ürün Eşleştirme'!$A$6:$D$505,4,FALSE),1))</f>
        <v/>
      </c>
      <c r="M771" s="16">
        <f>IF(I771="","",I771/L771)</f>
        <v/>
      </c>
      <c r="N771" s="16">
        <f>IF(M771="","",IFERROR(AVERAGEIFS($M$10:$M$1009,$K$10:$K$1009,K771,$A$10:$A$1009,"&lt;"&amp;A771,$A$10:$A$1009,"&gt;="&amp;(A771-$C$6)),""))</f>
        <v/>
      </c>
      <c r="O771" s="16">
        <f>IF(M771="","",_xlfn.MINIFS($M$10:$M$1009,$K$10:$K$1009,K771,$A$10:$A$1009,"&lt;="&amp;A771,$A$10:$A$1009,"&gt;="&amp;(A771-$C$6)))</f>
        <v/>
      </c>
      <c r="P771" s="18">
        <f>IF(OR(N771="",N771=0),"",M771/N771-1)</f>
        <v/>
      </c>
      <c r="Q771">
        <f>IF(D771="","",IF(COUNTIFS($B$10:$B$1009,B771,$C$10:$C$1009,C771,$D$10:$D$1009,D771,$E$10:$E$1009,E771)&gt;1,"MÜKERRER?",IF(P771="","",IF(P771&gt;=$C$5,"İNCELE",IF(P771&lt;=-$C$5,"Düşük",""))))</f>
        <v/>
      </c>
      <c r="R771" s="16">
        <f>IF(AND(P771&lt;&gt;"",N(P771)&gt;=$C$5,COUNTIFS($B$10:B771,B771,$C$10:C771,C771,$D$10:D771,D771,$E$10:E771,E771)=1),(M771-N771)*E771*L771,0)</f>
        <v/>
      </c>
      <c r="S771" s="19">
        <f>IF(D771="",0,N(E771)*L771)</f>
        <v/>
      </c>
    </row>
    <row r="772">
      <c r="A772" s="11" t="n"/>
      <c r="B772" s="12" t="n"/>
      <c r="C772" s="12" t="n"/>
      <c r="D772" s="12" t="n"/>
      <c r="E772" s="13" t="n"/>
      <c r="F772" s="12" t="n"/>
      <c r="G772" s="14" t="n"/>
      <c r="H772" s="15" t="n"/>
      <c r="I772" s="16">
        <f>IF(G772="","",G772*(1-N(H772)))</f>
        <v/>
      </c>
      <c r="J772" s="16">
        <f>IF(I772="","",E772*I772)</f>
        <v/>
      </c>
      <c r="K772">
        <f>IF(D772="","",IFERROR(VLOOKUP(D772,'Ürün Eşleştirme'!$A$6:$D$505,2,FALSE),D772))</f>
        <v/>
      </c>
      <c r="L772" s="17">
        <f>IF(D772="","",IFERROR(VLOOKUP(D772,'Ürün Eşleştirme'!$A$6:$D$505,4,FALSE),1))</f>
        <v/>
      </c>
      <c r="M772" s="16">
        <f>IF(I772="","",I772/L772)</f>
        <v/>
      </c>
      <c r="N772" s="16">
        <f>IF(M772="","",IFERROR(AVERAGEIFS($M$10:$M$1009,$K$10:$K$1009,K772,$A$10:$A$1009,"&lt;"&amp;A772,$A$10:$A$1009,"&gt;="&amp;(A772-$C$6)),""))</f>
        <v/>
      </c>
      <c r="O772" s="16">
        <f>IF(M772="","",_xlfn.MINIFS($M$10:$M$1009,$K$10:$K$1009,K772,$A$10:$A$1009,"&lt;="&amp;A772,$A$10:$A$1009,"&gt;="&amp;(A772-$C$6)))</f>
        <v/>
      </c>
      <c r="P772" s="18">
        <f>IF(OR(N772="",N772=0),"",M772/N772-1)</f>
        <v/>
      </c>
      <c r="Q772">
        <f>IF(D772="","",IF(COUNTIFS($B$10:$B$1009,B772,$C$10:$C$1009,C772,$D$10:$D$1009,D772,$E$10:$E$1009,E772)&gt;1,"MÜKERRER?",IF(P772="","",IF(P772&gt;=$C$5,"İNCELE",IF(P772&lt;=-$C$5,"Düşük",""))))</f>
        <v/>
      </c>
      <c r="R772" s="16">
        <f>IF(AND(P772&lt;&gt;"",N(P772)&gt;=$C$5,COUNTIFS($B$10:B772,B772,$C$10:C772,C772,$D$10:D772,D772,$E$10:E772,E772)=1),(M772-N772)*E772*L772,0)</f>
        <v/>
      </c>
      <c r="S772" s="19">
        <f>IF(D772="",0,N(E772)*L772)</f>
        <v/>
      </c>
    </row>
    <row r="773">
      <c r="A773" s="11" t="n"/>
      <c r="B773" s="12" t="n"/>
      <c r="C773" s="12" t="n"/>
      <c r="D773" s="12" t="n"/>
      <c r="E773" s="13" t="n"/>
      <c r="F773" s="12" t="n"/>
      <c r="G773" s="14" t="n"/>
      <c r="H773" s="15" t="n"/>
      <c r="I773" s="16">
        <f>IF(G773="","",G773*(1-N(H773)))</f>
        <v/>
      </c>
      <c r="J773" s="16">
        <f>IF(I773="","",E773*I773)</f>
        <v/>
      </c>
      <c r="K773">
        <f>IF(D773="","",IFERROR(VLOOKUP(D773,'Ürün Eşleştirme'!$A$6:$D$505,2,FALSE),D773))</f>
        <v/>
      </c>
      <c r="L773" s="17">
        <f>IF(D773="","",IFERROR(VLOOKUP(D773,'Ürün Eşleştirme'!$A$6:$D$505,4,FALSE),1))</f>
        <v/>
      </c>
      <c r="M773" s="16">
        <f>IF(I773="","",I773/L773)</f>
        <v/>
      </c>
      <c r="N773" s="16">
        <f>IF(M773="","",IFERROR(AVERAGEIFS($M$10:$M$1009,$K$10:$K$1009,K773,$A$10:$A$1009,"&lt;"&amp;A773,$A$10:$A$1009,"&gt;="&amp;(A773-$C$6)),""))</f>
        <v/>
      </c>
      <c r="O773" s="16">
        <f>IF(M773="","",_xlfn.MINIFS($M$10:$M$1009,$K$10:$K$1009,K773,$A$10:$A$1009,"&lt;="&amp;A773,$A$10:$A$1009,"&gt;="&amp;(A773-$C$6)))</f>
        <v/>
      </c>
      <c r="P773" s="18">
        <f>IF(OR(N773="",N773=0),"",M773/N773-1)</f>
        <v/>
      </c>
      <c r="Q773">
        <f>IF(D773="","",IF(COUNTIFS($B$10:$B$1009,B773,$C$10:$C$1009,C773,$D$10:$D$1009,D773,$E$10:$E$1009,E773)&gt;1,"MÜKERRER?",IF(P773="","",IF(P773&gt;=$C$5,"İNCELE",IF(P773&lt;=-$C$5,"Düşük",""))))</f>
        <v/>
      </c>
      <c r="R773" s="16">
        <f>IF(AND(P773&lt;&gt;"",N(P773)&gt;=$C$5,COUNTIFS($B$10:B773,B773,$C$10:C773,C773,$D$10:D773,D773,$E$10:E773,E773)=1),(M773-N773)*E773*L773,0)</f>
        <v/>
      </c>
      <c r="S773" s="19">
        <f>IF(D773="",0,N(E773)*L773)</f>
        <v/>
      </c>
    </row>
    <row r="774">
      <c r="A774" s="11" t="n"/>
      <c r="B774" s="12" t="n"/>
      <c r="C774" s="12" t="n"/>
      <c r="D774" s="12" t="n"/>
      <c r="E774" s="13" t="n"/>
      <c r="F774" s="12" t="n"/>
      <c r="G774" s="14" t="n"/>
      <c r="H774" s="15" t="n"/>
      <c r="I774" s="16">
        <f>IF(G774="","",G774*(1-N(H774)))</f>
        <v/>
      </c>
      <c r="J774" s="16">
        <f>IF(I774="","",E774*I774)</f>
        <v/>
      </c>
      <c r="K774">
        <f>IF(D774="","",IFERROR(VLOOKUP(D774,'Ürün Eşleştirme'!$A$6:$D$505,2,FALSE),D774))</f>
        <v/>
      </c>
      <c r="L774" s="17">
        <f>IF(D774="","",IFERROR(VLOOKUP(D774,'Ürün Eşleştirme'!$A$6:$D$505,4,FALSE),1))</f>
        <v/>
      </c>
      <c r="M774" s="16">
        <f>IF(I774="","",I774/L774)</f>
        <v/>
      </c>
      <c r="N774" s="16">
        <f>IF(M774="","",IFERROR(AVERAGEIFS($M$10:$M$1009,$K$10:$K$1009,K774,$A$10:$A$1009,"&lt;"&amp;A774,$A$10:$A$1009,"&gt;="&amp;(A774-$C$6)),""))</f>
        <v/>
      </c>
      <c r="O774" s="16">
        <f>IF(M774="","",_xlfn.MINIFS($M$10:$M$1009,$K$10:$K$1009,K774,$A$10:$A$1009,"&lt;="&amp;A774,$A$10:$A$1009,"&gt;="&amp;(A774-$C$6)))</f>
        <v/>
      </c>
      <c r="P774" s="18">
        <f>IF(OR(N774="",N774=0),"",M774/N774-1)</f>
        <v/>
      </c>
      <c r="Q774">
        <f>IF(D774="","",IF(COUNTIFS($B$10:$B$1009,B774,$C$10:$C$1009,C774,$D$10:$D$1009,D774,$E$10:$E$1009,E774)&gt;1,"MÜKERRER?",IF(P774="","",IF(P774&gt;=$C$5,"İNCELE",IF(P774&lt;=-$C$5,"Düşük",""))))</f>
        <v/>
      </c>
      <c r="R774" s="16">
        <f>IF(AND(P774&lt;&gt;"",N(P774)&gt;=$C$5,COUNTIFS($B$10:B774,B774,$C$10:C774,C774,$D$10:D774,D774,$E$10:E774,E774)=1),(M774-N774)*E774*L774,0)</f>
        <v/>
      </c>
      <c r="S774" s="19">
        <f>IF(D774="",0,N(E774)*L774)</f>
        <v/>
      </c>
    </row>
    <row r="775">
      <c r="A775" s="11" t="n"/>
      <c r="B775" s="12" t="n"/>
      <c r="C775" s="12" t="n"/>
      <c r="D775" s="12" t="n"/>
      <c r="E775" s="13" t="n"/>
      <c r="F775" s="12" t="n"/>
      <c r="G775" s="14" t="n"/>
      <c r="H775" s="15" t="n"/>
      <c r="I775" s="16">
        <f>IF(G775="","",G775*(1-N(H775)))</f>
        <v/>
      </c>
      <c r="J775" s="16">
        <f>IF(I775="","",E775*I775)</f>
        <v/>
      </c>
      <c r="K775">
        <f>IF(D775="","",IFERROR(VLOOKUP(D775,'Ürün Eşleştirme'!$A$6:$D$505,2,FALSE),D775))</f>
        <v/>
      </c>
      <c r="L775" s="17">
        <f>IF(D775="","",IFERROR(VLOOKUP(D775,'Ürün Eşleştirme'!$A$6:$D$505,4,FALSE),1))</f>
        <v/>
      </c>
      <c r="M775" s="16">
        <f>IF(I775="","",I775/L775)</f>
        <v/>
      </c>
      <c r="N775" s="16">
        <f>IF(M775="","",IFERROR(AVERAGEIFS($M$10:$M$1009,$K$10:$K$1009,K775,$A$10:$A$1009,"&lt;"&amp;A775,$A$10:$A$1009,"&gt;="&amp;(A775-$C$6)),""))</f>
        <v/>
      </c>
      <c r="O775" s="16">
        <f>IF(M775="","",_xlfn.MINIFS($M$10:$M$1009,$K$10:$K$1009,K775,$A$10:$A$1009,"&lt;="&amp;A775,$A$10:$A$1009,"&gt;="&amp;(A775-$C$6)))</f>
        <v/>
      </c>
      <c r="P775" s="18">
        <f>IF(OR(N775="",N775=0),"",M775/N775-1)</f>
        <v/>
      </c>
      <c r="Q775">
        <f>IF(D775="","",IF(COUNTIFS($B$10:$B$1009,B775,$C$10:$C$1009,C775,$D$10:$D$1009,D775,$E$10:$E$1009,E775)&gt;1,"MÜKERRER?",IF(P775="","",IF(P775&gt;=$C$5,"İNCELE",IF(P775&lt;=-$C$5,"Düşük",""))))</f>
        <v/>
      </c>
      <c r="R775" s="16">
        <f>IF(AND(P775&lt;&gt;"",N(P775)&gt;=$C$5,COUNTIFS($B$10:B775,B775,$C$10:C775,C775,$D$10:D775,D775,$E$10:E775,E775)=1),(M775-N775)*E775*L775,0)</f>
        <v/>
      </c>
      <c r="S775" s="19">
        <f>IF(D775="",0,N(E775)*L775)</f>
        <v/>
      </c>
    </row>
    <row r="776">
      <c r="A776" s="11" t="n"/>
      <c r="B776" s="12" t="n"/>
      <c r="C776" s="12" t="n"/>
      <c r="D776" s="12" t="n"/>
      <c r="E776" s="13" t="n"/>
      <c r="F776" s="12" t="n"/>
      <c r="G776" s="14" t="n"/>
      <c r="H776" s="15" t="n"/>
      <c r="I776" s="16">
        <f>IF(G776="","",G776*(1-N(H776)))</f>
        <v/>
      </c>
      <c r="J776" s="16">
        <f>IF(I776="","",E776*I776)</f>
        <v/>
      </c>
      <c r="K776">
        <f>IF(D776="","",IFERROR(VLOOKUP(D776,'Ürün Eşleştirme'!$A$6:$D$505,2,FALSE),D776))</f>
        <v/>
      </c>
      <c r="L776" s="17">
        <f>IF(D776="","",IFERROR(VLOOKUP(D776,'Ürün Eşleştirme'!$A$6:$D$505,4,FALSE),1))</f>
        <v/>
      </c>
      <c r="M776" s="16">
        <f>IF(I776="","",I776/L776)</f>
        <v/>
      </c>
      <c r="N776" s="16">
        <f>IF(M776="","",IFERROR(AVERAGEIFS($M$10:$M$1009,$K$10:$K$1009,K776,$A$10:$A$1009,"&lt;"&amp;A776,$A$10:$A$1009,"&gt;="&amp;(A776-$C$6)),""))</f>
        <v/>
      </c>
      <c r="O776" s="16">
        <f>IF(M776="","",_xlfn.MINIFS($M$10:$M$1009,$K$10:$K$1009,K776,$A$10:$A$1009,"&lt;="&amp;A776,$A$10:$A$1009,"&gt;="&amp;(A776-$C$6)))</f>
        <v/>
      </c>
      <c r="P776" s="18">
        <f>IF(OR(N776="",N776=0),"",M776/N776-1)</f>
        <v/>
      </c>
      <c r="Q776">
        <f>IF(D776="","",IF(COUNTIFS($B$10:$B$1009,B776,$C$10:$C$1009,C776,$D$10:$D$1009,D776,$E$10:$E$1009,E776)&gt;1,"MÜKERRER?",IF(P776="","",IF(P776&gt;=$C$5,"İNCELE",IF(P776&lt;=-$C$5,"Düşük",""))))</f>
        <v/>
      </c>
      <c r="R776" s="16">
        <f>IF(AND(P776&lt;&gt;"",N(P776)&gt;=$C$5,COUNTIFS($B$10:B776,B776,$C$10:C776,C776,$D$10:D776,D776,$E$10:E776,E776)=1),(M776-N776)*E776*L776,0)</f>
        <v/>
      </c>
      <c r="S776" s="19">
        <f>IF(D776="",0,N(E776)*L776)</f>
        <v/>
      </c>
    </row>
    <row r="777">
      <c r="A777" s="11" t="n"/>
      <c r="B777" s="12" t="n"/>
      <c r="C777" s="12" t="n"/>
      <c r="D777" s="12" t="n"/>
      <c r="E777" s="13" t="n"/>
      <c r="F777" s="12" t="n"/>
      <c r="G777" s="14" t="n"/>
      <c r="H777" s="15" t="n"/>
      <c r="I777" s="16">
        <f>IF(G777="","",G777*(1-N(H777)))</f>
        <v/>
      </c>
      <c r="J777" s="16">
        <f>IF(I777="","",E777*I777)</f>
        <v/>
      </c>
      <c r="K777">
        <f>IF(D777="","",IFERROR(VLOOKUP(D777,'Ürün Eşleştirme'!$A$6:$D$505,2,FALSE),D777))</f>
        <v/>
      </c>
      <c r="L777" s="17">
        <f>IF(D777="","",IFERROR(VLOOKUP(D777,'Ürün Eşleştirme'!$A$6:$D$505,4,FALSE),1))</f>
        <v/>
      </c>
      <c r="M777" s="16">
        <f>IF(I777="","",I777/L777)</f>
        <v/>
      </c>
      <c r="N777" s="16">
        <f>IF(M777="","",IFERROR(AVERAGEIFS($M$10:$M$1009,$K$10:$K$1009,K777,$A$10:$A$1009,"&lt;"&amp;A777,$A$10:$A$1009,"&gt;="&amp;(A777-$C$6)),""))</f>
        <v/>
      </c>
      <c r="O777" s="16">
        <f>IF(M777="","",_xlfn.MINIFS($M$10:$M$1009,$K$10:$K$1009,K777,$A$10:$A$1009,"&lt;="&amp;A777,$A$10:$A$1009,"&gt;="&amp;(A777-$C$6)))</f>
        <v/>
      </c>
      <c r="P777" s="18">
        <f>IF(OR(N777="",N777=0),"",M777/N777-1)</f>
        <v/>
      </c>
      <c r="Q777">
        <f>IF(D777="","",IF(COUNTIFS($B$10:$B$1009,B777,$C$10:$C$1009,C777,$D$10:$D$1009,D777,$E$10:$E$1009,E777)&gt;1,"MÜKERRER?",IF(P777="","",IF(P777&gt;=$C$5,"İNCELE",IF(P777&lt;=-$C$5,"Düşük",""))))</f>
        <v/>
      </c>
      <c r="R777" s="16">
        <f>IF(AND(P777&lt;&gt;"",N(P777)&gt;=$C$5,COUNTIFS($B$10:B777,B777,$C$10:C777,C777,$D$10:D777,D777,$E$10:E777,E777)=1),(M777-N777)*E777*L777,0)</f>
        <v/>
      </c>
      <c r="S777" s="19">
        <f>IF(D777="",0,N(E777)*L777)</f>
        <v/>
      </c>
    </row>
    <row r="778">
      <c r="A778" s="11" t="n"/>
      <c r="B778" s="12" t="n"/>
      <c r="C778" s="12" t="n"/>
      <c r="D778" s="12" t="n"/>
      <c r="E778" s="13" t="n"/>
      <c r="F778" s="12" t="n"/>
      <c r="G778" s="14" t="n"/>
      <c r="H778" s="15" t="n"/>
      <c r="I778" s="16">
        <f>IF(G778="","",G778*(1-N(H778)))</f>
        <v/>
      </c>
      <c r="J778" s="16">
        <f>IF(I778="","",E778*I778)</f>
        <v/>
      </c>
      <c r="K778">
        <f>IF(D778="","",IFERROR(VLOOKUP(D778,'Ürün Eşleştirme'!$A$6:$D$505,2,FALSE),D778))</f>
        <v/>
      </c>
      <c r="L778" s="17">
        <f>IF(D778="","",IFERROR(VLOOKUP(D778,'Ürün Eşleştirme'!$A$6:$D$505,4,FALSE),1))</f>
        <v/>
      </c>
      <c r="M778" s="16">
        <f>IF(I778="","",I778/L778)</f>
        <v/>
      </c>
      <c r="N778" s="16">
        <f>IF(M778="","",IFERROR(AVERAGEIFS($M$10:$M$1009,$K$10:$K$1009,K778,$A$10:$A$1009,"&lt;"&amp;A778,$A$10:$A$1009,"&gt;="&amp;(A778-$C$6)),""))</f>
        <v/>
      </c>
      <c r="O778" s="16">
        <f>IF(M778="","",_xlfn.MINIFS($M$10:$M$1009,$K$10:$K$1009,K778,$A$10:$A$1009,"&lt;="&amp;A778,$A$10:$A$1009,"&gt;="&amp;(A778-$C$6)))</f>
        <v/>
      </c>
      <c r="P778" s="18">
        <f>IF(OR(N778="",N778=0),"",M778/N778-1)</f>
        <v/>
      </c>
      <c r="Q778">
        <f>IF(D778="","",IF(COUNTIFS($B$10:$B$1009,B778,$C$10:$C$1009,C778,$D$10:$D$1009,D778,$E$10:$E$1009,E778)&gt;1,"MÜKERRER?",IF(P778="","",IF(P778&gt;=$C$5,"İNCELE",IF(P778&lt;=-$C$5,"Düşük",""))))</f>
        <v/>
      </c>
      <c r="R778" s="16">
        <f>IF(AND(P778&lt;&gt;"",N(P778)&gt;=$C$5,COUNTIFS($B$10:B778,B778,$C$10:C778,C778,$D$10:D778,D778,$E$10:E778,E778)=1),(M778-N778)*E778*L778,0)</f>
        <v/>
      </c>
      <c r="S778" s="19">
        <f>IF(D778="",0,N(E778)*L778)</f>
        <v/>
      </c>
    </row>
    <row r="779">
      <c r="A779" s="11" t="n"/>
      <c r="B779" s="12" t="n"/>
      <c r="C779" s="12" t="n"/>
      <c r="D779" s="12" t="n"/>
      <c r="E779" s="13" t="n"/>
      <c r="F779" s="12" t="n"/>
      <c r="G779" s="14" t="n"/>
      <c r="H779" s="15" t="n"/>
      <c r="I779" s="16">
        <f>IF(G779="","",G779*(1-N(H779)))</f>
        <v/>
      </c>
      <c r="J779" s="16">
        <f>IF(I779="","",E779*I779)</f>
        <v/>
      </c>
      <c r="K779">
        <f>IF(D779="","",IFERROR(VLOOKUP(D779,'Ürün Eşleştirme'!$A$6:$D$505,2,FALSE),D779))</f>
        <v/>
      </c>
      <c r="L779" s="17">
        <f>IF(D779="","",IFERROR(VLOOKUP(D779,'Ürün Eşleştirme'!$A$6:$D$505,4,FALSE),1))</f>
        <v/>
      </c>
      <c r="M779" s="16">
        <f>IF(I779="","",I779/L779)</f>
        <v/>
      </c>
      <c r="N779" s="16">
        <f>IF(M779="","",IFERROR(AVERAGEIFS($M$10:$M$1009,$K$10:$K$1009,K779,$A$10:$A$1009,"&lt;"&amp;A779,$A$10:$A$1009,"&gt;="&amp;(A779-$C$6)),""))</f>
        <v/>
      </c>
      <c r="O779" s="16">
        <f>IF(M779="","",_xlfn.MINIFS($M$10:$M$1009,$K$10:$K$1009,K779,$A$10:$A$1009,"&lt;="&amp;A779,$A$10:$A$1009,"&gt;="&amp;(A779-$C$6)))</f>
        <v/>
      </c>
      <c r="P779" s="18">
        <f>IF(OR(N779="",N779=0),"",M779/N779-1)</f>
        <v/>
      </c>
      <c r="Q779">
        <f>IF(D779="","",IF(COUNTIFS($B$10:$B$1009,B779,$C$10:$C$1009,C779,$D$10:$D$1009,D779,$E$10:$E$1009,E779)&gt;1,"MÜKERRER?",IF(P779="","",IF(P779&gt;=$C$5,"İNCELE",IF(P779&lt;=-$C$5,"Düşük",""))))</f>
        <v/>
      </c>
      <c r="R779" s="16">
        <f>IF(AND(P779&lt;&gt;"",N(P779)&gt;=$C$5,COUNTIFS($B$10:B779,B779,$C$10:C779,C779,$D$10:D779,D779,$E$10:E779,E779)=1),(M779-N779)*E779*L779,0)</f>
        <v/>
      </c>
      <c r="S779" s="19">
        <f>IF(D779="",0,N(E779)*L779)</f>
        <v/>
      </c>
    </row>
    <row r="780">
      <c r="A780" s="11" t="n"/>
      <c r="B780" s="12" t="n"/>
      <c r="C780" s="12" t="n"/>
      <c r="D780" s="12" t="n"/>
      <c r="E780" s="13" t="n"/>
      <c r="F780" s="12" t="n"/>
      <c r="G780" s="14" t="n"/>
      <c r="H780" s="15" t="n"/>
      <c r="I780" s="16">
        <f>IF(G780="","",G780*(1-N(H780)))</f>
        <v/>
      </c>
      <c r="J780" s="16">
        <f>IF(I780="","",E780*I780)</f>
        <v/>
      </c>
      <c r="K780">
        <f>IF(D780="","",IFERROR(VLOOKUP(D780,'Ürün Eşleştirme'!$A$6:$D$505,2,FALSE),D780))</f>
        <v/>
      </c>
      <c r="L780" s="17">
        <f>IF(D780="","",IFERROR(VLOOKUP(D780,'Ürün Eşleştirme'!$A$6:$D$505,4,FALSE),1))</f>
        <v/>
      </c>
      <c r="M780" s="16">
        <f>IF(I780="","",I780/L780)</f>
        <v/>
      </c>
      <c r="N780" s="16">
        <f>IF(M780="","",IFERROR(AVERAGEIFS($M$10:$M$1009,$K$10:$K$1009,K780,$A$10:$A$1009,"&lt;"&amp;A780,$A$10:$A$1009,"&gt;="&amp;(A780-$C$6)),""))</f>
        <v/>
      </c>
      <c r="O780" s="16">
        <f>IF(M780="","",_xlfn.MINIFS($M$10:$M$1009,$K$10:$K$1009,K780,$A$10:$A$1009,"&lt;="&amp;A780,$A$10:$A$1009,"&gt;="&amp;(A780-$C$6)))</f>
        <v/>
      </c>
      <c r="P780" s="18">
        <f>IF(OR(N780="",N780=0),"",M780/N780-1)</f>
        <v/>
      </c>
      <c r="Q780">
        <f>IF(D780="","",IF(COUNTIFS($B$10:$B$1009,B780,$C$10:$C$1009,C780,$D$10:$D$1009,D780,$E$10:$E$1009,E780)&gt;1,"MÜKERRER?",IF(P780="","",IF(P780&gt;=$C$5,"İNCELE",IF(P780&lt;=-$C$5,"Düşük",""))))</f>
        <v/>
      </c>
      <c r="R780" s="16">
        <f>IF(AND(P780&lt;&gt;"",N(P780)&gt;=$C$5,COUNTIFS($B$10:B780,B780,$C$10:C780,C780,$D$10:D780,D780,$E$10:E780,E780)=1),(M780-N780)*E780*L780,0)</f>
        <v/>
      </c>
      <c r="S780" s="19">
        <f>IF(D780="",0,N(E780)*L780)</f>
        <v/>
      </c>
    </row>
    <row r="781">
      <c r="A781" s="11" t="n"/>
      <c r="B781" s="12" t="n"/>
      <c r="C781" s="12" t="n"/>
      <c r="D781" s="12" t="n"/>
      <c r="E781" s="13" t="n"/>
      <c r="F781" s="12" t="n"/>
      <c r="G781" s="14" t="n"/>
      <c r="H781" s="15" t="n"/>
      <c r="I781" s="16">
        <f>IF(G781="","",G781*(1-N(H781)))</f>
        <v/>
      </c>
      <c r="J781" s="16">
        <f>IF(I781="","",E781*I781)</f>
        <v/>
      </c>
      <c r="K781">
        <f>IF(D781="","",IFERROR(VLOOKUP(D781,'Ürün Eşleştirme'!$A$6:$D$505,2,FALSE),D781))</f>
        <v/>
      </c>
      <c r="L781" s="17">
        <f>IF(D781="","",IFERROR(VLOOKUP(D781,'Ürün Eşleştirme'!$A$6:$D$505,4,FALSE),1))</f>
        <v/>
      </c>
      <c r="M781" s="16">
        <f>IF(I781="","",I781/L781)</f>
        <v/>
      </c>
      <c r="N781" s="16">
        <f>IF(M781="","",IFERROR(AVERAGEIFS($M$10:$M$1009,$K$10:$K$1009,K781,$A$10:$A$1009,"&lt;"&amp;A781,$A$10:$A$1009,"&gt;="&amp;(A781-$C$6)),""))</f>
        <v/>
      </c>
      <c r="O781" s="16">
        <f>IF(M781="","",_xlfn.MINIFS($M$10:$M$1009,$K$10:$K$1009,K781,$A$10:$A$1009,"&lt;="&amp;A781,$A$10:$A$1009,"&gt;="&amp;(A781-$C$6)))</f>
        <v/>
      </c>
      <c r="P781" s="18">
        <f>IF(OR(N781="",N781=0),"",M781/N781-1)</f>
        <v/>
      </c>
      <c r="Q781">
        <f>IF(D781="","",IF(COUNTIFS($B$10:$B$1009,B781,$C$10:$C$1009,C781,$D$10:$D$1009,D781,$E$10:$E$1009,E781)&gt;1,"MÜKERRER?",IF(P781="","",IF(P781&gt;=$C$5,"İNCELE",IF(P781&lt;=-$C$5,"Düşük",""))))</f>
        <v/>
      </c>
      <c r="R781" s="16">
        <f>IF(AND(P781&lt;&gt;"",N(P781)&gt;=$C$5,COUNTIFS($B$10:B781,B781,$C$10:C781,C781,$D$10:D781,D781,$E$10:E781,E781)=1),(M781-N781)*E781*L781,0)</f>
        <v/>
      </c>
      <c r="S781" s="19">
        <f>IF(D781="",0,N(E781)*L781)</f>
        <v/>
      </c>
    </row>
    <row r="782">
      <c r="A782" s="11" t="n"/>
      <c r="B782" s="12" t="n"/>
      <c r="C782" s="12" t="n"/>
      <c r="D782" s="12" t="n"/>
      <c r="E782" s="13" t="n"/>
      <c r="F782" s="12" t="n"/>
      <c r="G782" s="14" t="n"/>
      <c r="H782" s="15" t="n"/>
      <c r="I782" s="16">
        <f>IF(G782="","",G782*(1-N(H782)))</f>
        <v/>
      </c>
      <c r="J782" s="16">
        <f>IF(I782="","",E782*I782)</f>
        <v/>
      </c>
      <c r="K782">
        <f>IF(D782="","",IFERROR(VLOOKUP(D782,'Ürün Eşleştirme'!$A$6:$D$505,2,FALSE),D782))</f>
        <v/>
      </c>
      <c r="L782" s="17">
        <f>IF(D782="","",IFERROR(VLOOKUP(D782,'Ürün Eşleştirme'!$A$6:$D$505,4,FALSE),1))</f>
        <v/>
      </c>
      <c r="M782" s="16">
        <f>IF(I782="","",I782/L782)</f>
        <v/>
      </c>
      <c r="N782" s="16">
        <f>IF(M782="","",IFERROR(AVERAGEIFS($M$10:$M$1009,$K$10:$K$1009,K782,$A$10:$A$1009,"&lt;"&amp;A782,$A$10:$A$1009,"&gt;="&amp;(A782-$C$6)),""))</f>
        <v/>
      </c>
      <c r="O782" s="16">
        <f>IF(M782="","",_xlfn.MINIFS($M$10:$M$1009,$K$10:$K$1009,K782,$A$10:$A$1009,"&lt;="&amp;A782,$A$10:$A$1009,"&gt;="&amp;(A782-$C$6)))</f>
        <v/>
      </c>
      <c r="P782" s="18">
        <f>IF(OR(N782="",N782=0),"",M782/N782-1)</f>
        <v/>
      </c>
      <c r="Q782">
        <f>IF(D782="","",IF(COUNTIFS($B$10:$B$1009,B782,$C$10:$C$1009,C782,$D$10:$D$1009,D782,$E$10:$E$1009,E782)&gt;1,"MÜKERRER?",IF(P782="","",IF(P782&gt;=$C$5,"İNCELE",IF(P782&lt;=-$C$5,"Düşük",""))))</f>
        <v/>
      </c>
      <c r="R782" s="16">
        <f>IF(AND(P782&lt;&gt;"",N(P782)&gt;=$C$5,COUNTIFS($B$10:B782,B782,$C$10:C782,C782,$D$10:D782,D782,$E$10:E782,E782)=1),(M782-N782)*E782*L782,0)</f>
        <v/>
      </c>
      <c r="S782" s="19">
        <f>IF(D782="",0,N(E782)*L782)</f>
        <v/>
      </c>
    </row>
    <row r="783">
      <c r="A783" s="11" t="n"/>
      <c r="B783" s="12" t="n"/>
      <c r="C783" s="12" t="n"/>
      <c r="D783" s="12" t="n"/>
      <c r="E783" s="13" t="n"/>
      <c r="F783" s="12" t="n"/>
      <c r="G783" s="14" t="n"/>
      <c r="H783" s="15" t="n"/>
      <c r="I783" s="16">
        <f>IF(G783="","",G783*(1-N(H783)))</f>
        <v/>
      </c>
      <c r="J783" s="16">
        <f>IF(I783="","",E783*I783)</f>
        <v/>
      </c>
      <c r="K783">
        <f>IF(D783="","",IFERROR(VLOOKUP(D783,'Ürün Eşleştirme'!$A$6:$D$505,2,FALSE),D783))</f>
        <v/>
      </c>
      <c r="L783" s="17">
        <f>IF(D783="","",IFERROR(VLOOKUP(D783,'Ürün Eşleştirme'!$A$6:$D$505,4,FALSE),1))</f>
        <v/>
      </c>
      <c r="M783" s="16">
        <f>IF(I783="","",I783/L783)</f>
        <v/>
      </c>
      <c r="N783" s="16">
        <f>IF(M783="","",IFERROR(AVERAGEIFS($M$10:$M$1009,$K$10:$K$1009,K783,$A$10:$A$1009,"&lt;"&amp;A783,$A$10:$A$1009,"&gt;="&amp;(A783-$C$6)),""))</f>
        <v/>
      </c>
      <c r="O783" s="16">
        <f>IF(M783="","",_xlfn.MINIFS($M$10:$M$1009,$K$10:$K$1009,K783,$A$10:$A$1009,"&lt;="&amp;A783,$A$10:$A$1009,"&gt;="&amp;(A783-$C$6)))</f>
        <v/>
      </c>
      <c r="P783" s="18">
        <f>IF(OR(N783="",N783=0),"",M783/N783-1)</f>
        <v/>
      </c>
      <c r="Q783">
        <f>IF(D783="","",IF(COUNTIFS($B$10:$B$1009,B783,$C$10:$C$1009,C783,$D$10:$D$1009,D783,$E$10:$E$1009,E783)&gt;1,"MÜKERRER?",IF(P783="","",IF(P783&gt;=$C$5,"İNCELE",IF(P783&lt;=-$C$5,"Düşük",""))))</f>
        <v/>
      </c>
      <c r="R783" s="16">
        <f>IF(AND(P783&lt;&gt;"",N(P783)&gt;=$C$5,COUNTIFS($B$10:B783,B783,$C$10:C783,C783,$D$10:D783,D783,$E$10:E783,E783)=1),(M783-N783)*E783*L783,0)</f>
        <v/>
      </c>
      <c r="S783" s="19">
        <f>IF(D783="",0,N(E783)*L783)</f>
        <v/>
      </c>
    </row>
    <row r="784">
      <c r="A784" s="11" t="n"/>
      <c r="B784" s="12" t="n"/>
      <c r="C784" s="12" t="n"/>
      <c r="D784" s="12" t="n"/>
      <c r="E784" s="13" t="n"/>
      <c r="F784" s="12" t="n"/>
      <c r="G784" s="14" t="n"/>
      <c r="H784" s="15" t="n"/>
      <c r="I784" s="16">
        <f>IF(G784="","",G784*(1-N(H784)))</f>
        <v/>
      </c>
      <c r="J784" s="16">
        <f>IF(I784="","",E784*I784)</f>
        <v/>
      </c>
      <c r="K784">
        <f>IF(D784="","",IFERROR(VLOOKUP(D784,'Ürün Eşleştirme'!$A$6:$D$505,2,FALSE),D784))</f>
        <v/>
      </c>
      <c r="L784" s="17">
        <f>IF(D784="","",IFERROR(VLOOKUP(D784,'Ürün Eşleştirme'!$A$6:$D$505,4,FALSE),1))</f>
        <v/>
      </c>
      <c r="M784" s="16">
        <f>IF(I784="","",I784/L784)</f>
        <v/>
      </c>
      <c r="N784" s="16">
        <f>IF(M784="","",IFERROR(AVERAGEIFS($M$10:$M$1009,$K$10:$K$1009,K784,$A$10:$A$1009,"&lt;"&amp;A784,$A$10:$A$1009,"&gt;="&amp;(A784-$C$6)),""))</f>
        <v/>
      </c>
      <c r="O784" s="16">
        <f>IF(M784="","",_xlfn.MINIFS($M$10:$M$1009,$K$10:$K$1009,K784,$A$10:$A$1009,"&lt;="&amp;A784,$A$10:$A$1009,"&gt;="&amp;(A784-$C$6)))</f>
        <v/>
      </c>
      <c r="P784" s="18">
        <f>IF(OR(N784="",N784=0),"",M784/N784-1)</f>
        <v/>
      </c>
      <c r="Q784">
        <f>IF(D784="","",IF(COUNTIFS($B$10:$B$1009,B784,$C$10:$C$1009,C784,$D$10:$D$1009,D784,$E$10:$E$1009,E784)&gt;1,"MÜKERRER?",IF(P784="","",IF(P784&gt;=$C$5,"İNCELE",IF(P784&lt;=-$C$5,"Düşük",""))))</f>
        <v/>
      </c>
      <c r="R784" s="16">
        <f>IF(AND(P784&lt;&gt;"",N(P784)&gt;=$C$5,COUNTIFS($B$10:B784,B784,$C$10:C784,C784,$D$10:D784,D784,$E$10:E784,E784)=1),(M784-N784)*E784*L784,0)</f>
        <v/>
      </c>
      <c r="S784" s="19">
        <f>IF(D784="",0,N(E784)*L784)</f>
        <v/>
      </c>
    </row>
    <row r="785">
      <c r="A785" s="11" t="n"/>
      <c r="B785" s="12" t="n"/>
      <c r="C785" s="12" t="n"/>
      <c r="D785" s="12" t="n"/>
      <c r="E785" s="13" t="n"/>
      <c r="F785" s="12" t="n"/>
      <c r="G785" s="14" t="n"/>
      <c r="H785" s="15" t="n"/>
      <c r="I785" s="16">
        <f>IF(G785="","",G785*(1-N(H785)))</f>
        <v/>
      </c>
      <c r="J785" s="16">
        <f>IF(I785="","",E785*I785)</f>
        <v/>
      </c>
      <c r="K785">
        <f>IF(D785="","",IFERROR(VLOOKUP(D785,'Ürün Eşleştirme'!$A$6:$D$505,2,FALSE),D785))</f>
        <v/>
      </c>
      <c r="L785" s="17">
        <f>IF(D785="","",IFERROR(VLOOKUP(D785,'Ürün Eşleştirme'!$A$6:$D$505,4,FALSE),1))</f>
        <v/>
      </c>
      <c r="M785" s="16">
        <f>IF(I785="","",I785/L785)</f>
        <v/>
      </c>
      <c r="N785" s="16">
        <f>IF(M785="","",IFERROR(AVERAGEIFS($M$10:$M$1009,$K$10:$K$1009,K785,$A$10:$A$1009,"&lt;"&amp;A785,$A$10:$A$1009,"&gt;="&amp;(A785-$C$6)),""))</f>
        <v/>
      </c>
      <c r="O785" s="16">
        <f>IF(M785="","",_xlfn.MINIFS($M$10:$M$1009,$K$10:$K$1009,K785,$A$10:$A$1009,"&lt;="&amp;A785,$A$10:$A$1009,"&gt;="&amp;(A785-$C$6)))</f>
        <v/>
      </c>
      <c r="P785" s="18">
        <f>IF(OR(N785="",N785=0),"",M785/N785-1)</f>
        <v/>
      </c>
      <c r="Q785">
        <f>IF(D785="","",IF(COUNTIFS($B$10:$B$1009,B785,$C$10:$C$1009,C785,$D$10:$D$1009,D785,$E$10:$E$1009,E785)&gt;1,"MÜKERRER?",IF(P785="","",IF(P785&gt;=$C$5,"İNCELE",IF(P785&lt;=-$C$5,"Düşük",""))))</f>
        <v/>
      </c>
      <c r="R785" s="16">
        <f>IF(AND(P785&lt;&gt;"",N(P785)&gt;=$C$5,COUNTIFS($B$10:B785,B785,$C$10:C785,C785,$D$10:D785,D785,$E$10:E785,E785)=1),(M785-N785)*E785*L785,0)</f>
        <v/>
      </c>
      <c r="S785" s="19">
        <f>IF(D785="",0,N(E785)*L785)</f>
        <v/>
      </c>
    </row>
    <row r="786">
      <c r="A786" s="11" t="n"/>
      <c r="B786" s="12" t="n"/>
      <c r="C786" s="12" t="n"/>
      <c r="D786" s="12" t="n"/>
      <c r="E786" s="13" t="n"/>
      <c r="F786" s="12" t="n"/>
      <c r="G786" s="14" t="n"/>
      <c r="H786" s="15" t="n"/>
      <c r="I786" s="16">
        <f>IF(G786="","",G786*(1-N(H786)))</f>
        <v/>
      </c>
      <c r="J786" s="16">
        <f>IF(I786="","",E786*I786)</f>
        <v/>
      </c>
      <c r="K786">
        <f>IF(D786="","",IFERROR(VLOOKUP(D786,'Ürün Eşleştirme'!$A$6:$D$505,2,FALSE),D786))</f>
        <v/>
      </c>
      <c r="L786" s="17">
        <f>IF(D786="","",IFERROR(VLOOKUP(D786,'Ürün Eşleştirme'!$A$6:$D$505,4,FALSE),1))</f>
        <v/>
      </c>
      <c r="M786" s="16">
        <f>IF(I786="","",I786/L786)</f>
        <v/>
      </c>
      <c r="N786" s="16">
        <f>IF(M786="","",IFERROR(AVERAGEIFS($M$10:$M$1009,$K$10:$K$1009,K786,$A$10:$A$1009,"&lt;"&amp;A786,$A$10:$A$1009,"&gt;="&amp;(A786-$C$6)),""))</f>
        <v/>
      </c>
      <c r="O786" s="16">
        <f>IF(M786="","",_xlfn.MINIFS($M$10:$M$1009,$K$10:$K$1009,K786,$A$10:$A$1009,"&lt;="&amp;A786,$A$10:$A$1009,"&gt;="&amp;(A786-$C$6)))</f>
        <v/>
      </c>
      <c r="P786" s="18">
        <f>IF(OR(N786="",N786=0),"",M786/N786-1)</f>
        <v/>
      </c>
      <c r="Q786">
        <f>IF(D786="","",IF(COUNTIFS($B$10:$B$1009,B786,$C$10:$C$1009,C786,$D$10:$D$1009,D786,$E$10:$E$1009,E786)&gt;1,"MÜKERRER?",IF(P786="","",IF(P786&gt;=$C$5,"İNCELE",IF(P786&lt;=-$C$5,"Düşük",""))))</f>
        <v/>
      </c>
      <c r="R786" s="16">
        <f>IF(AND(P786&lt;&gt;"",N(P786)&gt;=$C$5,COUNTIFS($B$10:B786,B786,$C$10:C786,C786,$D$10:D786,D786,$E$10:E786,E786)=1),(M786-N786)*E786*L786,0)</f>
        <v/>
      </c>
      <c r="S786" s="19">
        <f>IF(D786="",0,N(E786)*L786)</f>
        <v/>
      </c>
    </row>
    <row r="787">
      <c r="A787" s="11" t="n"/>
      <c r="B787" s="12" t="n"/>
      <c r="C787" s="12" t="n"/>
      <c r="D787" s="12" t="n"/>
      <c r="E787" s="13" t="n"/>
      <c r="F787" s="12" t="n"/>
      <c r="G787" s="14" t="n"/>
      <c r="H787" s="15" t="n"/>
      <c r="I787" s="16">
        <f>IF(G787="","",G787*(1-N(H787)))</f>
        <v/>
      </c>
      <c r="J787" s="16">
        <f>IF(I787="","",E787*I787)</f>
        <v/>
      </c>
      <c r="K787">
        <f>IF(D787="","",IFERROR(VLOOKUP(D787,'Ürün Eşleştirme'!$A$6:$D$505,2,FALSE),D787))</f>
        <v/>
      </c>
      <c r="L787" s="17">
        <f>IF(D787="","",IFERROR(VLOOKUP(D787,'Ürün Eşleştirme'!$A$6:$D$505,4,FALSE),1))</f>
        <v/>
      </c>
      <c r="M787" s="16">
        <f>IF(I787="","",I787/L787)</f>
        <v/>
      </c>
      <c r="N787" s="16">
        <f>IF(M787="","",IFERROR(AVERAGEIFS($M$10:$M$1009,$K$10:$K$1009,K787,$A$10:$A$1009,"&lt;"&amp;A787,$A$10:$A$1009,"&gt;="&amp;(A787-$C$6)),""))</f>
        <v/>
      </c>
      <c r="O787" s="16">
        <f>IF(M787="","",_xlfn.MINIFS($M$10:$M$1009,$K$10:$K$1009,K787,$A$10:$A$1009,"&lt;="&amp;A787,$A$10:$A$1009,"&gt;="&amp;(A787-$C$6)))</f>
        <v/>
      </c>
      <c r="P787" s="18">
        <f>IF(OR(N787="",N787=0),"",M787/N787-1)</f>
        <v/>
      </c>
      <c r="Q787">
        <f>IF(D787="","",IF(COUNTIFS($B$10:$B$1009,B787,$C$10:$C$1009,C787,$D$10:$D$1009,D787,$E$10:$E$1009,E787)&gt;1,"MÜKERRER?",IF(P787="","",IF(P787&gt;=$C$5,"İNCELE",IF(P787&lt;=-$C$5,"Düşük",""))))</f>
        <v/>
      </c>
      <c r="R787" s="16">
        <f>IF(AND(P787&lt;&gt;"",N(P787)&gt;=$C$5,COUNTIFS($B$10:B787,B787,$C$10:C787,C787,$D$10:D787,D787,$E$10:E787,E787)=1),(M787-N787)*E787*L787,0)</f>
        <v/>
      </c>
      <c r="S787" s="19">
        <f>IF(D787="",0,N(E787)*L787)</f>
        <v/>
      </c>
    </row>
    <row r="788">
      <c r="A788" s="11" t="n"/>
      <c r="B788" s="12" t="n"/>
      <c r="C788" s="12" t="n"/>
      <c r="D788" s="12" t="n"/>
      <c r="E788" s="13" t="n"/>
      <c r="F788" s="12" t="n"/>
      <c r="G788" s="14" t="n"/>
      <c r="H788" s="15" t="n"/>
      <c r="I788" s="16">
        <f>IF(G788="","",G788*(1-N(H788)))</f>
        <v/>
      </c>
      <c r="J788" s="16">
        <f>IF(I788="","",E788*I788)</f>
        <v/>
      </c>
      <c r="K788">
        <f>IF(D788="","",IFERROR(VLOOKUP(D788,'Ürün Eşleştirme'!$A$6:$D$505,2,FALSE),D788))</f>
        <v/>
      </c>
      <c r="L788" s="17">
        <f>IF(D788="","",IFERROR(VLOOKUP(D788,'Ürün Eşleştirme'!$A$6:$D$505,4,FALSE),1))</f>
        <v/>
      </c>
      <c r="M788" s="16">
        <f>IF(I788="","",I788/L788)</f>
        <v/>
      </c>
      <c r="N788" s="16">
        <f>IF(M788="","",IFERROR(AVERAGEIFS($M$10:$M$1009,$K$10:$K$1009,K788,$A$10:$A$1009,"&lt;"&amp;A788,$A$10:$A$1009,"&gt;="&amp;(A788-$C$6)),""))</f>
        <v/>
      </c>
      <c r="O788" s="16">
        <f>IF(M788="","",_xlfn.MINIFS($M$10:$M$1009,$K$10:$K$1009,K788,$A$10:$A$1009,"&lt;="&amp;A788,$A$10:$A$1009,"&gt;="&amp;(A788-$C$6)))</f>
        <v/>
      </c>
      <c r="P788" s="18">
        <f>IF(OR(N788="",N788=0),"",M788/N788-1)</f>
        <v/>
      </c>
      <c r="Q788">
        <f>IF(D788="","",IF(COUNTIFS($B$10:$B$1009,B788,$C$10:$C$1009,C788,$D$10:$D$1009,D788,$E$10:$E$1009,E788)&gt;1,"MÜKERRER?",IF(P788="","",IF(P788&gt;=$C$5,"İNCELE",IF(P788&lt;=-$C$5,"Düşük",""))))</f>
        <v/>
      </c>
      <c r="R788" s="16">
        <f>IF(AND(P788&lt;&gt;"",N(P788)&gt;=$C$5,COUNTIFS($B$10:B788,B788,$C$10:C788,C788,$D$10:D788,D788,$E$10:E788,E788)=1),(M788-N788)*E788*L788,0)</f>
        <v/>
      </c>
      <c r="S788" s="19">
        <f>IF(D788="",0,N(E788)*L788)</f>
        <v/>
      </c>
    </row>
    <row r="789">
      <c r="A789" s="11" t="n"/>
      <c r="B789" s="12" t="n"/>
      <c r="C789" s="12" t="n"/>
      <c r="D789" s="12" t="n"/>
      <c r="E789" s="13" t="n"/>
      <c r="F789" s="12" t="n"/>
      <c r="G789" s="14" t="n"/>
      <c r="H789" s="15" t="n"/>
      <c r="I789" s="16">
        <f>IF(G789="","",G789*(1-N(H789)))</f>
        <v/>
      </c>
      <c r="J789" s="16">
        <f>IF(I789="","",E789*I789)</f>
        <v/>
      </c>
      <c r="K789">
        <f>IF(D789="","",IFERROR(VLOOKUP(D789,'Ürün Eşleştirme'!$A$6:$D$505,2,FALSE),D789))</f>
        <v/>
      </c>
      <c r="L789" s="17">
        <f>IF(D789="","",IFERROR(VLOOKUP(D789,'Ürün Eşleştirme'!$A$6:$D$505,4,FALSE),1))</f>
        <v/>
      </c>
      <c r="M789" s="16">
        <f>IF(I789="","",I789/L789)</f>
        <v/>
      </c>
      <c r="N789" s="16">
        <f>IF(M789="","",IFERROR(AVERAGEIFS($M$10:$M$1009,$K$10:$K$1009,K789,$A$10:$A$1009,"&lt;"&amp;A789,$A$10:$A$1009,"&gt;="&amp;(A789-$C$6)),""))</f>
        <v/>
      </c>
      <c r="O789" s="16">
        <f>IF(M789="","",_xlfn.MINIFS($M$10:$M$1009,$K$10:$K$1009,K789,$A$10:$A$1009,"&lt;="&amp;A789,$A$10:$A$1009,"&gt;="&amp;(A789-$C$6)))</f>
        <v/>
      </c>
      <c r="P789" s="18">
        <f>IF(OR(N789="",N789=0),"",M789/N789-1)</f>
        <v/>
      </c>
      <c r="Q789">
        <f>IF(D789="","",IF(COUNTIFS($B$10:$B$1009,B789,$C$10:$C$1009,C789,$D$10:$D$1009,D789,$E$10:$E$1009,E789)&gt;1,"MÜKERRER?",IF(P789="","",IF(P789&gt;=$C$5,"İNCELE",IF(P789&lt;=-$C$5,"Düşük",""))))</f>
        <v/>
      </c>
      <c r="R789" s="16">
        <f>IF(AND(P789&lt;&gt;"",N(P789)&gt;=$C$5,COUNTIFS($B$10:B789,B789,$C$10:C789,C789,$D$10:D789,D789,$E$10:E789,E789)=1),(M789-N789)*E789*L789,0)</f>
        <v/>
      </c>
      <c r="S789" s="19">
        <f>IF(D789="",0,N(E789)*L789)</f>
        <v/>
      </c>
    </row>
    <row r="790">
      <c r="A790" s="11" t="n"/>
      <c r="B790" s="12" t="n"/>
      <c r="C790" s="12" t="n"/>
      <c r="D790" s="12" t="n"/>
      <c r="E790" s="13" t="n"/>
      <c r="F790" s="12" t="n"/>
      <c r="G790" s="14" t="n"/>
      <c r="H790" s="15" t="n"/>
      <c r="I790" s="16">
        <f>IF(G790="","",G790*(1-N(H790)))</f>
        <v/>
      </c>
      <c r="J790" s="16">
        <f>IF(I790="","",E790*I790)</f>
        <v/>
      </c>
      <c r="K790">
        <f>IF(D790="","",IFERROR(VLOOKUP(D790,'Ürün Eşleştirme'!$A$6:$D$505,2,FALSE),D790))</f>
        <v/>
      </c>
      <c r="L790" s="17">
        <f>IF(D790="","",IFERROR(VLOOKUP(D790,'Ürün Eşleştirme'!$A$6:$D$505,4,FALSE),1))</f>
        <v/>
      </c>
      <c r="M790" s="16">
        <f>IF(I790="","",I790/L790)</f>
        <v/>
      </c>
      <c r="N790" s="16">
        <f>IF(M790="","",IFERROR(AVERAGEIFS($M$10:$M$1009,$K$10:$K$1009,K790,$A$10:$A$1009,"&lt;"&amp;A790,$A$10:$A$1009,"&gt;="&amp;(A790-$C$6)),""))</f>
        <v/>
      </c>
      <c r="O790" s="16">
        <f>IF(M790="","",_xlfn.MINIFS($M$10:$M$1009,$K$10:$K$1009,K790,$A$10:$A$1009,"&lt;="&amp;A790,$A$10:$A$1009,"&gt;="&amp;(A790-$C$6)))</f>
        <v/>
      </c>
      <c r="P790" s="18">
        <f>IF(OR(N790="",N790=0),"",M790/N790-1)</f>
        <v/>
      </c>
      <c r="Q790">
        <f>IF(D790="","",IF(COUNTIFS($B$10:$B$1009,B790,$C$10:$C$1009,C790,$D$10:$D$1009,D790,$E$10:$E$1009,E790)&gt;1,"MÜKERRER?",IF(P790="","",IF(P790&gt;=$C$5,"İNCELE",IF(P790&lt;=-$C$5,"Düşük",""))))</f>
        <v/>
      </c>
      <c r="R790" s="16">
        <f>IF(AND(P790&lt;&gt;"",N(P790)&gt;=$C$5,COUNTIFS($B$10:B790,B790,$C$10:C790,C790,$D$10:D790,D790,$E$10:E790,E790)=1),(M790-N790)*E790*L790,0)</f>
        <v/>
      </c>
      <c r="S790" s="19">
        <f>IF(D790="",0,N(E790)*L790)</f>
        <v/>
      </c>
    </row>
    <row r="791">
      <c r="A791" s="11" t="n"/>
      <c r="B791" s="12" t="n"/>
      <c r="C791" s="12" t="n"/>
      <c r="D791" s="12" t="n"/>
      <c r="E791" s="13" t="n"/>
      <c r="F791" s="12" t="n"/>
      <c r="G791" s="14" t="n"/>
      <c r="H791" s="15" t="n"/>
      <c r="I791" s="16">
        <f>IF(G791="","",G791*(1-N(H791)))</f>
        <v/>
      </c>
      <c r="J791" s="16">
        <f>IF(I791="","",E791*I791)</f>
        <v/>
      </c>
      <c r="K791">
        <f>IF(D791="","",IFERROR(VLOOKUP(D791,'Ürün Eşleştirme'!$A$6:$D$505,2,FALSE),D791))</f>
        <v/>
      </c>
      <c r="L791" s="17">
        <f>IF(D791="","",IFERROR(VLOOKUP(D791,'Ürün Eşleştirme'!$A$6:$D$505,4,FALSE),1))</f>
        <v/>
      </c>
      <c r="M791" s="16">
        <f>IF(I791="","",I791/L791)</f>
        <v/>
      </c>
      <c r="N791" s="16">
        <f>IF(M791="","",IFERROR(AVERAGEIFS($M$10:$M$1009,$K$10:$K$1009,K791,$A$10:$A$1009,"&lt;"&amp;A791,$A$10:$A$1009,"&gt;="&amp;(A791-$C$6)),""))</f>
        <v/>
      </c>
      <c r="O791" s="16">
        <f>IF(M791="","",_xlfn.MINIFS($M$10:$M$1009,$K$10:$K$1009,K791,$A$10:$A$1009,"&lt;="&amp;A791,$A$10:$A$1009,"&gt;="&amp;(A791-$C$6)))</f>
        <v/>
      </c>
      <c r="P791" s="18">
        <f>IF(OR(N791="",N791=0),"",M791/N791-1)</f>
        <v/>
      </c>
      <c r="Q791">
        <f>IF(D791="","",IF(COUNTIFS($B$10:$B$1009,B791,$C$10:$C$1009,C791,$D$10:$D$1009,D791,$E$10:$E$1009,E791)&gt;1,"MÜKERRER?",IF(P791="","",IF(P791&gt;=$C$5,"İNCELE",IF(P791&lt;=-$C$5,"Düşük",""))))</f>
        <v/>
      </c>
      <c r="R791" s="16">
        <f>IF(AND(P791&lt;&gt;"",N(P791)&gt;=$C$5,COUNTIFS($B$10:B791,B791,$C$10:C791,C791,$D$10:D791,D791,$E$10:E791,E791)=1),(M791-N791)*E791*L791,0)</f>
        <v/>
      </c>
      <c r="S791" s="19">
        <f>IF(D791="",0,N(E791)*L791)</f>
        <v/>
      </c>
    </row>
    <row r="792">
      <c r="A792" s="11" t="n"/>
      <c r="B792" s="12" t="n"/>
      <c r="C792" s="12" t="n"/>
      <c r="D792" s="12" t="n"/>
      <c r="E792" s="13" t="n"/>
      <c r="F792" s="12" t="n"/>
      <c r="G792" s="14" t="n"/>
      <c r="H792" s="15" t="n"/>
      <c r="I792" s="16">
        <f>IF(G792="","",G792*(1-N(H792)))</f>
        <v/>
      </c>
      <c r="J792" s="16">
        <f>IF(I792="","",E792*I792)</f>
        <v/>
      </c>
      <c r="K792">
        <f>IF(D792="","",IFERROR(VLOOKUP(D792,'Ürün Eşleştirme'!$A$6:$D$505,2,FALSE),D792))</f>
        <v/>
      </c>
      <c r="L792" s="17">
        <f>IF(D792="","",IFERROR(VLOOKUP(D792,'Ürün Eşleştirme'!$A$6:$D$505,4,FALSE),1))</f>
        <v/>
      </c>
      <c r="M792" s="16">
        <f>IF(I792="","",I792/L792)</f>
        <v/>
      </c>
      <c r="N792" s="16">
        <f>IF(M792="","",IFERROR(AVERAGEIFS($M$10:$M$1009,$K$10:$K$1009,K792,$A$10:$A$1009,"&lt;"&amp;A792,$A$10:$A$1009,"&gt;="&amp;(A792-$C$6)),""))</f>
        <v/>
      </c>
      <c r="O792" s="16">
        <f>IF(M792="","",_xlfn.MINIFS($M$10:$M$1009,$K$10:$K$1009,K792,$A$10:$A$1009,"&lt;="&amp;A792,$A$10:$A$1009,"&gt;="&amp;(A792-$C$6)))</f>
        <v/>
      </c>
      <c r="P792" s="18">
        <f>IF(OR(N792="",N792=0),"",M792/N792-1)</f>
        <v/>
      </c>
      <c r="Q792">
        <f>IF(D792="","",IF(COUNTIFS($B$10:$B$1009,B792,$C$10:$C$1009,C792,$D$10:$D$1009,D792,$E$10:$E$1009,E792)&gt;1,"MÜKERRER?",IF(P792="","",IF(P792&gt;=$C$5,"İNCELE",IF(P792&lt;=-$C$5,"Düşük",""))))</f>
        <v/>
      </c>
      <c r="R792" s="16">
        <f>IF(AND(P792&lt;&gt;"",N(P792)&gt;=$C$5,COUNTIFS($B$10:B792,B792,$C$10:C792,C792,$D$10:D792,D792,$E$10:E792,E792)=1),(M792-N792)*E792*L792,0)</f>
        <v/>
      </c>
      <c r="S792" s="19">
        <f>IF(D792="",0,N(E792)*L792)</f>
        <v/>
      </c>
    </row>
    <row r="793">
      <c r="A793" s="11" t="n"/>
      <c r="B793" s="12" t="n"/>
      <c r="C793" s="12" t="n"/>
      <c r="D793" s="12" t="n"/>
      <c r="E793" s="13" t="n"/>
      <c r="F793" s="12" t="n"/>
      <c r="G793" s="14" t="n"/>
      <c r="H793" s="15" t="n"/>
      <c r="I793" s="16">
        <f>IF(G793="","",G793*(1-N(H793)))</f>
        <v/>
      </c>
      <c r="J793" s="16">
        <f>IF(I793="","",E793*I793)</f>
        <v/>
      </c>
      <c r="K793">
        <f>IF(D793="","",IFERROR(VLOOKUP(D793,'Ürün Eşleştirme'!$A$6:$D$505,2,FALSE),D793))</f>
        <v/>
      </c>
      <c r="L793" s="17">
        <f>IF(D793="","",IFERROR(VLOOKUP(D793,'Ürün Eşleştirme'!$A$6:$D$505,4,FALSE),1))</f>
        <v/>
      </c>
      <c r="M793" s="16">
        <f>IF(I793="","",I793/L793)</f>
        <v/>
      </c>
      <c r="N793" s="16">
        <f>IF(M793="","",IFERROR(AVERAGEIFS($M$10:$M$1009,$K$10:$K$1009,K793,$A$10:$A$1009,"&lt;"&amp;A793,$A$10:$A$1009,"&gt;="&amp;(A793-$C$6)),""))</f>
        <v/>
      </c>
      <c r="O793" s="16">
        <f>IF(M793="","",_xlfn.MINIFS($M$10:$M$1009,$K$10:$K$1009,K793,$A$10:$A$1009,"&lt;="&amp;A793,$A$10:$A$1009,"&gt;="&amp;(A793-$C$6)))</f>
        <v/>
      </c>
      <c r="P793" s="18">
        <f>IF(OR(N793="",N793=0),"",M793/N793-1)</f>
        <v/>
      </c>
      <c r="Q793">
        <f>IF(D793="","",IF(COUNTIFS($B$10:$B$1009,B793,$C$10:$C$1009,C793,$D$10:$D$1009,D793,$E$10:$E$1009,E793)&gt;1,"MÜKERRER?",IF(P793="","",IF(P793&gt;=$C$5,"İNCELE",IF(P793&lt;=-$C$5,"Düşük",""))))</f>
        <v/>
      </c>
      <c r="R793" s="16">
        <f>IF(AND(P793&lt;&gt;"",N(P793)&gt;=$C$5,COUNTIFS($B$10:B793,B793,$C$10:C793,C793,$D$10:D793,D793,$E$10:E793,E793)=1),(M793-N793)*E793*L793,0)</f>
        <v/>
      </c>
      <c r="S793" s="19">
        <f>IF(D793="",0,N(E793)*L793)</f>
        <v/>
      </c>
    </row>
    <row r="794">
      <c r="A794" s="11" t="n"/>
      <c r="B794" s="12" t="n"/>
      <c r="C794" s="12" t="n"/>
      <c r="D794" s="12" t="n"/>
      <c r="E794" s="13" t="n"/>
      <c r="F794" s="12" t="n"/>
      <c r="G794" s="14" t="n"/>
      <c r="H794" s="15" t="n"/>
      <c r="I794" s="16">
        <f>IF(G794="","",G794*(1-N(H794)))</f>
        <v/>
      </c>
      <c r="J794" s="16">
        <f>IF(I794="","",E794*I794)</f>
        <v/>
      </c>
      <c r="K794">
        <f>IF(D794="","",IFERROR(VLOOKUP(D794,'Ürün Eşleştirme'!$A$6:$D$505,2,FALSE),D794))</f>
        <v/>
      </c>
      <c r="L794" s="17">
        <f>IF(D794="","",IFERROR(VLOOKUP(D794,'Ürün Eşleştirme'!$A$6:$D$505,4,FALSE),1))</f>
        <v/>
      </c>
      <c r="M794" s="16">
        <f>IF(I794="","",I794/L794)</f>
        <v/>
      </c>
      <c r="N794" s="16">
        <f>IF(M794="","",IFERROR(AVERAGEIFS($M$10:$M$1009,$K$10:$K$1009,K794,$A$10:$A$1009,"&lt;"&amp;A794,$A$10:$A$1009,"&gt;="&amp;(A794-$C$6)),""))</f>
        <v/>
      </c>
      <c r="O794" s="16">
        <f>IF(M794="","",_xlfn.MINIFS($M$10:$M$1009,$K$10:$K$1009,K794,$A$10:$A$1009,"&lt;="&amp;A794,$A$10:$A$1009,"&gt;="&amp;(A794-$C$6)))</f>
        <v/>
      </c>
      <c r="P794" s="18">
        <f>IF(OR(N794="",N794=0),"",M794/N794-1)</f>
        <v/>
      </c>
      <c r="Q794">
        <f>IF(D794="","",IF(COUNTIFS($B$10:$B$1009,B794,$C$10:$C$1009,C794,$D$10:$D$1009,D794,$E$10:$E$1009,E794)&gt;1,"MÜKERRER?",IF(P794="","",IF(P794&gt;=$C$5,"İNCELE",IF(P794&lt;=-$C$5,"Düşük",""))))</f>
        <v/>
      </c>
      <c r="R794" s="16">
        <f>IF(AND(P794&lt;&gt;"",N(P794)&gt;=$C$5,COUNTIFS($B$10:B794,B794,$C$10:C794,C794,$D$10:D794,D794,$E$10:E794,E794)=1),(M794-N794)*E794*L794,0)</f>
        <v/>
      </c>
      <c r="S794" s="19">
        <f>IF(D794="",0,N(E794)*L794)</f>
        <v/>
      </c>
    </row>
    <row r="795">
      <c r="A795" s="11" t="n"/>
      <c r="B795" s="12" t="n"/>
      <c r="C795" s="12" t="n"/>
      <c r="D795" s="12" t="n"/>
      <c r="E795" s="13" t="n"/>
      <c r="F795" s="12" t="n"/>
      <c r="G795" s="14" t="n"/>
      <c r="H795" s="15" t="n"/>
      <c r="I795" s="16">
        <f>IF(G795="","",G795*(1-N(H795)))</f>
        <v/>
      </c>
      <c r="J795" s="16">
        <f>IF(I795="","",E795*I795)</f>
        <v/>
      </c>
      <c r="K795">
        <f>IF(D795="","",IFERROR(VLOOKUP(D795,'Ürün Eşleştirme'!$A$6:$D$505,2,FALSE),D795))</f>
        <v/>
      </c>
      <c r="L795" s="17">
        <f>IF(D795="","",IFERROR(VLOOKUP(D795,'Ürün Eşleştirme'!$A$6:$D$505,4,FALSE),1))</f>
        <v/>
      </c>
      <c r="M795" s="16">
        <f>IF(I795="","",I795/L795)</f>
        <v/>
      </c>
      <c r="N795" s="16">
        <f>IF(M795="","",IFERROR(AVERAGEIFS($M$10:$M$1009,$K$10:$K$1009,K795,$A$10:$A$1009,"&lt;"&amp;A795,$A$10:$A$1009,"&gt;="&amp;(A795-$C$6)),""))</f>
        <v/>
      </c>
      <c r="O795" s="16">
        <f>IF(M795="","",_xlfn.MINIFS($M$10:$M$1009,$K$10:$K$1009,K795,$A$10:$A$1009,"&lt;="&amp;A795,$A$10:$A$1009,"&gt;="&amp;(A795-$C$6)))</f>
        <v/>
      </c>
      <c r="P795" s="18">
        <f>IF(OR(N795="",N795=0),"",M795/N795-1)</f>
        <v/>
      </c>
      <c r="Q795">
        <f>IF(D795="","",IF(COUNTIFS($B$10:$B$1009,B795,$C$10:$C$1009,C795,$D$10:$D$1009,D795,$E$10:$E$1009,E795)&gt;1,"MÜKERRER?",IF(P795="","",IF(P795&gt;=$C$5,"İNCELE",IF(P795&lt;=-$C$5,"Düşük",""))))</f>
        <v/>
      </c>
      <c r="R795" s="16">
        <f>IF(AND(P795&lt;&gt;"",N(P795)&gt;=$C$5,COUNTIFS($B$10:B795,B795,$C$10:C795,C795,$D$10:D795,D795,$E$10:E795,E795)=1),(M795-N795)*E795*L795,0)</f>
        <v/>
      </c>
      <c r="S795" s="19">
        <f>IF(D795="",0,N(E795)*L795)</f>
        <v/>
      </c>
    </row>
    <row r="796">
      <c r="A796" s="11" t="n"/>
      <c r="B796" s="12" t="n"/>
      <c r="C796" s="12" t="n"/>
      <c r="D796" s="12" t="n"/>
      <c r="E796" s="13" t="n"/>
      <c r="F796" s="12" t="n"/>
      <c r="G796" s="14" t="n"/>
      <c r="H796" s="15" t="n"/>
      <c r="I796" s="16">
        <f>IF(G796="","",G796*(1-N(H796)))</f>
        <v/>
      </c>
      <c r="J796" s="16">
        <f>IF(I796="","",E796*I796)</f>
        <v/>
      </c>
      <c r="K796">
        <f>IF(D796="","",IFERROR(VLOOKUP(D796,'Ürün Eşleştirme'!$A$6:$D$505,2,FALSE),D796))</f>
        <v/>
      </c>
      <c r="L796" s="17">
        <f>IF(D796="","",IFERROR(VLOOKUP(D796,'Ürün Eşleştirme'!$A$6:$D$505,4,FALSE),1))</f>
        <v/>
      </c>
      <c r="M796" s="16">
        <f>IF(I796="","",I796/L796)</f>
        <v/>
      </c>
      <c r="N796" s="16">
        <f>IF(M796="","",IFERROR(AVERAGEIFS($M$10:$M$1009,$K$10:$K$1009,K796,$A$10:$A$1009,"&lt;"&amp;A796,$A$10:$A$1009,"&gt;="&amp;(A796-$C$6)),""))</f>
        <v/>
      </c>
      <c r="O796" s="16">
        <f>IF(M796="","",_xlfn.MINIFS($M$10:$M$1009,$K$10:$K$1009,K796,$A$10:$A$1009,"&lt;="&amp;A796,$A$10:$A$1009,"&gt;="&amp;(A796-$C$6)))</f>
        <v/>
      </c>
      <c r="P796" s="18">
        <f>IF(OR(N796="",N796=0),"",M796/N796-1)</f>
        <v/>
      </c>
      <c r="Q796">
        <f>IF(D796="","",IF(COUNTIFS($B$10:$B$1009,B796,$C$10:$C$1009,C796,$D$10:$D$1009,D796,$E$10:$E$1009,E796)&gt;1,"MÜKERRER?",IF(P796="","",IF(P796&gt;=$C$5,"İNCELE",IF(P796&lt;=-$C$5,"Düşük",""))))</f>
        <v/>
      </c>
      <c r="R796" s="16">
        <f>IF(AND(P796&lt;&gt;"",N(P796)&gt;=$C$5,COUNTIFS($B$10:B796,B796,$C$10:C796,C796,$D$10:D796,D796,$E$10:E796,E796)=1),(M796-N796)*E796*L796,0)</f>
        <v/>
      </c>
      <c r="S796" s="19">
        <f>IF(D796="",0,N(E796)*L796)</f>
        <v/>
      </c>
    </row>
    <row r="797">
      <c r="A797" s="11" t="n"/>
      <c r="B797" s="12" t="n"/>
      <c r="C797" s="12" t="n"/>
      <c r="D797" s="12" t="n"/>
      <c r="E797" s="13" t="n"/>
      <c r="F797" s="12" t="n"/>
      <c r="G797" s="14" t="n"/>
      <c r="H797" s="15" t="n"/>
      <c r="I797" s="16">
        <f>IF(G797="","",G797*(1-N(H797)))</f>
        <v/>
      </c>
      <c r="J797" s="16">
        <f>IF(I797="","",E797*I797)</f>
        <v/>
      </c>
      <c r="K797">
        <f>IF(D797="","",IFERROR(VLOOKUP(D797,'Ürün Eşleştirme'!$A$6:$D$505,2,FALSE),D797))</f>
        <v/>
      </c>
      <c r="L797" s="17">
        <f>IF(D797="","",IFERROR(VLOOKUP(D797,'Ürün Eşleştirme'!$A$6:$D$505,4,FALSE),1))</f>
        <v/>
      </c>
      <c r="M797" s="16">
        <f>IF(I797="","",I797/L797)</f>
        <v/>
      </c>
      <c r="N797" s="16">
        <f>IF(M797="","",IFERROR(AVERAGEIFS($M$10:$M$1009,$K$10:$K$1009,K797,$A$10:$A$1009,"&lt;"&amp;A797,$A$10:$A$1009,"&gt;="&amp;(A797-$C$6)),""))</f>
        <v/>
      </c>
      <c r="O797" s="16">
        <f>IF(M797="","",_xlfn.MINIFS($M$10:$M$1009,$K$10:$K$1009,K797,$A$10:$A$1009,"&lt;="&amp;A797,$A$10:$A$1009,"&gt;="&amp;(A797-$C$6)))</f>
        <v/>
      </c>
      <c r="P797" s="18">
        <f>IF(OR(N797="",N797=0),"",M797/N797-1)</f>
        <v/>
      </c>
      <c r="Q797">
        <f>IF(D797="","",IF(COUNTIFS($B$10:$B$1009,B797,$C$10:$C$1009,C797,$D$10:$D$1009,D797,$E$10:$E$1009,E797)&gt;1,"MÜKERRER?",IF(P797="","",IF(P797&gt;=$C$5,"İNCELE",IF(P797&lt;=-$C$5,"Düşük",""))))</f>
        <v/>
      </c>
      <c r="R797" s="16">
        <f>IF(AND(P797&lt;&gt;"",N(P797)&gt;=$C$5,COUNTIFS($B$10:B797,B797,$C$10:C797,C797,$D$10:D797,D797,$E$10:E797,E797)=1),(M797-N797)*E797*L797,0)</f>
        <v/>
      </c>
      <c r="S797" s="19">
        <f>IF(D797="",0,N(E797)*L797)</f>
        <v/>
      </c>
    </row>
    <row r="798">
      <c r="A798" s="11" t="n"/>
      <c r="B798" s="12" t="n"/>
      <c r="C798" s="12" t="n"/>
      <c r="D798" s="12" t="n"/>
      <c r="E798" s="13" t="n"/>
      <c r="F798" s="12" t="n"/>
      <c r="G798" s="14" t="n"/>
      <c r="H798" s="15" t="n"/>
      <c r="I798" s="16">
        <f>IF(G798="","",G798*(1-N(H798)))</f>
        <v/>
      </c>
      <c r="J798" s="16">
        <f>IF(I798="","",E798*I798)</f>
        <v/>
      </c>
      <c r="K798">
        <f>IF(D798="","",IFERROR(VLOOKUP(D798,'Ürün Eşleştirme'!$A$6:$D$505,2,FALSE),D798))</f>
        <v/>
      </c>
      <c r="L798" s="17">
        <f>IF(D798="","",IFERROR(VLOOKUP(D798,'Ürün Eşleştirme'!$A$6:$D$505,4,FALSE),1))</f>
        <v/>
      </c>
      <c r="M798" s="16">
        <f>IF(I798="","",I798/L798)</f>
        <v/>
      </c>
      <c r="N798" s="16">
        <f>IF(M798="","",IFERROR(AVERAGEIFS($M$10:$M$1009,$K$10:$K$1009,K798,$A$10:$A$1009,"&lt;"&amp;A798,$A$10:$A$1009,"&gt;="&amp;(A798-$C$6)),""))</f>
        <v/>
      </c>
      <c r="O798" s="16">
        <f>IF(M798="","",_xlfn.MINIFS($M$10:$M$1009,$K$10:$K$1009,K798,$A$10:$A$1009,"&lt;="&amp;A798,$A$10:$A$1009,"&gt;="&amp;(A798-$C$6)))</f>
        <v/>
      </c>
      <c r="P798" s="18">
        <f>IF(OR(N798="",N798=0),"",M798/N798-1)</f>
        <v/>
      </c>
      <c r="Q798">
        <f>IF(D798="","",IF(COUNTIFS($B$10:$B$1009,B798,$C$10:$C$1009,C798,$D$10:$D$1009,D798,$E$10:$E$1009,E798)&gt;1,"MÜKERRER?",IF(P798="","",IF(P798&gt;=$C$5,"İNCELE",IF(P798&lt;=-$C$5,"Düşük",""))))</f>
        <v/>
      </c>
      <c r="R798" s="16">
        <f>IF(AND(P798&lt;&gt;"",N(P798)&gt;=$C$5,COUNTIFS($B$10:B798,B798,$C$10:C798,C798,$D$10:D798,D798,$E$10:E798,E798)=1),(M798-N798)*E798*L798,0)</f>
        <v/>
      </c>
      <c r="S798" s="19">
        <f>IF(D798="",0,N(E798)*L798)</f>
        <v/>
      </c>
    </row>
    <row r="799">
      <c r="A799" s="11" t="n"/>
      <c r="B799" s="12" t="n"/>
      <c r="C799" s="12" t="n"/>
      <c r="D799" s="12" t="n"/>
      <c r="E799" s="13" t="n"/>
      <c r="F799" s="12" t="n"/>
      <c r="G799" s="14" t="n"/>
      <c r="H799" s="15" t="n"/>
      <c r="I799" s="16">
        <f>IF(G799="","",G799*(1-N(H799)))</f>
        <v/>
      </c>
      <c r="J799" s="16">
        <f>IF(I799="","",E799*I799)</f>
        <v/>
      </c>
      <c r="K799">
        <f>IF(D799="","",IFERROR(VLOOKUP(D799,'Ürün Eşleştirme'!$A$6:$D$505,2,FALSE),D799))</f>
        <v/>
      </c>
      <c r="L799" s="17">
        <f>IF(D799="","",IFERROR(VLOOKUP(D799,'Ürün Eşleştirme'!$A$6:$D$505,4,FALSE),1))</f>
        <v/>
      </c>
      <c r="M799" s="16">
        <f>IF(I799="","",I799/L799)</f>
        <v/>
      </c>
      <c r="N799" s="16">
        <f>IF(M799="","",IFERROR(AVERAGEIFS($M$10:$M$1009,$K$10:$K$1009,K799,$A$10:$A$1009,"&lt;"&amp;A799,$A$10:$A$1009,"&gt;="&amp;(A799-$C$6)),""))</f>
        <v/>
      </c>
      <c r="O799" s="16">
        <f>IF(M799="","",_xlfn.MINIFS($M$10:$M$1009,$K$10:$K$1009,K799,$A$10:$A$1009,"&lt;="&amp;A799,$A$10:$A$1009,"&gt;="&amp;(A799-$C$6)))</f>
        <v/>
      </c>
      <c r="P799" s="18">
        <f>IF(OR(N799="",N799=0),"",M799/N799-1)</f>
        <v/>
      </c>
      <c r="Q799">
        <f>IF(D799="","",IF(COUNTIFS($B$10:$B$1009,B799,$C$10:$C$1009,C799,$D$10:$D$1009,D799,$E$10:$E$1009,E799)&gt;1,"MÜKERRER?",IF(P799="","",IF(P799&gt;=$C$5,"İNCELE",IF(P799&lt;=-$C$5,"Düşük",""))))</f>
        <v/>
      </c>
      <c r="R799" s="16">
        <f>IF(AND(P799&lt;&gt;"",N(P799)&gt;=$C$5,COUNTIFS($B$10:B799,B799,$C$10:C799,C799,$D$10:D799,D799,$E$10:E799,E799)=1),(M799-N799)*E799*L799,0)</f>
        <v/>
      </c>
      <c r="S799" s="19">
        <f>IF(D799="",0,N(E799)*L799)</f>
        <v/>
      </c>
    </row>
    <row r="800">
      <c r="A800" s="11" t="n"/>
      <c r="B800" s="12" t="n"/>
      <c r="C800" s="12" t="n"/>
      <c r="D800" s="12" t="n"/>
      <c r="E800" s="13" t="n"/>
      <c r="F800" s="12" t="n"/>
      <c r="G800" s="14" t="n"/>
      <c r="H800" s="15" t="n"/>
      <c r="I800" s="16">
        <f>IF(G800="","",G800*(1-N(H800)))</f>
        <v/>
      </c>
      <c r="J800" s="16">
        <f>IF(I800="","",E800*I800)</f>
        <v/>
      </c>
      <c r="K800">
        <f>IF(D800="","",IFERROR(VLOOKUP(D800,'Ürün Eşleştirme'!$A$6:$D$505,2,FALSE),D800))</f>
        <v/>
      </c>
      <c r="L800" s="17">
        <f>IF(D800="","",IFERROR(VLOOKUP(D800,'Ürün Eşleştirme'!$A$6:$D$505,4,FALSE),1))</f>
        <v/>
      </c>
      <c r="M800" s="16">
        <f>IF(I800="","",I800/L800)</f>
        <v/>
      </c>
      <c r="N800" s="16">
        <f>IF(M800="","",IFERROR(AVERAGEIFS($M$10:$M$1009,$K$10:$K$1009,K800,$A$10:$A$1009,"&lt;"&amp;A800,$A$10:$A$1009,"&gt;="&amp;(A800-$C$6)),""))</f>
        <v/>
      </c>
      <c r="O800" s="16">
        <f>IF(M800="","",_xlfn.MINIFS($M$10:$M$1009,$K$10:$K$1009,K800,$A$10:$A$1009,"&lt;="&amp;A800,$A$10:$A$1009,"&gt;="&amp;(A800-$C$6)))</f>
        <v/>
      </c>
      <c r="P800" s="18">
        <f>IF(OR(N800="",N800=0),"",M800/N800-1)</f>
        <v/>
      </c>
      <c r="Q800">
        <f>IF(D800="","",IF(COUNTIFS($B$10:$B$1009,B800,$C$10:$C$1009,C800,$D$10:$D$1009,D800,$E$10:$E$1009,E800)&gt;1,"MÜKERRER?",IF(P800="","",IF(P800&gt;=$C$5,"İNCELE",IF(P800&lt;=-$C$5,"Düşük",""))))</f>
        <v/>
      </c>
      <c r="R800" s="16">
        <f>IF(AND(P800&lt;&gt;"",N(P800)&gt;=$C$5,COUNTIFS($B$10:B800,B800,$C$10:C800,C800,$D$10:D800,D800,$E$10:E800,E800)=1),(M800-N800)*E800*L800,0)</f>
        <v/>
      </c>
      <c r="S800" s="19">
        <f>IF(D800="",0,N(E800)*L800)</f>
        <v/>
      </c>
    </row>
    <row r="801">
      <c r="A801" s="11" t="n"/>
      <c r="B801" s="12" t="n"/>
      <c r="C801" s="12" t="n"/>
      <c r="D801" s="12" t="n"/>
      <c r="E801" s="13" t="n"/>
      <c r="F801" s="12" t="n"/>
      <c r="G801" s="14" t="n"/>
      <c r="H801" s="15" t="n"/>
      <c r="I801" s="16">
        <f>IF(G801="","",G801*(1-N(H801)))</f>
        <v/>
      </c>
      <c r="J801" s="16">
        <f>IF(I801="","",E801*I801)</f>
        <v/>
      </c>
      <c r="K801">
        <f>IF(D801="","",IFERROR(VLOOKUP(D801,'Ürün Eşleştirme'!$A$6:$D$505,2,FALSE),D801))</f>
        <v/>
      </c>
      <c r="L801" s="17">
        <f>IF(D801="","",IFERROR(VLOOKUP(D801,'Ürün Eşleştirme'!$A$6:$D$505,4,FALSE),1))</f>
        <v/>
      </c>
      <c r="M801" s="16">
        <f>IF(I801="","",I801/L801)</f>
        <v/>
      </c>
      <c r="N801" s="16">
        <f>IF(M801="","",IFERROR(AVERAGEIFS($M$10:$M$1009,$K$10:$K$1009,K801,$A$10:$A$1009,"&lt;"&amp;A801,$A$10:$A$1009,"&gt;="&amp;(A801-$C$6)),""))</f>
        <v/>
      </c>
      <c r="O801" s="16">
        <f>IF(M801="","",_xlfn.MINIFS($M$10:$M$1009,$K$10:$K$1009,K801,$A$10:$A$1009,"&lt;="&amp;A801,$A$10:$A$1009,"&gt;="&amp;(A801-$C$6)))</f>
        <v/>
      </c>
      <c r="P801" s="18">
        <f>IF(OR(N801="",N801=0),"",M801/N801-1)</f>
        <v/>
      </c>
      <c r="Q801">
        <f>IF(D801="","",IF(COUNTIFS($B$10:$B$1009,B801,$C$10:$C$1009,C801,$D$10:$D$1009,D801,$E$10:$E$1009,E801)&gt;1,"MÜKERRER?",IF(P801="","",IF(P801&gt;=$C$5,"İNCELE",IF(P801&lt;=-$C$5,"Düşük",""))))</f>
        <v/>
      </c>
      <c r="R801" s="16">
        <f>IF(AND(P801&lt;&gt;"",N(P801)&gt;=$C$5,COUNTIFS($B$10:B801,B801,$C$10:C801,C801,$D$10:D801,D801,$E$10:E801,E801)=1),(M801-N801)*E801*L801,0)</f>
        <v/>
      </c>
      <c r="S801" s="19">
        <f>IF(D801="",0,N(E801)*L801)</f>
        <v/>
      </c>
    </row>
    <row r="802">
      <c r="A802" s="11" t="n"/>
      <c r="B802" s="12" t="n"/>
      <c r="C802" s="12" t="n"/>
      <c r="D802" s="12" t="n"/>
      <c r="E802" s="13" t="n"/>
      <c r="F802" s="12" t="n"/>
      <c r="G802" s="14" t="n"/>
      <c r="H802" s="15" t="n"/>
      <c r="I802" s="16">
        <f>IF(G802="","",G802*(1-N(H802)))</f>
        <v/>
      </c>
      <c r="J802" s="16">
        <f>IF(I802="","",E802*I802)</f>
        <v/>
      </c>
      <c r="K802">
        <f>IF(D802="","",IFERROR(VLOOKUP(D802,'Ürün Eşleştirme'!$A$6:$D$505,2,FALSE),D802))</f>
        <v/>
      </c>
      <c r="L802" s="17">
        <f>IF(D802="","",IFERROR(VLOOKUP(D802,'Ürün Eşleştirme'!$A$6:$D$505,4,FALSE),1))</f>
        <v/>
      </c>
      <c r="M802" s="16">
        <f>IF(I802="","",I802/L802)</f>
        <v/>
      </c>
      <c r="N802" s="16">
        <f>IF(M802="","",IFERROR(AVERAGEIFS($M$10:$M$1009,$K$10:$K$1009,K802,$A$10:$A$1009,"&lt;"&amp;A802,$A$10:$A$1009,"&gt;="&amp;(A802-$C$6)),""))</f>
        <v/>
      </c>
      <c r="O802" s="16">
        <f>IF(M802="","",_xlfn.MINIFS($M$10:$M$1009,$K$10:$K$1009,K802,$A$10:$A$1009,"&lt;="&amp;A802,$A$10:$A$1009,"&gt;="&amp;(A802-$C$6)))</f>
        <v/>
      </c>
      <c r="P802" s="18">
        <f>IF(OR(N802="",N802=0),"",M802/N802-1)</f>
        <v/>
      </c>
      <c r="Q802">
        <f>IF(D802="","",IF(COUNTIFS($B$10:$B$1009,B802,$C$10:$C$1009,C802,$D$10:$D$1009,D802,$E$10:$E$1009,E802)&gt;1,"MÜKERRER?",IF(P802="","",IF(P802&gt;=$C$5,"İNCELE",IF(P802&lt;=-$C$5,"Düşük",""))))</f>
        <v/>
      </c>
      <c r="R802" s="16">
        <f>IF(AND(P802&lt;&gt;"",N(P802)&gt;=$C$5,COUNTIFS($B$10:B802,B802,$C$10:C802,C802,$D$10:D802,D802,$E$10:E802,E802)=1),(M802-N802)*E802*L802,0)</f>
        <v/>
      </c>
      <c r="S802" s="19">
        <f>IF(D802="",0,N(E802)*L802)</f>
        <v/>
      </c>
    </row>
    <row r="803">
      <c r="A803" s="11" t="n"/>
      <c r="B803" s="12" t="n"/>
      <c r="C803" s="12" t="n"/>
      <c r="D803" s="12" t="n"/>
      <c r="E803" s="13" t="n"/>
      <c r="F803" s="12" t="n"/>
      <c r="G803" s="14" t="n"/>
      <c r="H803" s="15" t="n"/>
      <c r="I803" s="16">
        <f>IF(G803="","",G803*(1-N(H803)))</f>
        <v/>
      </c>
      <c r="J803" s="16">
        <f>IF(I803="","",E803*I803)</f>
        <v/>
      </c>
      <c r="K803">
        <f>IF(D803="","",IFERROR(VLOOKUP(D803,'Ürün Eşleştirme'!$A$6:$D$505,2,FALSE),D803))</f>
        <v/>
      </c>
      <c r="L803" s="17">
        <f>IF(D803="","",IFERROR(VLOOKUP(D803,'Ürün Eşleştirme'!$A$6:$D$505,4,FALSE),1))</f>
        <v/>
      </c>
      <c r="M803" s="16">
        <f>IF(I803="","",I803/L803)</f>
        <v/>
      </c>
      <c r="N803" s="16">
        <f>IF(M803="","",IFERROR(AVERAGEIFS($M$10:$M$1009,$K$10:$K$1009,K803,$A$10:$A$1009,"&lt;"&amp;A803,$A$10:$A$1009,"&gt;="&amp;(A803-$C$6)),""))</f>
        <v/>
      </c>
      <c r="O803" s="16">
        <f>IF(M803="","",_xlfn.MINIFS($M$10:$M$1009,$K$10:$K$1009,K803,$A$10:$A$1009,"&lt;="&amp;A803,$A$10:$A$1009,"&gt;="&amp;(A803-$C$6)))</f>
        <v/>
      </c>
      <c r="P803" s="18">
        <f>IF(OR(N803="",N803=0),"",M803/N803-1)</f>
        <v/>
      </c>
      <c r="Q803">
        <f>IF(D803="","",IF(COUNTIFS($B$10:$B$1009,B803,$C$10:$C$1009,C803,$D$10:$D$1009,D803,$E$10:$E$1009,E803)&gt;1,"MÜKERRER?",IF(P803="","",IF(P803&gt;=$C$5,"İNCELE",IF(P803&lt;=-$C$5,"Düşük",""))))</f>
        <v/>
      </c>
      <c r="R803" s="16">
        <f>IF(AND(P803&lt;&gt;"",N(P803)&gt;=$C$5,COUNTIFS($B$10:B803,B803,$C$10:C803,C803,$D$10:D803,D803,$E$10:E803,E803)=1),(M803-N803)*E803*L803,0)</f>
        <v/>
      </c>
      <c r="S803" s="19">
        <f>IF(D803="",0,N(E803)*L803)</f>
        <v/>
      </c>
    </row>
    <row r="804">
      <c r="A804" s="11" t="n"/>
      <c r="B804" s="12" t="n"/>
      <c r="C804" s="12" t="n"/>
      <c r="D804" s="12" t="n"/>
      <c r="E804" s="13" t="n"/>
      <c r="F804" s="12" t="n"/>
      <c r="G804" s="14" t="n"/>
      <c r="H804" s="15" t="n"/>
      <c r="I804" s="16">
        <f>IF(G804="","",G804*(1-N(H804)))</f>
        <v/>
      </c>
      <c r="J804" s="16">
        <f>IF(I804="","",E804*I804)</f>
        <v/>
      </c>
      <c r="K804">
        <f>IF(D804="","",IFERROR(VLOOKUP(D804,'Ürün Eşleştirme'!$A$6:$D$505,2,FALSE),D804))</f>
        <v/>
      </c>
      <c r="L804" s="17">
        <f>IF(D804="","",IFERROR(VLOOKUP(D804,'Ürün Eşleştirme'!$A$6:$D$505,4,FALSE),1))</f>
        <v/>
      </c>
      <c r="M804" s="16">
        <f>IF(I804="","",I804/L804)</f>
        <v/>
      </c>
      <c r="N804" s="16">
        <f>IF(M804="","",IFERROR(AVERAGEIFS($M$10:$M$1009,$K$10:$K$1009,K804,$A$10:$A$1009,"&lt;"&amp;A804,$A$10:$A$1009,"&gt;="&amp;(A804-$C$6)),""))</f>
        <v/>
      </c>
      <c r="O804" s="16">
        <f>IF(M804="","",_xlfn.MINIFS($M$10:$M$1009,$K$10:$K$1009,K804,$A$10:$A$1009,"&lt;="&amp;A804,$A$10:$A$1009,"&gt;="&amp;(A804-$C$6)))</f>
        <v/>
      </c>
      <c r="P804" s="18">
        <f>IF(OR(N804="",N804=0),"",M804/N804-1)</f>
        <v/>
      </c>
      <c r="Q804">
        <f>IF(D804="","",IF(COUNTIFS($B$10:$B$1009,B804,$C$10:$C$1009,C804,$D$10:$D$1009,D804,$E$10:$E$1009,E804)&gt;1,"MÜKERRER?",IF(P804="","",IF(P804&gt;=$C$5,"İNCELE",IF(P804&lt;=-$C$5,"Düşük",""))))</f>
        <v/>
      </c>
      <c r="R804" s="16">
        <f>IF(AND(P804&lt;&gt;"",N(P804)&gt;=$C$5,COUNTIFS($B$10:B804,B804,$C$10:C804,C804,$D$10:D804,D804,$E$10:E804,E804)=1),(M804-N804)*E804*L804,0)</f>
        <v/>
      </c>
      <c r="S804" s="19">
        <f>IF(D804="",0,N(E804)*L804)</f>
        <v/>
      </c>
    </row>
    <row r="805">
      <c r="A805" s="11" t="n"/>
      <c r="B805" s="12" t="n"/>
      <c r="C805" s="12" t="n"/>
      <c r="D805" s="12" t="n"/>
      <c r="E805" s="13" t="n"/>
      <c r="F805" s="12" t="n"/>
      <c r="G805" s="14" t="n"/>
      <c r="H805" s="15" t="n"/>
      <c r="I805" s="16">
        <f>IF(G805="","",G805*(1-N(H805)))</f>
        <v/>
      </c>
      <c r="J805" s="16">
        <f>IF(I805="","",E805*I805)</f>
        <v/>
      </c>
      <c r="K805">
        <f>IF(D805="","",IFERROR(VLOOKUP(D805,'Ürün Eşleştirme'!$A$6:$D$505,2,FALSE),D805))</f>
        <v/>
      </c>
      <c r="L805" s="17">
        <f>IF(D805="","",IFERROR(VLOOKUP(D805,'Ürün Eşleştirme'!$A$6:$D$505,4,FALSE),1))</f>
        <v/>
      </c>
      <c r="M805" s="16">
        <f>IF(I805="","",I805/L805)</f>
        <v/>
      </c>
      <c r="N805" s="16">
        <f>IF(M805="","",IFERROR(AVERAGEIFS($M$10:$M$1009,$K$10:$K$1009,K805,$A$10:$A$1009,"&lt;"&amp;A805,$A$10:$A$1009,"&gt;="&amp;(A805-$C$6)),""))</f>
        <v/>
      </c>
      <c r="O805" s="16">
        <f>IF(M805="","",_xlfn.MINIFS($M$10:$M$1009,$K$10:$K$1009,K805,$A$10:$A$1009,"&lt;="&amp;A805,$A$10:$A$1009,"&gt;="&amp;(A805-$C$6)))</f>
        <v/>
      </c>
      <c r="P805" s="18">
        <f>IF(OR(N805="",N805=0),"",M805/N805-1)</f>
        <v/>
      </c>
      <c r="Q805">
        <f>IF(D805="","",IF(COUNTIFS($B$10:$B$1009,B805,$C$10:$C$1009,C805,$D$10:$D$1009,D805,$E$10:$E$1009,E805)&gt;1,"MÜKERRER?",IF(P805="","",IF(P805&gt;=$C$5,"İNCELE",IF(P805&lt;=-$C$5,"Düşük",""))))</f>
        <v/>
      </c>
      <c r="R805" s="16">
        <f>IF(AND(P805&lt;&gt;"",N(P805)&gt;=$C$5,COUNTIFS($B$10:B805,B805,$C$10:C805,C805,$D$10:D805,D805,$E$10:E805,E805)=1),(M805-N805)*E805*L805,0)</f>
        <v/>
      </c>
      <c r="S805" s="19">
        <f>IF(D805="",0,N(E805)*L805)</f>
        <v/>
      </c>
    </row>
    <row r="806">
      <c r="A806" s="11" t="n"/>
      <c r="B806" s="12" t="n"/>
      <c r="C806" s="12" t="n"/>
      <c r="D806" s="12" t="n"/>
      <c r="E806" s="13" t="n"/>
      <c r="F806" s="12" t="n"/>
      <c r="G806" s="14" t="n"/>
      <c r="H806" s="15" t="n"/>
      <c r="I806" s="16">
        <f>IF(G806="","",G806*(1-N(H806)))</f>
        <v/>
      </c>
      <c r="J806" s="16">
        <f>IF(I806="","",E806*I806)</f>
        <v/>
      </c>
      <c r="K806">
        <f>IF(D806="","",IFERROR(VLOOKUP(D806,'Ürün Eşleştirme'!$A$6:$D$505,2,FALSE),D806))</f>
        <v/>
      </c>
      <c r="L806" s="17">
        <f>IF(D806="","",IFERROR(VLOOKUP(D806,'Ürün Eşleştirme'!$A$6:$D$505,4,FALSE),1))</f>
        <v/>
      </c>
      <c r="M806" s="16">
        <f>IF(I806="","",I806/L806)</f>
        <v/>
      </c>
      <c r="N806" s="16">
        <f>IF(M806="","",IFERROR(AVERAGEIFS($M$10:$M$1009,$K$10:$K$1009,K806,$A$10:$A$1009,"&lt;"&amp;A806,$A$10:$A$1009,"&gt;="&amp;(A806-$C$6)),""))</f>
        <v/>
      </c>
      <c r="O806" s="16">
        <f>IF(M806="","",_xlfn.MINIFS($M$10:$M$1009,$K$10:$K$1009,K806,$A$10:$A$1009,"&lt;="&amp;A806,$A$10:$A$1009,"&gt;="&amp;(A806-$C$6)))</f>
        <v/>
      </c>
      <c r="P806" s="18">
        <f>IF(OR(N806="",N806=0),"",M806/N806-1)</f>
        <v/>
      </c>
      <c r="Q806">
        <f>IF(D806="","",IF(COUNTIFS($B$10:$B$1009,B806,$C$10:$C$1009,C806,$D$10:$D$1009,D806,$E$10:$E$1009,E806)&gt;1,"MÜKERRER?",IF(P806="","",IF(P806&gt;=$C$5,"İNCELE",IF(P806&lt;=-$C$5,"Düşük",""))))</f>
        <v/>
      </c>
      <c r="R806" s="16">
        <f>IF(AND(P806&lt;&gt;"",N(P806)&gt;=$C$5,COUNTIFS($B$10:B806,B806,$C$10:C806,C806,$D$10:D806,D806,$E$10:E806,E806)=1),(M806-N806)*E806*L806,0)</f>
        <v/>
      </c>
      <c r="S806" s="19">
        <f>IF(D806="",0,N(E806)*L806)</f>
        <v/>
      </c>
    </row>
    <row r="807">
      <c r="A807" s="11" t="n"/>
      <c r="B807" s="12" t="n"/>
      <c r="C807" s="12" t="n"/>
      <c r="D807" s="12" t="n"/>
      <c r="E807" s="13" t="n"/>
      <c r="F807" s="12" t="n"/>
      <c r="G807" s="14" t="n"/>
      <c r="H807" s="15" t="n"/>
      <c r="I807" s="16">
        <f>IF(G807="","",G807*(1-N(H807)))</f>
        <v/>
      </c>
      <c r="J807" s="16">
        <f>IF(I807="","",E807*I807)</f>
        <v/>
      </c>
      <c r="K807">
        <f>IF(D807="","",IFERROR(VLOOKUP(D807,'Ürün Eşleştirme'!$A$6:$D$505,2,FALSE),D807))</f>
        <v/>
      </c>
      <c r="L807" s="17">
        <f>IF(D807="","",IFERROR(VLOOKUP(D807,'Ürün Eşleştirme'!$A$6:$D$505,4,FALSE),1))</f>
        <v/>
      </c>
      <c r="M807" s="16">
        <f>IF(I807="","",I807/L807)</f>
        <v/>
      </c>
      <c r="N807" s="16">
        <f>IF(M807="","",IFERROR(AVERAGEIFS($M$10:$M$1009,$K$10:$K$1009,K807,$A$10:$A$1009,"&lt;"&amp;A807,$A$10:$A$1009,"&gt;="&amp;(A807-$C$6)),""))</f>
        <v/>
      </c>
      <c r="O807" s="16">
        <f>IF(M807="","",_xlfn.MINIFS($M$10:$M$1009,$K$10:$K$1009,K807,$A$10:$A$1009,"&lt;="&amp;A807,$A$10:$A$1009,"&gt;="&amp;(A807-$C$6)))</f>
        <v/>
      </c>
      <c r="P807" s="18">
        <f>IF(OR(N807="",N807=0),"",M807/N807-1)</f>
        <v/>
      </c>
      <c r="Q807">
        <f>IF(D807="","",IF(COUNTIFS($B$10:$B$1009,B807,$C$10:$C$1009,C807,$D$10:$D$1009,D807,$E$10:$E$1009,E807)&gt;1,"MÜKERRER?",IF(P807="","",IF(P807&gt;=$C$5,"İNCELE",IF(P807&lt;=-$C$5,"Düşük",""))))</f>
        <v/>
      </c>
      <c r="R807" s="16">
        <f>IF(AND(P807&lt;&gt;"",N(P807)&gt;=$C$5,COUNTIFS($B$10:B807,B807,$C$10:C807,C807,$D$10:D807,D807,$E$10:E807,E807)=1),(M807-N807)*E807*L807,0)</f>
        <v/>
      </c>
      <c r="S807" s="19">
        <f>IF(D807="",0,N(E807)*L807)</f>
        <v/>
      </c>
    </row>
    <row r="808">
      <c r="A808" s="11" t="n"/>
      <c r="B808" s="12" t="n"/>
      <c r="C808" s="12" t="n"/>
      <c r="D808" s="12" t="n"/>
      <c r="E808" s="13" t="n"/>
      <c r="F808" s="12" t="n"/>
      <c r="G808" s="14" t="n"/>
      <c r="H808" s="15" t="n"/>
      <c r="I808" s="16">
        <f>IF(G808="","",G808*(1-N(H808)))</f>
        <v/>
      </c>
      <c r="J808" s="16">
        <f>IF(I808="","",E808*I808)</f>
        <v/>
      </c>
      <c r="K808">
        <f>IF(D808="","",IFERROR(VLOOKUP(D808,'Ürün Eşleştirme'!$A$6:$D$505,2,FALSE),D808))</f>
        <v/>
      </c>
      <c r="L808" s="17">
        <f>IF(D808="","",IFERROR(VLOOKUP(D808,'Ürün Eşleştirme'!$A$6:$D$505,4,FALSE),1))</f>
        <v/>
      </c>
      <c r="M808" s="16">
        <f>IF(I808="","",I808/L808)</f>
        <v/>
      </c>
      <c r="N808" s="16">
        <f>IF(M808="","",IFERROR(AVERAGEIFS($M$10:$M$1009,$K$10:$K$1009,K808,$A$10:$A$1009,"&lt;"&amp;A808,$A$10:$A$1009,"&gt;="&amp;(A808-$C$6)),""))</f>
        <v/>
      </c>
      <c r="O808" s="16">
        <f>IF(M808="","",_xlfn.MINIFS($M$10:$M$1009,$K$10:$K$1009,K808,$A$10:$A$1009,"&lt;="&amp;A808,$A$10:$A$1009,"&gt;="&amp;(A808-$C$6)))</f>
        <v/>
      </c>
      <c r="P808" s="18">
        <f>IF(OR(N808="",N808=0),"",M808/N808-1)</f>
        <v/>
      </c>
      <c r="Q808">
        <f>IF(D808="","",IF(COUNTIFS($B$10:$B$1009,B808,$C$10:$C$1009,C808,$D$10:$D$1009,D808,$E$10:$E$1009,E808)&gt;1,"MÜKERRER?",IF(P808="","",IF(P808&gt;=$C$5,"İNCELE",IF(P808&lt;=-$C$5,"Düşük",""))))</f>
        <v/>
      </c>
      <c r="R808" s="16">
        <f>IF(AND(P808&lt;&gt;"",N(P808)&gt;=$C$5,COUNTIFS($B$10:B808,B808,$C$10:C808,C808,$D$10:D808,D808,$E$10:E808,E808)=1),(M808-N808)*E808*L808,0)</f>
        <v/>
      </c>
      <c r="S808" s="19">
        <f>IF(D808="",0,N(E808)*L808)</f>
        <v/>
      </c>
    </row>
    <row r="809">
      <c r="A809" s="11" t="n"/>
      <c r="B809" s="12" t="n"/>
      <c r="C809" s="12" t="n"/>
      <c r="D809" s="12" t="n"/>
      <c r="E809" s="13" t="n"/>
      <c r="F809" s="12" t="n"/>
      <c r="G809" s="14" t="n"/>
      <c r="H809" s="15" t="n"/>
      <c r="I809" s="16">
        <f>IF(G809="","",G809*(1-N(H809)))</f>
        <v/>
      </c>
      <c r="J809" s="16">
        <f>IF(I809="","",E809*I809)</f>
        <v/>
      </c>
      <c r="K809">
        <f>IF(D809="","",IFERROR(VLOOKUP(D809,'Ürün Eşleştirme'!$A$6:$D$505,2,FALSE),D809))</f>
        <v/>
      </c>
      <c r="L809" s="17">
        <f>IF(D809="","",IFERROR(VLOOKUP(D809,'Ürün Eşleştirme'!$A$6:$D$505,4,FALSE),1))</f>
        <v/>
      </c>
      <c r="M809" s="16">
        <f>IF(I809="","",I809/L809)</f>
        <v/>
      </c>
      <c r="N809" s="16">
        <f>IF(M809="","",IFERROR(AVERAGEIFS($M$10:$M$1009,$K$10:$K$1009,K809,$A$10:$A$1009,"&lt;"&amp;A809,$A$10:$A$1009,"&gt;="&amp;(A809-$C$6)),""))</f>
        <v/>
      </c>
      <c r="O809" s="16">
        <f>IF(M809="","",_xlfn.MINIFS($M$10:$M$1009,$K$10:$K$1009,K809,$A$10:$A$1009,"&lt;="&amp;A809,$A$10:$A$1009,"&gt;="&amp;(A809-$C$6)))</f>
        <v/>
      </c>
      <c r="P809" s="18">
        <f>IF(OR(N809="",N809=0),"",M809/N809-1)</f>
        <v/>
      </c>
      <c r="Q809">
        <f>IF(D809="","",IF(COUNTIFS($B$10:$B$1009,B809,$C$10:$C$1009,C809,$D$10:$D$1009,D809,$E$10:$E$1009,E809)&gt;1,"MÜKERRER?",IF(P809="","",IF(P809&gt;=$C$5,"İNCELE",IF(P809&lt;=-$C$5,"Düşük",""))))</f>
        <v/>
      </c>
      <c r="R809" s="16">
        <f>IF(AND(P809&lt;&gt;"",N(P809)&gt;=$C$5,COUNTIFS($B$10:B809,B809,$C$10:C809,C809,$D$10:D809,D809,$E$10:E809,E809)=1),(M809-N809)*E809*L809,0)</f>
        <v/>
      </c>
      <c r="S809" s="19">
        <f>IF(D809="",0,N(E809)*L809)</f>
        <v/>
      </c>
    </row>
    <row r="810">
      <c r="A810" s="11" t="n"/>
      <c r="B810" s="12" t="n"/>
      <c r="C810" s="12" t="n"/>
      <c r="D810" s="12" t="n"/>
      <c r="E810" s="13" t="n"/>
      <c r="F810" s="12" t="n"/>
      <c r="G810" s="14" t="n"/>
      <c r="H810" s="15" t="n"/>
      <c r="I810" s="16">
        <f>IF(G810="","",G810*(1-N(H810)))</f>
        <v/>
      </c>
      <c r="J810" s="16">
        <f>IF(I810="","",E810*I810)</f>
        <v/>
      </c>
      <c r="K810">
        <f>IF(D810="","",IFERROR(VLOOKUP(D810,'Ürün Eşleştirme'!$A$6:$D$505,2,FALSE),D810))</f>
        <v/>
      </c>
      <c r="L810" s="17">
        <f>IF(D810="","",IFERROR(VLOOKUP(D810,'Ürün Eşleştirme'!$A$6:$D$505,4,FALSE),1))</f>
        <v/>
      </c>
      <c r="M810" s="16">
        <f>IF(I810="","",I810/L810)</f>
        <v/>
      </c>
      <c r="N810" s="16">
        <f>IF(M810="","",IFERROR(AVERAGEIFS($M$10:$M$1009,$K$10:$K$1009,K810,$A$10:$A$1009,"&lt;"&amp;A810,$A$10:$A$1009,"&gt;="&amp;(A810-$C$6)),""))</f>
        <v/>
      </c>
      <c r="O810" s="16">
        <f>IF(M810="","",_xlfn.MINIFS($M$10:$M$1009,$K$10:$K$1009,K810,$A$10:$A$1009,"&lt;="&amp;A810,$A$10:$A$1009,"&gt;="&amp;(A810-$C$6)))</f>
        <v/>
      </c>
      <c r="P810" s="18">
        <f>IF(OR(N810="",N810=0),"",M810/N810-1)</f>
        <v/>
      </c>
      <c r="Q810">
        <f>IF(D810="","",IF(COUNTIFS($B$10:$B$1009,B810,$C$10:$C$1009,C810,$D$10:$D$1009,D810,$E$10:$E$1009,E810)&gt;1,"MÜKERRER?",IF(P810="","",IF(P810&gt;=$C$5,"İNCELE",IF(P810&lt;=-$C$5,"Düşük",""))))</f>
        <v/>
      </c>
      <c r="R810" s="16">
        <f>IF(AND(P810&lt;&gt;"",N(P810)&gt;=$C$5,COUNTIFS($B$10:B810,B810,$C$10:C810,C810,$D$10:D810,D810,$E$10:E810,E810)=1),(M810-N810)*E810*L810,0)</f>
        <v/>
      </c>
      <c r="S810" s="19">
        <f>IF(D810="",0,N(E810)*L810)</f>
        <v/>
      </c>
    </row>
    <row r="811">
      <c r="A811" s="11" t="n"/>
      <c r="B811" s="12" t="n"/>
      <c r="C811" s="12" t="n"/>
      <c r="D811" s="12" t="n"/>
      <c r="E811" s="13" t="n"/>
      <c r="F811" s="12" t="n"/>
      <c r="G811" s="14" t="n"/>
      <c r="H811" s="15" t="n"/>
      <c r="I811" s="16">
        <f>IF(G811="","",G811*(1-N(H811)))</f>
        <v/>
      </c>
      <c r="J811" s="16">
        <f>IF(I811="","",E811*I811)</f>
        <v/>
      </c>
      <c r="K811">
        <f>IF(D811="","",IFERROR(VLOOKUP(D811,'Ürün Eşleştirme'!$A$6:$D$505,2,FALSE),D811))</f>
        <v/>
      </c>
      <c r="L811" s="17">
        <f>IF(D811="","",IFERROR(VLOOKUP(D811,'Ürün Eşleştirme'!$A$6:$D$505,4,FALSE),1))</f>
        <v/>
      </c>
      <c r="M811" s="16">
        <f>IF(I811="","",I811/L811)</f>
        <v/>
      </c>
      <c r="N811" s="16">
        <f>IF(M811="","",IFERROR(AVERAGEIFS($M$10:$M$1009,$K$10:$K$1009,K811,$A$10:$A$1009,"&lt;"&amp;A811,$A$10:$A$1009,"&gt;="&amp;(A811-$C$6)),""))</f>
        <v/>
      </c>
      <c r="O811" s="16">
        <f>IF(M811="","",_xlfn.MINIFS($M$10:$M$1009,$K$10:$K$1009,K811,$A$10:$A$1009,"&lt;="&amp;A811,$A$10:$A$1009,"&gt;="&amp;(A811-$C$6)))</f>
        <v/>
      </c>
      <c r="P811" s="18">
        <f>IF(OR(N811="",N811=0),"",M811/N811-1)</f>
        <v/>
      </c>
      <c r="Q811">
        <f>IF(D811="","",IF(COUNTIFS($B$10:$B$1009,B811,$C$10:$C$1009,C811,$D$10:$D$1009,D811,$E$10:$E$1009,E811)&gt;1,"MÜKERRER?",IF(P811="","",IF(P811&gt;=$C$5,"İNCELE",IF(P811&lt;=-$C$5,"Düşük",""))))</f>
        <v/>
      </c>
      <c r="R811" s="16">
        <f>IF(AND(P811&lt;&gt;"",N(P811)&gt;=$C$5,COUNTIFS($B$10:B811,B811,$C$10:C811,C811,$D$10:D811,D811,$E$10:E811,E811)=1),(M811-N811)*E811*L811,0)</f>
        <v/>
      </c>
      <c r="S811" s="19">
        <f>IF(D811="",0,N(E811)*L811)</f>
        <v/>
      </c>
    </row>
    <row r="812">
      <c r="A812" s="11" t="n"/>
      <c r="B812" s="12" t="n"/>
      <c r="C812" s="12" t="n"/>
      <c r="D812" s="12" t="n"/>
      <c r="E812" s="13" t="n"/>
      <c r="F812" s="12" t="n"/>
      <c r="G812" s="14" t="n"/>
      <c r="H812" s="15" t="n"/>
      <c r="I812" s="16">
        <f>IF(G812="","",G812*(1-N(H812)))</f>
        <v/>
      </c>
      <c r="J812" s="16">
        <f>IF(I812="","",E812*I812)</f>
        <v/>
      </c>
      <c r="K812">
        <f>IF(D812="","",IFERROR(VLOOKUP(D812,'Ürün Eşleştirme'!$A$6:$D$505,2,FALSE),D812))</f>
        <v/>
      </c>
      <c r="L812" s="17">
        <f>IF(D812="","",IFERROR(VLOOKUP(D812,'Ürün Eşleştirme'!$A$6:$D$505,4,FALSE),1))</f>
        <v/>
      </c>
      <c r="M812" s="16">
        <f>IF(I812="","",I812/L812)</f>
        <v/>
      </c>
      <c r="N812" s="16">
        <f>IF(M812="","",IFERROR(AVERAGEIFS($M$10:$M$1009,$K$10:$K$1009,K812,$A$10:$A$1009,"&lt;"&amp;A812,$A$10:$A$1009,"&gt;="&amp;(A812-$C$6)),""))</f>
        <v/>
      </c>
      <c r="O812" s="16">
        <f>IF(M812="","",_xlfn.MINIFS($M$10:$M$1009,$K$10:$K$1009,K812,$A$10:$A$1009,"&lt;="&amp;A812,$A$10:$A$1009,"&gt;="&amp;(A812-$C$6)))</f>
        <v/>
      </c>
      <c r="P812" s="18">
        <f>IF(OR(N812="",N812=0),"",M812/N812-1)</f>
        <v/>
      </c>
      <c r="Q812">
        <f>IF(D812="","",IF(COUNTIFS($B$10:$B$1009,B812,$C$10:$C$1009,C812,$D$10:$D$1009,D812,$E$10:$E$1009,E812)&gt;1,"MÜKERRER?",IF(P812="","",IF(P812&gt;=$C$5,"İNCELE",IF(P812&lt;=-$C$5,"Düşük",""))))</f>
        <v/>
      </c>
      <c r="R812" s="16">
        <f>IF(AND(P812&lt;&gt;"",N(P812)&gt;=$C$5,COUNTIFS($B$10:B812,B812,$C$10:C812,C812,$D$10:D812,D812,$E$10:E812,E812)=1),(M812-N812)*E812*L812,0)</f>
        <v/>
      </c>
      <c r="S812" s="19">
        <f>IF(D812="",0,N(E812)*L812)</f>
        <v/>
      </c>
    </row>
    <row r="813">
      <c r="A813" s="11" t="n"/>
      <c r="B813" s="12" t="n"/>
      <c r="C813" s="12" t="n"/>
      <c r="D813" s="12" t="n"/>
      <c r="E813" s="13" t="n"/>
      <c r="F813" s="12" t="n"/>
      <c r="G813" s="14" t="n"/>
      <c r="H813" s="15" t="n"/>
      <c r="I813" s="16">
        <f>IF(G813="","",G813*(1-N(H813)))</f>
        <v/>
      </c>
      <c r="J813" s="16">
        <f>IF(I813="","",E813*I813)</f>
        <v/>
      </c>
      <c r="K813">
        <f>IF(D813="","",IFERROR(VLOOKUP(D813,'Ürün Eşleştirme'!$A$6:$D$505,2,FALSE),D813))</f>
        <v/>
      </c>
      <c r="L813" s="17">
        <f>IF(D813="","",IFERROR(VLOOKUP(D813,'Ürün Eşleştirme'!$A$6:$D$505,4,FALSE),1))</f>
        <v/>
      </c>
      <c r="M813" s="16">
        <f>IF(I813="","",I813/L813)</f>
        <v/>
      </c>
      <c r="N813" s="16">
        <f>IF(M813="","",IFERROR(AVERAGEIFS($M$10:$M$1009,$K$10:$K$1009,K813,$A$10:$A$1009,"&lt;"&amp;A813,$A$10:$A$1009,"&gt;="&amp;(A813-$C$6)),""))</f>
        <v/>
      </c>
      <c r="O813" s="16">
        <f>IF(M813="","",_xlfn.MINIFS($M$10:$M$1009,$K$10:$K$1009,K813,$A$10:$A$1009,"&lt;="&amp;A813,$A$10:$A$1009,"&gt;="&amp;(A813-$C$6)))</f>
        <v/>
      </c>
      <c r="P813" s="18">
        <f>IF(OR(N813="",N813=0),"",M813/N813-1)</f>
        <v/>
      </c>
      <c r="Q813">
        <f>IF(D813="","",IF(COUNTIFS($B$10:$B$1009,B813,$C$10:$C$1009,C813,$D$10:$D$1009,D813,$E$10:$E$1009,E813)&gt;1,"MÜKERRER?",IF(P813="","",IF(P813&gt;=$C$5,"İNCELE",IF(P813&lt;=-$C$5,"Düşük",""))))</f>
        <v/>
      </c>
      <c r="R813" s="16">
        <f>IF(AND(P813&lt;&gt;"",N(P813)&gt;=$C$5,COUNTIFS($B$10:B813,B813,$C$10:C813,C813,$D$10:D813,D813,$E$10:E813,E813)=1),(M813-N813)*E813*L813,0)</f>
        <v/>
      </c>
      <c r="S813" s="19">
        <f>IF(D813="",0,N(E813)*L813)</f>
        <v/>
      </c>
    </row>
    <row r="814">
      <c r="A814" s="11" t="n"/>
      <c r="B814" s="12" t="n"/>
      <c r="C814" s="12" t="n"/>
      <c r="D814" s="12" t="n"/>
      <c r="E814" s="13" t="n"/>
      <c r="F814" s="12" t="n"/>
      <c r="G814" s="14" t="n"/>
      <c r="H814" s="15" t="n"/>
      <c r="I814" s="16">
        <f>IF(G814="","",G814*(1-N(H814)))</f>
        <v/>
      </c>
      <c r="J814" s="16">
        <f>IF(I814="","",E814*I814)</f>
        <v/>
      </c>
      <c r="K814">
        <f>IF(D814="","",IFERROR(VLOOKUP(D814,'Ürün Eşleştirme'!$A$6:$D$505,2,FALSE),D814))</f>
        <v/>
      </c>
      <c r="L814" s="17">
        <f>IF(D814="","",IFERROR(VLOOKUP(D814,'Ürün Eşleştirme'!$A$6:$D$505,4,FALSE),1))</f>
        <v/>
      </c>
      <c r="M814" s="16">
        <f>IF(I814="","",I814/L814)</f>
        <v/>
      </c>
      <c r="N814" s="16">
        <f>IF(M814="","",IFERROR(AVERAGEIFS($M$10:$M$1009,$K$10:$K$1009,K814,$A$10:$A$1009,"&lt;"&amp;A814,$A$10:$A$1009,"&gt;="&amp;(A814-$C$6)),""))</f>
        <v/>
      </c>
      <c r="O814" s="16">
        <f>IF(M814="","",_xlfn.MINIFS($M$10:$M$1009,$K$10:$K$1009,K814,$A$10:$A$1009,"&lt;="&amp;A814,$A$10:$A$1009,"&gt;="&amp;(A814-$C$6)))</f>
        <v/>
      </c>
      <c r="P814" s="18">
        <f>IF(OR(N814="",N814=0),"",M814/N814-1)</f>
        <v/>
      </c>
      <c r="Q814">
        <f>IF(D814="","",IF(COUNTIFS($B$10:$B$1009,B814,$C$10:$C$1009,C814,$D$10:$D$1009,D814,$E$10:$E$1009,E814)&gt;1,"MÜKERRER?",IF(P814="","",IF(P814&gt;=$C$5,"İNCELE",IF(P814&lt;=-$C$5,"Düşük",""))))</f>
        <v/>
      </c>
      <c r="R814" s="16">
        <f>IF(AND(P814&lt;&gt;"",N(P814)&gt;=$C$5,COUNTIFS($B$10:B814,B814,$C$10:C814,C814,$D$10:D814,D814,$E$10:E814,E814)=1),(M814-N814)*E814*L814,0)</f>
        <v/>
      </c>
      <c r="S814" s="19">
        <f>IF(D814="",0,N(E814)*L814)</f>
        <v/>
      </c>
    </row>
    <row r="815">
      <c r="A815" s="11" t="n"/>
      <c r="B815" s="12" t="n"/>
      <c r="C815" s="12" t="n"/>
      <c r="D815" s="12" t="n"/>
      <c r="E815" s="13" t="n"/>
      <c r="F815" s="12" t="n"/>
      <c r="G815" s="14" t="n"/>
      <c r="H815" s="15" t="n"/>
      <c r="I815" s="16">
        <f>IF(G815="","",G815*(1-N(H815)))</f>
        <v/>
      </c>
      <c r="J815" s="16">
        <f>IF(I815="","",E815*I815)</f>
        <v/>
      </c>
      <c r="K815">
        <f>IF(D815="","",IFERROR(VLOOKUP(D815,'Ürün Eşleştirme'!$A$6:$D$505,2,FALSE),D815))</f>
        <v/>
      </c>
      <c r="L815" s="17">
        <f>IF(D815="","",IFERROR(VLOOKUP(D815,'Ürün Eşleştirme'!$A$6:$D$505,4,FALSE),1))</f>
        <v/>
      </c>
      <c r="M815" s="16">
        <f>IF(I815="","",I815/L815)</f>
        <v/>
      </c>
      <c r="N815" s="16">
        <f>IF(M815="","",IFERROR(AVERAGEIFS($M$10:$M$1009,$K$10:$K$1009,K815,$A$10:$A$1009,"&lt;"&amp;A815,$A$10:$A$1009,"&gt;="&amp;(A815-$C$6)),""))</f>
        <v/>
      </c>
      <c r="O815" s="16">
        <f>IF(M815="","",_xlfn.MINIFS($M$10:$M$1009,$K$10:$K$1009,K815,$A$10:$A$1009,"&lt;="&amp;A815,$A$10:$A$1009,"&gt;="&amp;(A815-$C$6)))</f>
        <v/>
      </c>
      <c r="P815" s="18">
        <f>IF(OR(N815="",N815=0),"",M815/N815-1)</f>
        <v/>
      </c>
      <c r="Q815">
        <f>IF(D815="","",IF(COUNTIFS($B$10:$B$1009,B815,$C$10:$C$1009,C815,$D$10:$D$1009,D815,$E$10:$E$1009,E815)&gt;1,"MÜKERRER?",IF(P815="","",IF(P815&gt;=$C$5,"İNCELE",IF(P815&lt;=-$C$5,"Düşük",""))))</f>
        <v/>
      </c>
      <c r="R815" s="16">
        <f>IF(AND(P815&lt;&gt;"",N(P815)&gt;=$C$5,COUNTIFS($B$10:B815,B815,$C$10:C815,C815,$D$10:D815,D815,$E$10:E815,E815)=1),(M815-N815)*E815*L815,0)</f>
        <v/>
      </c>
      <c r="S815" s="19">
        <f>IF(D815="",0,N(E815)*L815)</f>
        <v/>
      </c>
    </row>
    <row r="816">
      <c r="A816" s="11" t="n"/>
      <c r="B816" s="12" t="n"/>
      <c r="C816" s="12" t="n"/>
      <c r="D816" s="12" t="n"/>
      <c r="E816" s="13" t="n"/>
      <c r="F816" s="12" t="n"/>
      <c r="G816" s="14" t="n"/>
      <c r="H816" s="15" t="n"/>
      <c r="I816" s="16">
        <f>IF(G816="","",G816*(1-N(H816)))</f>
        <v/>
      </c>
      <c r="J816" s="16">
        <f>IF(I816="","",E816*I816)</f>
        <v/>
      </c>
      <c r="K816">
        <f>IF(D816="","",IFERROR(VLOOKUP(D816,'Ürün Eşleştirme'!$A$6:$D$505,2,FALSE),D816))</f>
        <v/>
      </c>
      <c r="L816" s="17">
        <f>IF(D816="","",IFERROR(VLOOKUP(D816,'Ürün Eşleştirme'!$A$6:$D$505,4,FALSE),1))</f>
        <v/>
      </c>
      <c r="M816" s="16">
        <f>IF(I816="","",I816/L816)</f>
        <v/>
      </c>
      <c r="N816" s="16">
        <f>IF(M816="","",IFERROR(AVERAGEIFS($M$10:$M$1009,$K$10:$K$1009,K816,$A$10:$A$1009,"&lt;"&amp;A816,$A$10:$A$1009,"&gt;="&amp;(A816-$C$6)),""))</f>
        <v/>
      </c>
      <c r="O816" s="16">
        <f>IF(M816="","",_xlfn.MINIFS($M$10:$M$1009,$K$10:$K$1009,K816,$A$10:$A$1009,"&lt;="&amp;A816,$A$10:$A$1009,"&gt;="&amp;(A816-$C$6)))</f>
        <v/>
      </c>
      <c r="P816" s="18">
        <f>IF(OR(N816="",N816=0),"",M816/N816-1)</f>
        <v/>
      </c>
      <c r="Q816">
        <f>IF(D816="","",IF(COUNTIFS($B$10:$B$1009,B816,$C$10:$C$1009,C816,$D$10:$D$1009,D816,$E$10:$E$1009,E816)&gt;1,"MÜKERRER?",IF(P816="","",IF(P816&gt;=$C$5,"İNCELE",IF(P816&lt;=-$C$5,"Düşük",""))))</f>
        <v/>
      </c>
      <c r="R816" s="16">
        <f>IF(AND(P816&lt;&gt;"",N(P816)&gt;=$C$5,COUNTIFS($B$10:B816,B816,$C$10:C816,C816,$D$10:D816,D816,$E$10:E816,E816)=1),(M816-N816)*E816*L816,0)</f>
        <v/>
      </c>
      <c r="S816" s="19">
        <f>IF(D816="",0,N(E816)*L816)</f>
        <v/>
      </c>
    </row>
    <row r="817">
      <c r="A817" s="11" t="n"/>
      <c r="B817" s="12" t="n"/>
      <c r="C817" s="12" t="n"/>
      <c r="D817" s="12" t="n"/>
      <c r="E817" s="13" t="n"/>
      <c r="F817" s="12" t="n"/>
      <c r="G817" s="14" t="n"/>
      <c r="H817" s="15" t="n"/>
      <c r="I817" s="16">
        <f>IF(G817="","",G817*(1-N(H817)))</f>
        <v/>
      </c>
      <c r="J817" s="16">
        <f>IF(I817="","",E817*I817)</f>
        <v/>
      </c>
      <c r="K817">
        <f>IF(D817="","",IFERROR(VLOOKUP(D817,'Ürün Eşleştirme'!$A$6:$D$505,2,FALSE),D817))</f>
        <v/>
      </c>
      <c r="L817" s="17">
        <f>IF(D817="","",IFERROR(VLOOKUP(D817,'Ürün Eşleştirme'!$A$6:$D$505,4,FALSE),1))</f>
        <v/>
      </c>
      <c r="M817" s="16">
        <f>IF(I817="","",I817/L817)</f>
        <v/>
      </c>
      <c r="N817" s="16">
        <f>IF(M817="","",IFERROR(AVERAGEIFS($M$10:$M$1009,$K$10:$K$1009,K817,$A$10:$A$1009,"&lt;"&amp;A817,$A$10:$A$1009,"&gt;="&amp;(A817-$C$6)),""))</f>
        <v/>
      </c>
      <c r="O817" s="16">
        <f>IF(M817="","",_xlfn.MINIFS($M$10:$M$1009,$K$10:$K$1009,K817,$A$10:$A$1009,"&lt;="&amp;A817,$A$10:$A$1009,"&gt;="&amp;(A817-$C$6)))</f>
        <v/>
      </c>
      <c r="P817" s="18">
        <f>IF(OR(N817="",N817=0),"",M817/N817-1)</f>
        <v/>
      </c>
      <c r="Q817">
        <f>IF(D817="","",IF(COUNTIFS($B$10:$B$1009,B817,$C$10:$C$1009,C817,$D$10:$D$1009,D817,$E$10:$E$1009,E817)&gt;1,"MÜKERRER?",IF(P817="","",IF(P817&gt;=$C$5,"İNCELE",IF(P817&lt;=-$C$5,"Düşük",""))))</f>
        <v/>
      </c>
      <c r="R817" s="16">
        <f>IF(AND(P817&lt;&gt;"",N(P817)&gt;=$C$5,COUNTIFS($B$10:B817,B817,$C$10:C817,C817,$D$10:D817,D817,$E$10:E817,E817)=1),(M817-N817)*E817*L817,0)</f>
        <v/>
      </c>
      <c r="S817" s="19">
        <f>IF(D817="",0,N(E817)*L817)</f>
        <v/>
      </c>
    </row>
    <row r="818">
      <c r="A818" s="11" t="n"/>
      <c r="B818" s="12" t="n"/>
      <c r="C818" s="12" t="n"/>
      <c r="D818" s="12" t="n"/>
      <c r="E818" s="13" t="n"/>
      <c r="F818" s="12" t="n"/>
      <c r="G818" s="14" t="n"/>
      <c r="H818" s="15" t="n"/>
      <c r="I818" s="16">
        <f>IF(G818="","",G818*(1-N(H818)))</f>
        <v/>
      </c>
      <c r="J818" s="16">
        <f>IF(I818="","",E818*I818)</f>
        <v/>
      </c>
      <c r="K818">
        <f>IF(D818="","",IFERROR(VLOOKUP(D818,'Ürün Eşleştirme'!$A$6:$D$505,2,FALSE),D818))</f>
        <v/>
      </c>
      <c r="L818" s="17">
        <f>IF(D818="","",IFERROR(VLOOKUP(D818,'Ürün Eşleştirme'!$A$6:$D$505,4,FALSE),1))</f>
        <v/>
      </c>
      <c r="M818" s="16">
        <f>IF(I818="","",I818/L818)</f>
        <v/>
      </c>
      <c r="N818" s="16">
        <f>IF(M818="","",IFERROR(AVERAGEIFS($M$10:$M$1009,$K$10:$K$1009,K818,$A$10:$A$1009,"&lt;"&amp;A818,$A$10:$A$1009,"&gt;="&amp;(A818-$C$6)),""))</f>
        <v/>
      </c>
      <c r="O818" s="16">
        <f>IF(M818="","",_xlfn.MINIFS($M$10:$M$1009,$K$10:$K$1009,K818,$A$10:$A$1009,"&lt;="&amp;A818,$A$10:$A$1009,"&gt;="&amp;(A818-$C$6)))</f>
        <v/>
      </c>
      <c r="P818" s="18">
        <f>IF(OR(N818="",N818=0),"",M818/N818-1)</f>
        <v/>
      </c>
      <c r="Q818">
        <f>IF(D818="","",IF(COUNTIFS($B$10:$B$1009,B818,$C$10:$C$1009,C818,$D$10:$D$1009,D818,$E$10:$E$1009,E818)&gt;1,"MÜKERRER?",IF(P818="","",IF(P818&gt;=$C$5,"İNCELE",IF(P818&lt;=-$C$5,"Düşük",""))))</f>
        <v/>
      </c>
      <c r="R818" s="16">
        <f>IF(AND(P818&lt;&gt;"",N(P818)&gt;=$C$5,COUNTIFS($B$10:B818,B818,$C$10:C818,C818,$D$10:D818,D818,$E$10:E818,E818)=1),(M818-N818)*E818*L818,0)</f>
        <v/>
      </c>
      <c r="S818" s="19">
        <f>IF(D818="",0,N(E818)*L818)</f>
        <v/>
      </c>
    </row>
    <row r="819">
      <c r="A819" s="11" t="n"/>
      <c r="B819" s="12" t="n"/>
      <c r="C819" s="12" t="n"/>
      <c r="D819" s="12" t="n"/>
      <c r="E819" s="13" t="n"/>
      <c r="F819" s="12" t="n"/>
      <c r="G819" s="14" t="n"/>
      <c r="H819" s="15" t="n"/>
      <c r="I819" s="16">
        <f>IF(G819="","",G819*(1-N(H819)))</f>
        <v/>
      </c>
      <c r="J819" s="16">
        <f>IF(I819="","",E819*I819)</f>
        <v/>
      </c>
      <c r="K819">
        <f>IF(D819="","",IFERROR(VLOOKUP(D819,'Ürün Eşleştirme'!$A$6:$D$505,2,FALSE),D819))</f>
        <v/>
      </c>
      <c r="L819" s="17">
        <f>IF(D819="","",IFERROR(VLOOKUP(D819,'Ürün Eşleştirme'!$A$6:$D$505,4,FALSE),1))</f>
        <v/>
      </c>
      <c r="M819" s="16">
        <f>IF(I819="","",I819/L819)</f>
        <v/>
      </c>
      <c r="N819" s="16">
        <f>IF(M819="","",IFERROR(AVERAGEIFS($M$10:$M$1009,$K$10:$K$1009,K819,$A$10:$A$1009,"&lt;"&amp;A819,$A$10:$A$1009,"&gt;="&amp;(A819-$C$6)),""))</f>
        <v/>
      </c>
      <c r="O819" s="16">
        <f>IF(M819="","",_xlfn.MINIFS($M$10:$M$1009,$K$10:$K$1009,K819,$A$10:$A$1009,"&lt;="&amp;A819,$A$10:$A$1009,"&gt;="&amp;(A819-$C$6)))</f>
        <v/>
      </c>
      <c r="P819" s="18">
        <f>IF(OR(N819="",N819=0),"",M819/N819-1)</f>
        <v/>
      </c>
      <c r="Q819">
        <f>IF(D819="","",IF(COUNTIFS($B$10:$B$1009,B819,$C$10:$C$1009,C819,$D$10:$D$1009,D819,$E$10:$E$1009,E819)&gt;1,"MÜKERRER?",IF(P819="","",IF(P819&gt;=$C$5,"İNCELE",IF(P819&lt;=-$C$5,"Düşük",""))))</f>
        <v/>
      </c>
      <c r="R819" s="16">
        <f>IF(AND(P819&lt;&gt;"",N(P819)&gt;=$C$5,COUNTIFS($B$10:B819,B819,$C$10:C819,C819,$D$10:D819,D819,$E$10:E819,E819)=1),(M819-N819)*E819*L819,0)</f>
        <v/>
      </c>
      <c r="S819" s="19">
        <f>IF(D819="",0,N(E819)*L819)</f>
        <v/>
      </c>
    </row>
    <row r="820">
      <c r="A820" s="11" t="n"/>
      <c r="B820" s="12" t="n"/>
      <c r="C820" s="12" t="n"/>
      <c r="D820" s="12" t="n"/>
      <c r="E820" s="13" t="n"/>
      <c r="F820" s="12" t="n"/>
      <c r="G820" s="14" t="n"/>
      <c r="H820" s="15" t="n"/>
      <c r="I820" s="16">
        <f>IF(G820="","",G820*(1-N(H820)))</f>
        <v/>
      </c>
      <c r="J820" s="16">
        <f>IF(I820="","",E820*I820)</f>
        <v/>
      </c>
      <c r="K820">
        <f>IF(D820="","",IFERROR(VLOOKUP(D820,'Ürün Eşleştirme'!$A$6:$D$505,2,FALSE),D820))</f>
        <v/>
      </c>
      <c r="L820" s="17">
        <f>IF(D820="","",IFERROR(VLOOKUP(D820,'Ürün Eşleştirme'!$A$6:$D$505,4,FALSE),1))</f>
        <v/>
      </c>
      <c r="M820" s="16">
        <f>IF(I820="","",I820/L820)</f>
        <v/>
      </c>
      <c r="N820" s="16">
        <f>IF(M820="","",IFERROR(AVERAGEIFS($M$10:$M$1009,$K$10:$K$1009,K820,$A$10:$A$1009,"&lt;"&amp;A820,$A$10:$A$1009,"&gt;="&amp;(A820-$C$6)),""))</f>
        <v/>
      </c>
      <c r="O820" s="16">
        <f>IF(M820="","",_xlfn.MINIFS($M$10:$M$1009,$K$10:$K$1009,K820,$A$10:$A$1009,"&lt;="&amp;A820,$A$10:$A$1009,"&gt;="&amp;(A820-$C$6)))</f>
        <v/>
      </c>
      <c r="P820" s="18">
        <f>IF(OR(N820="",N820=0),"",M820/N820-1)</f>
        <v/>
      </c>
      <c r="Q820">
        <f>IF(D820="","",IF(COUNTIFS($B$10:$B$1009,B820,$C$10:$C$1009,C820,$D$10:$D$1009,D820,$E$10:$E$1009,E820)&gt;1,"MÜKERRER?",IF(P820="","",IF(P820&gt;=$C$5,"İNCELE",IF(P820&lt;=-$C$5,"Düşük",""))))</f>
        <v/>
      </c>
      <c r="R820" s="16">
        <f>IF(AND(P820&lt;&gt;"",N(P820)&gt;=$C$5,COUNTIFS($B$10:B820,B820,$C$10:C820,C820,$D$10:D820,D820,$E$10:E820,E820)=1),(M820-N820)*E820*L820,0)</f>
        <v/>
      </c>
      <c r="S820" s="19">
        <f>IF(D820="",0,N(E820)*L820)</f>
        <v/>
      </c>
    </row>
    <row r="821">
      <c r="A821" s="11" t="n"/>
      <c r="B821" s="12" t="n"/>
      <c r="C821" s="12" t="n"/>
      <c r="D821" s="12" t="n"/>
      <c r="E821" s="13" t="n"/>
      <c r="F821" s="12" t="n"/>
      <c r="G821" s="14" t="n"/>
      <c r="H821" s="15" t="n"/>
      <c r="I821" s="16">
        <f>IF(G821="","",G821*(1-N(H821)))</f>
        <v/>
      </c>
      <c r="J821" s="16">
        <f>IF(I821="","",E821*I821)</f>
        <v/>
      </c>
      <c r="K821">
        <f>IF(D821="","",IFERROR(VLOOKUP(D821,'Ürün Eşleştirme'!$A$6:$D$505,2,FALSE),D821))</f>
        <v/>
      </c>
      <c r="L821" s="17">
        <f>IF(D821="","",IFERROR(VLOOKUP(D821,'Ürün Eşleştirme'!$A$6:$D$505,4,FALSE),1))</f>
        <v/>
      </c>
      <c r="M821" s="16">
        <f>IF(I821="","",I821/L821)</f>
        <v/>
      </c>
      <c r="N821" s="16">
        <f>IF(M821="","",IFERROR(AVERAGEIFS($M$10:$M$1009,$K$10:$K$1009,K821,$A$10:$A$1009,"&lt;"&amp;A821,$A$10:$A$1009,"&gt;="&amp;(A821-$C$6)),""))</f>
        <v/>
      </c>
      <c r="O821" s="16">
        <f>IF(M821="","",_xlfn.MINIFS($M$10:$M$1009,$K$10:$K$1009,K821,$A$10:$A$1009,"&lt;="&amp;A821,$A$10:$A$1009,"&gt;="&amp;(A821-$C$6)))</f>
        <v/>
      </c>
      <c r="P821" s="18">
        <f>IF(OR(N821="",N821=0),"",M821/N821-1)</f>
        <v/>
      </c>
      <c r="Q821">
        <f>IF(D821="","",IF(COUNTIFS($B$10:$B$1009,B821,$C$10:$C$1009,C821,$D$10:$D$1009,D821,$E$10:$E$1009,E821)&gt;1,"MÜKERRER?",IF(P821="","",IF(P821&gt;=$C$5,"İNCELE",IF(P821&lt;=-$C$5,"Düşük",""))))</f>
        <v/>
      </c>
      <c r="R821" s="16">
        <f>IF(AND(P821&lt;&gt;"",N(P821)&gt;=$C$5,COUNTIFS($B$10:B821,B821,$C$10:C821,C821,$D$10:D821,D821,$E$10:E821,E821)=1),(M821-N821)*E821*L821,0)</f>
        <v/>
      </c>
      <c r="S821" s="19">
        <f>IF(D821="",0,N(E821)*L821)</f>
        <v/>
      </c>
    </row>
    <row r="822">
      <c r="A822" s="11" t="n"/>
      <c r="B822" s="12" t="n"/>
      <c r="C822" s="12" t="n"/>
      <c r="D822" s="12" t="n"/>
      <c r="E822" s="13" t="n"/>
      <c r="F822" s="12" t="n"/>
      <c r="G822" s="14" t="n"/>
      <c r="H822" s="15" t="n"/>
      <c r="I822" s="16">
        <f>IF(G822="","",G822*(1-N(H822)))</f>
        <v/>
      </c>
      <c r="J822" s="16">
        <f>IF(I822="","",E822*I822)</f>
        <v/>
      </c>
      <c r="K822">
        <f>IF(D822="","",IFERROR(VLOOKUP(D822,'Ürün Eşleştirme'!$A$6:$D$505,2,FALSE),D822))</f>
        <v/>
      </c>
      <c r="L822" s="17">
        <f>IF(D822="","",IFERROR(VLOOKUP(D822,'Ürün Eşleştirme'!$A$6:$D$505,4,FALSE),1))</f>
        <v/>
      </c>
      <c r="M822" s="16">
        <f>IF(I822="","",I822/L822)</f>
        <v/>
      </c>
      <c r="N822" s="16">
        <f>IF(M822="","",IFERROR(AVERAGEIFS($M$10:$M$1009,$K$10:$K$1009,K822,$A$10:$A$1009,"&lt;"&amp;A822,$A$10:$A$1009,"&gt;="&amp;(A822-$C$6)),""))</f>
        <v/>
      </c>
      <c r="O822" s="16">
        <f>IF(M822="","",_xlfn.MINIFS($M$10:$M$1009,$K$10:$K$1009,K822,$A$10:$A$1009,"&lt;="&amp;A822,$A$10:$A$1009,"&gt;="&amp;(A822-$C$6)))</f>
        <v/>
      </c>
      <c r="P822" s="18">
        <f>IF(OR(N822="",N822=0),"",M822/N822-1)</f>
        <v/>
      </c>
      <c r="Q822">
        <f>IF(D822="","",IF(COUNTIFS($B$10:$B$1009,B822,$C$10:$C$1009,C822,$D$10:$D$1009,D822,$E$10:$E$1009,E822)&gt;1,"MÜKERRER?",IF(P822="","",IF(P822&gt;=$C$5,"İNCELE",IF(P822&lt;=-$C$5,"Düşük",""))))</f>
        <v/>
      </c>
      <c r="R822" s="16">
        <f>IF(AND(P822&lt;&gt;"",N(P822)&gt;=$C$5,COUNTIFS($B$10:B822,B822,$C$10:C822,C822,$D$10:D822,D822,$E$10:E822,E822)=1),(M822-N822)*E822*L822,0)</f>
        <v/>
      </c>
      <c r="S822" s="19">
        <f>IF(D822="",0,N(E822)*L822)</f>
        <v/>
      </c>
    </row>
    <row r="823">
      <c r="A823" s="11" t="n"/>
      <c r="B823" s="12" t="n"/>
      <c r="C823" s="12" t="n"/>
      <c r="D823" s="12" t="n"/>
      <c r="E823" s="13" t="n"/>
      <c r="F823" s="12" t="n"/>
      <c r="G823" s="14" t="n"/>
      <c r="H823" s="15" t="n"/>
      <c r="I823" s="16">
        <f>IF(G823="","",G823*(1-N(H823)))</f>
        <v/>
      </c>
      <c r="J823" s="16">
        <f>IF(I823="","",E823*I823)</f>
        <v/>
      </c>
      <c r="K823">
        <f>IF(D823="","",IFERROR(VLOOKUP(D823,'Ürün Eşleştirme'!$A$6:$D$505,2,FALSE),D823))</f>
        <v/>
      </c>
      <c r="L823" s="17">
        <f>IF(D823="","",IFERROR(VLOOKUP(D823,'Ürün Eşleştirme'!$A$6:$D$505,4,FALSE),1))</f>
        <v/>
      </c>
      <c r="M823" s="16">
        <f>IF(I823="","",I823/L823)</f>
        <v/>
      </c>
      <c r="N823" s="16">
        <f>IF(M823="","",IFERROR(AVERAGEIFS($M$10:$M$1009,$K$10:$K$1009,K823,$A$10:$A$1009,"&lt;"&amp;A823,$A$10:$A$1009,"&gt;="&amp;(A823-$C$6)),""))</f>
        <v/>
      </c>
      <c r="O823" s="16">
        <f>IF(M823="","",_xlfn.MINIFS($M$10:$M$1009,$K$10:$K$1009,K823,$A$10:$A$1009,"&lt;="&amp;A823,$A$10:$A$1009,"&gt;="&amp;(A823-$C$6)))</f>
        <v/>
      </c>
      <c r="P823" s="18">
        <f>IF(OR(N823="",N823=0),"",M823/N823-1)</f>
        <v/>
      </c>
      <c r="Q823">
        <f>IF(D823="","",IF(COUNTIFS($B$10:$B$1009,B823,$C$10:$C$1009,C823,$D$10:$D$1009,D823,$E$10:$E$1009,E823)&gt;1,"MÜKERRER?",IF(P823="","",IF(P823&gt;=$C$5,"İNCELE",IF(P823&lt;=-$C$5,"Düşük",""))))</f>
        <v/>
      </c>
      <c r="R823" s="16">
        <f>IF(AND(P823&lt;&gt;"",N(P823)&gt;=$C$5,COUNTIFS($B$10:B823,B823,$C$10:C823,C823,$D$10:D823,D823,$E$10:E823,E823)=1),(M823-N823)*E823*L823,0)</f>
        <v/>
      </c>
      <c r="S823" s="19">
        <f>IF(D823="",0,N(E823)*L823)</f>
        <v/>
      </c>
    </row>
    <row r="824">
      <c r="A824" s="11" t="n"/>
      <c r="B824" s="12" t="n"/>
      <c r="C824" s="12" t="n"/>
      <c r="D824" s="12" t="n"/>
      <c r="E824" s="13" t="n"/>
      <c r="F824" s="12" t="n"/>
      <c r="G824" s="14" t="n"/>
      <c r="H824" s="15" t="n"/>
      <c r="I824" s="16">
        <f>IF(G824="","",G824*(1-N(H824)))</f>
        <v/>
      </c>
      <c r="J824" s="16">
        <f>IF(I824="","",E824*I824)</f>
        <v/>
      </c>
      <c r="K824">
        <f>IF(D824="","",IFERROR(VLOOKUP(D824,'Ürün Eşleştirme'!$A$6:$D$505,2,FALSE),D824))</f>
        <v/>
      </c>
      <c r="L824" s="17">
        <f>IF(D824="","",IFERROR(VLOOKUP(D824,'Ürün Eşleştirme'!$A$6:$D$505,4,FALSE),1))</f>
        <v/>
      </c>
      <c r="M824" s="16">
        <f>IF(I824="","",I824/L824)</f>
        <v/>
      </c>
      <c r="N824" s="16">
        <f>IF(M824="","",IFERROR(AVERAGEIFS($M$10:$M$1009,$K$10:$K$1009,K824,$A$10:$A$1009,"&lt;"&amp;A824,$A$10:$A$1009,"&gt;="&amp;(A824-$C$6)),""))</f>
        <v/>
      </c>
      <c r="O824" s="16">
        <f>IF(M824="","",_xlfn.MINIFS($M$10:$M$1009,$K$10:$K$1009,K824,$A$10:$A$1009,"&lt;="&amp;A824,$A$10:$A$1009,"&gt;="&amp;(A824-$C$6)))</f>
        <v/>
      </c>
      <c r="P824" s="18">
        <f>IF(OR(N824="",N824=0),"",M824/N824-1)</f>
        <v/>
      </c>
      <c r="Q824">
        <f>IF(D824="","",IF(COUNTIFS($B$10:$B$1009,B824,$C$10:$C$1009,C824,$D$10:$D$1009,D824,$E$10:$E$1009,E824)&gt;1,"MÜKERRER?",IF(P824="","",IF(P824&gt;=$C$5,"İNCELE",IF(P824&lt;=-$C$5,"Düşük",""))))</f>
        <v/>
      </c>
      <c r="R824" s="16">
        <f>IF(AND(P824&lt;&gt;"",N(P824)&gt;=$C$5,COUNTIFS($B$10:B824,B824,$C$10:C824,C824,$D$10:D824,D824,$E$10:E824,E824)=1),(M824-N824)*E824*L824,0)</f>
        <v/>
      </c>
      <c r="S824" s="19">
        <f>IF(D824="",0,N(E824)*L824)</f>
        <v/>
      </c>
    </row>
    <row r="825">
      <c r="A825" s="11" t="n"/>
      <c r="B825" s="12" t="n"/>
      <c r="C825" s="12" t="n"/>
      <c r="D825" s="12" t="n"/>
      <c r="E825" s="13" t="n"/>
      <c r="F825" s="12" t="n"/>
      <c r="G825" s="14" t="n"/>
      <c r="H825" s="15" t="n"/>
      <c r="I825" s="16">
        <f>IF(G825="","",G825*(1-N(H825)))</f>
        <v/>
      </c>
      <c r="J825" s="16">
        <f>IF(I825="","",E825*I825)</f>
        <v/>
      </c>
      <c r="K825">
        <f>IF(D825="","",IFERROR(VLOOKUP(D825,'Ürün Eşleştirme'!$A$6:$D$505,2,FALSE),D825))</f>
        <v/>
      </c>
      <c r="L825" s="17">
        <f>IF(D825="","",IFERROR(VLOOKUP(D825,'Ürün Eşleştirme'!$A$6:$D$505,4,FALSE),1))</f>
        <v/>
      </c>
      <c r="M825" s="16">
        <f>IF(I825="","",I825/L825)</f>
        <v/>
      </c>
      <c r="N825" s="16">
        <f>IF(M825="","",IFERROR(AVERAGEIFS($M$10:$M$1009,$K$10:$K$1009,K825,$A$10:$A$1009,"&lt;"&amp;A825,$A$10:$A$1009,"&gt;="&amp;(A825-$C$6)),""))</f>
        <v/>
      </c>
      <c r="O825" s="16">
        <f>IF(M825="","",_xlfn.MINIFS($M$10:$M$1009,$K$10:$K$1009,K825,$A$10:$A$1009,"&lt;="&amp;A825,$A$10:$A$1009,"&gt;="&amp;(A825-$C$6)))</f>
        <v/>
      </c>
      <c r="P825" s="18">
        <f>IF(OR(N825="",N825=0),"",M825/N825-1)</f>
        <v/>
      </c>
      <c r="Q825">
        <f>IF(D825="","",IF(COUNTIFS($B$10:$B$1009,B825,$C$10:$C$1009,C825,$D$10:$D$1009,D825,$E$10:$E$1009,E825)&gt;1,"MÜKERRER?",IF(P825="","",IF(P825&gt;=$C$5,"İNCELE",IF(P825&lt;=-$C$5,"Düşük",""))))</f>
        <v/>
      </c>
      <c r="R825" s="16">
        <f>IF(AND(P825&lt;&gt;"",N(P825)&gt;=$C$5,COUNTIFS($B$10:B825,B825,$C$10:C825,C825,$D$10:D825,D825,$E$10:E825,E825)=1),(M825-N825)*E825*L825,0)</f>
        <v/>
      </c>
      <c r="S825" s="19">
        <f>IF(D825="",0,N(E825)*L825)</f>
        <v/>
      </c>
    </row>
    <row r="826">
      <c r="A826" s="11" t="n"/>
      <c r="B826" s="12" t="n"/>
      <c r="C826" s="12" t="n"/>
      <c r="D826" s="12" t="n"/>
      <c r="E826" s="13" t="n"/>
      <c r="F826" s="12" t="n"/>
      <c r="G826" s="14" t="n"/>
      <c r="H826" s="15" t="n"/>
      <c r="I826" s="16">
        <f>IF(G826="","",G826*(1-N(H826)))</f>
        <v/>
      </c>
      <c r="J826" s="16">
        <f>IF(I826="","",E826*I826)</f>
        <v/>
      </c>
      <c r="K826">
        <f>IF(D826="","",IFERROR(VLOOKUP(D826,'Ürün Eşleştirme'!$A$6:$D$505,2,FALSE),D826))</f>
        <v/>
      </c>
      <c r="L826" s="17">
        <f>IF(D826="","",IFERROR(VLOOKUP(D826,'Ürün Eşleştirme'!$A$6:$D$505,4,FALSE),1))</f>
        <v/>
      </c>
      <c r="M826" s="16">
        <f>IF(I826="","",I826/L826)</f>
        <v/>
      </c>
      <c r="N826" s="16">
        <f>IF(M826="","",IFERROR(AVERAGEIFS($M$10:$M$1009,$K$10:$K$1009,K826,$A$10:$A$1009,"&lt;"&amp;A826,$A$10:$A$1009,"&gt;="&amp;(A826-$C$6)),""))</f>
        <v/>
      </c>
      <c r="O826" s="16">
        <f>IF(M826="","",_xlfn.MINIFS($M$10:$M$1009,$K$10:$K$1009,K826,$A$10:$A$1009,"&lt;="&amp;A826,$A$10:$A$1009,"&gt;="&amp;(A826-$C$6)))</f>
        <v/>
      </c>
      <c r="P826" s="18">
        <f>IF(OR(N826="",N826=0),"",M826/N826-1)</f>
        <v/>
      </c>
      <c r="Q826">
        <f>IF(D826="","",IF(COUNTIFS($B$10:$B$1009,B826,$C$10:$C$1009,C826,$D$10:$D$1009,D826,$E$10:$E$1009,E826)&gt;1,"MÜKERRER?",IF(P826="","",IF(P826&gt;=$C$5,"İNCELE",IF(P826&lt;=-$C$5,"Düşük",""))))</f>
        <v/>
      </c>
      <c r="R826" s="16">
        <f>IF(AND(P826&lt;&gt;"",N(P826)&gt;=$C$5,COUNTIFS($B$10:B826,B826,$C$10:C826,C826,$D$10:D826,D826,$E$10:E826,E826)=1),(M826-N826)*E826*L826,0)</f>
        <v/>
      </c>
      <c r="S826" s="19">
        <f>IF(D826="",0,N(E826)*L826)</f>
        <v/>
      </c>
    </row>
    <row r="827">
      <c r="A827" s="11" t="n"/>
      <c r="B827" s="12" t="n"/>
      <c r="C827" s="12" t="n"/>
      <c r="D827" s="12" t="n"/>
      <c r="E827" s="13" t="n"/>
      <c r="F827" s="12" t="n"/>
      <c r="G827" s="14" t="n"/>
      <c r="H827" s="15" t="n"/>
      <c r="I827" s="16">
        <f>IF(G827="","",G827*(1-N(H827)))</f>
        <v/>
      </c>
      <c r="J827" s="16">
        <f>IF(I827="","",E827*I827)</f>
        <v/>
      </c>
      <c r="K827">
        <f>IF(D827="","",IFERROR(VLOOKUP(D827,'Ürün Eşleştirme'!$A$6:$D$505,2,FALSE),D827))</f>
        <v/>
      </c>
      <c r="L827" s="17">
        <f>IF(D827="","",IFERROR(VLOOKUP(D827,'Ürün Eşleştirme'!$A$6:$D$505,4,FALSE),1))</f>
        <v/>
      </c>
      <c r="M827" s="16">
        <f>IF(I827="","",I827/L827)</f>
        <v/>
      </c>
      <c r="N827" s="16">
        <f>IF(M827="","",IFERROR(AVERAGEIFS($M$10:$M$1009,$K$10:$K$1009,K827,$A$10:$A$1009,"&lt;"&amp;A827,$A$10:$A$1009,"&gt;="&amp;(A827-$C$6)),""))</f>
        <v/>
      </c>
      <c r="O827" s="16">
        <f>IF(M827="","",_xlfn.MINIFS($M$10:$M$1009,$K$10:$K$1009,K827,$A$10:$A$1009,"&lt;="&amp;A827,$A$10:$A$1009,"&gt;="&amp;(A827-$C$6)))</f>
        <v/>
      </c>
      <c r="P827" s="18">
        <f>IF(OR(N827="",N827=0),"",M827/N827-1)</f>
        <v/>
      </c>
      <c r="Q827">
        <f>IF(D827="","",IF(COUNTIFS($B$10:$B$1009,B827,$C$10:$C$1009,C827,$D$10:$D$1009,D827,$E$10:$E$1009,E827)&gt;1,"MÜKERRER?",IF(P827="","",IF(P827&gt;=$C$5,"İNCELE",IF(P827&lt;=-$C$5,"Düşük",""))))</f>
        <v/>
      </c>
      <c r="R827" s="16">
        <f>IF(AND(P827&lt;&gt;"",N(P827)&gt;=$C$5,COUNTIFS($B$10:B827,B827,$C$10:C827,C827,$D$10:D827,D827,$E$10:E827,E827)=1),(M827-N827)*E827*L827,0)</f>
        <v/>
      </c>
      <c r="S827" s="19">
        <f>IF(D827="",0,N(E827)*L827)</f>
        <v/>
      </c>
    </row>
    <row r="828">
      <c r="A828" s="11" t="n"/>
      <c r="B828" s="12" t="n"/>
      <c r="C828" s="12" t="n"/>
      <c r="D828" s="12" t="n"/>
      <c r="E828" s="13" t="n"/>
      <c r="F828" s="12" t="n"/>
      <c r="G828" s="14" t="n"/>
      <c r="H828" s="15" t="n"/>
      <c r="I828" s="16">
        <f>IF(G828="","",G828*(1-N(H828)))</f>
        <v/>
      </c>
      <c r="J828" s="16">
        <f>IF(I828="","",E828*I828)</f>
        <v/>
      </c>
      <c r="K828">
        <f>IF(D828="","",IFERROR(VLOOKUP(D828,'Ürün Eşleştirme'!$A$6:$D$505,2,FALSE),D828))</f>
        <v/>
      </c>
      <c r="L828" s="17">
        <f>IF(D828="","",IFERROR(VLOOKUP(D828,'Ürün Eşleştirme'!$A$6:$D$505,4,FALSE),1))</f>
        <v/>
      </c>
      <c r="M828" s="16">
        <f>IF(I828="","",I828/L828)</f>
        <v/>
      </c>
      <c r="N828" s="16">
        <f>IF(M828="","",IFERROR(AVERAGEIFS($M$10:$M$1009,$K$10:$K$1009,K828,$A$10:$A$1009,"&lt;"&amp;A828,$A$10:$A$1009,"&gt;="&amp;(A828-$C$6)),""))</f>
        <v/>
      </c>
      <c r="O828" s="16">
        <f>IF(M828="","",_xlfn.MINIFS($M$10:$M$1009,$K$10:$K$1009,K828,$A$10:$A$1009,"&lt;="&amp;A828,$A$10:$A$1009,"&gt;="&amp;(A828-$C$6)))</f>
        <v/>
      </c>
      <c r="P828" s="18">
        <f>IF(OR(N828="",N828=0),"",M828/N828-1)</f>
        <v/>
      </c>
      <c r="Q828">
        <f>IF(D828="","",IF(COUNTIFS($B$10:$B$1009,B828,$C$10:$C$1009,C828,$D$10:$D$1009,D828,$E$10:$E$1009,E828)&gt;1,"MÜKERRER?",IF(P828="","",IF(P828&gt;=$C$5,"İNCELE",IF(P828&lt;=-$C$5,"Düşük",""))))</f>
        <v/>
      </c>
      <c r="R828" s="16">
        <f>IF(AND(P828&lt;&gt;"",N(P828)&gt;=$C$5,COUNTIFS($B$10:B828,B828,$C$10:C828,C828,$D$10:D828,D828,$E$10:E828,E828)=1),(M828-N828)*E828*L828,0)</f>
        <v/>
      </c>
      <c r="S828" s="19">
        <f>IF(D828="",0,N(E828)*L828)</f>
        <v/>
      </c>
    </row>
    <row r="829">
      <c r="A829" s="11" t="n"/>
      <c r="B829" s="12" t="n"/>
      <c r="C829" s="12" t="n"/>
      <c r="D829" s="12" t="n"/>
      <c r="E829" s="13" t="n"/>
      <c r="F829" s="12" t="n"/>
      <c r="G829" s="14" t="n"/>
      <c r="H829" s="15" t="n"/>
      <c r="I829" s="16">
        <f>IF(G829="","",G829*(1-N(H829)))</f>
        <v/>
      </c>
      <c r="J829" s="16">
        <f>IF(I829="","",E829*I829)</f>
        <v/>
      </c>
      <c r="K829">
        <f>IF(D829="","",IFERROR(VLOOKUP(D829,'Ürün Eşleştirme'!$A$6:$D$505,2,FALSE),D829))</f>
        <v/>
      </c>
      <c r="L829" s="17">
        <f>IF(D829="","",IFERROR(VLOOKUP(D829,'Ürün Eşleştirme'!$A$6:$D$505,4,FALSE),1))</f>
        <v/>
      </c>
      <c r="M829" s="16">
        <f>IF(I829="","",I829/L829)</f>
        <v/>
      </c>
      <c r="N829" s="16">
        <f>IF(M829="","",IFERROR(AVERAGEIFS($M$10:$M$1009,$K$10:$K$1009,K829,$A$10:$A$1009,"&lt;"&amp;A829,$A$10:$A$1009,"&gt;="&amp;(A829-$C$6)),""))</f>
        <v/>
      </c>
      <c r="O829" s="16">
        <f>IF(M829="","",_xlfn.MINIFS($M$10:$M$1009,$K$10:$K$1009,K829,$A$10:$A$1009,"&lt;="&amp;A829,$A$10:$A$1009,"&gt;="&amp;(A829-$C$6)))</f>
        <v/>
      </c>
      <c r="P829" s="18">
        <f>IF(OR(N829="",N829=0),"",M829/N829-1)</f>
        <v/>
      </c>
      <c r="Q829">
        <f>IF(D829="","",IF(COUNTIFS($B$10:$B$1009,B829,$C$10:$C$1009,C829,$D$10:$D$1009,D829,$E$10:$E$1009,E829)&gt;1,"MÜKERRER?",IF(P829="","",IF(P829&gt;=$C$5,"İNCELE",IF(P829&lt;=-$C$5,"Düşük",""))))</f>
        <v/>
      </c>
      <c r="R829" s="16">
        <f>IF(AND(P829&lt;&gt;"",N(P829)&gt;=$C$5,COUNTIFS($B$10:B829,B829,$C$10:C829,C829,$D$10:D829,D829,$E$10:E829,E829)=1),(M829-N829)*E829*L829,0)</f>
        <v/>
      </c>
      <c r="S829" s="19">
        <f>IF(D829="",0,N(E829)*L829)</f>
        <v/>
      </c>
    </row>
    <row r="830">
      <c r="A830" s="11" t="n"/>
      <c r="B830" s="12" t="n"/>
      <c r="C830" s="12" t="n"/>
      <c r="D830" s="12" t="n"/>
      <c r="E830" s="13" t="n"/>
      <c r="F830" s="12" t="n"/>
      <c r="G830" s="14" t="n"/>
      <c r="H830" s="15" t="n"/>
      <c r="I830" s="16">
        <f>IF(G830="","",G830*(1-N(H830)))</f>
        <v/>
      </c>
      <c r="J830" s="16">
        <f>IF(I830="","",E830*I830)</f>
        <v/>
      </c>
      <c r="K830">
        <f>IF(D830="","",IFERROR(VLOOKUP(D830,'Ürün Eşleştirme'!$A$6:$D$505,2,FALSE),D830))</f>
        <v/>
      </c>
      <c r="L830" s="17">
        <f>IF(D830="","",IFERROR(VLOOKUP(D830,'Ürün Eşleştirme'!$A$6:$D$505,4,FALSE),1))</f>
        <v/>
      </c>
      <c r="M830" s="16">
        <f>IF(I830="","",I830/L830)</f>
        <v/>
      </c>
      <c r="N830" s="16">
        <f>IF(M830="","",IFERROR(AVERAGEIFS($M$10:$M$1009,$K$10:$K$1009,K830,$A$10:$A$1009,"&lt;"&amp;A830,$A$10:$A$1009,"&gt;="&amp;(A830-$C$6)),""))</f>
        <v/>
      </c>
      <c r="O830" s="16">
        <f>IF(M830="","",_xlfn.MINIFS($M$10:$M$1009,$K$10:$K$1009,K830,$A$10:$A$1009,"&lt;="&amp;A830,$A$10:$A$1009,"&gt;="&amp;(A830-$C$6)))</f>
        <v/>
      </c>
      <c r="P830" s="18">
        <f>IF(OR(N830="",N830=0),"",M830/N830-1)</f>
        <v/>
      </c>
      <c r="Q830">
        <f>IF(D830="","",IF(COUNTIFS($B$10:$B$1009,B830,$C$10:$C$1009,C830,$D$10:$D$1009,D830,$E$10:$E$1009,E830)&gt;1,"MÜKERRER?",IF(P830="","",IF(P830&gt;=$C$5,"İNCELE",IF(P830&lt;=-$C$5,"Düşük",""))))</f>
        <v/>
      </c>
      <c r="R830" s="16">
        <f>IF(AND(P830&lt;&gt;"",N(P830)&gt;=$C$5,COUNTIFS($B$10:B830,B830,$C$10:C830,C830,$D$10:D830,D830,$E$10:E830,E830)=1),(M830-N830)*E830*L830,0)</f>
        <v/>
      </c>
      <c r="S830" s="19">
        <f>IF(D830="",0,N(E830)*L830)</f>
        <v/>
      </c>
    </row>
    <row r="831">
      <c r="A831" s="11" t="n"/>
      <c r="B831" s="12" t="n"/>
      <c r="C831" s="12" t="n"/>
      <c r="D831" s="12" t="n"/>
      <c r="E831" s="13" t="n"/>
      <c r="F831" s="12" t="n"/>
      <c r="G831" s="14" t="n"/>
      <c r="H831" s="15" t="n"/>
      <c r="I831" s="16">
        <f>IF(G831="","",G831*(1-N(H831)))</f>
        <v/>
      </c>
      <c r="J831" s="16">
        <f>IF(I831="","",E831*I831)</f>
        <v/>
      </c>
      <c r="K831">
        <f>IF(D831="","",IFERROR(VLOOKUP(D831,'Ürün Eşleştirme'!$A$6:$D$505,2,FALSE),D831))</f>
        <v/>
      </c>
      <c r="L831" s="17">
        <f>IF(D831="","",IFERROR(VLOOKUP(D831,'Ürün Eşleştirme'!$A$6:$D$505,4,FALSE),1))</f>
        <v/>
      </c>
      <c r="M831" s="16">
        <f>IF(I831="","",I831/L831)</f>
        <v/>
      </c>
      <c r="N831" s="16">
        <f>IF(M831="","",IFERROR(AVERAGEIFS($M$10:$M$1009,$K$10:$K$1009,K831,$A$10:$A$1009,"&lt;"&amp;A831,$A$10:$A$1009,"&gt;="&amp;(A831-$C$6)),""))</f>
        <v/>
      </c>
      <c r="O831" s="16">
        <f>IF(M831="","",_xlfn.MINIFS($M$10:$M$1009,$K$10:$K$1009,K831,$A$10:$A$1009,"&lt;="&amp;A831,$A$10:$A$1009,"&gt;="&amp;(A831-$C$6)))</f>
        <v/>
      </c>
      <c r="P831" s="18">
        <f>IF(OR(N831="",N831=0),"",M831/N831-1)</f>
        <v/>
      </c>
      <c r="Q831">
        <f>IF(D831="","",IF(COUNTIFS($B$10:$B$1009,B831,$C$10:$C$1009,C831,$D$10:$D$1009,D831,$E$10:$E$1009,E831)&gt;1,"MÜKERRER?",IF(P831="","",IF(P831&gt;=$C$5,"İNCELE",IF(P831&lt;=-$C$5,"Düşük",""))))</f>
        <v/>
      </c>
      <c r="R831" s="16">
        <f>IF(AND(P831&lt;&gt;"",N(P831)&gt;=$C$5,COUNTIFS($B$10:B831,B831,$C$10:C831,C831,$D$10:D831,D831,$E$10:E831,E831)=1),(M831-N831)*E831*L831,0)</f>
        <v/>
      </c>
      <c r="S831" s="19">
        <f>IF(D831="",0,N(E831)*L831)</f>
        <v/>
      </c>
    </row>
    <row r="832">
      <c r="A832" s="11" t="n"/>
      <c r="B832" s="12" t="n"/>
      <c r="C832" s="12" t="n"/>
      <c r="D832" s="12" t="n"/>
      <c r="E832" s="13" t="n"/>
      <c r="F832" s="12" t="n"/>
      <c r="G832" s="14" t="n"/>
      <c r="H832" s="15" t="n"/>
      <c r="I832" s="16">
        <f>IF(G832="","",G832*(1-N(H832)))</f>
        <v/>
      </c>
      <c r="J832" s="16">
        <f>IF(I832="","",E832*I832)</f>
        <v/>
      </c>
      <c r="K832">
        <f>IF(D832="","",IFERROR(VLOOKUP(D832,'Ürün Eşleştirme'!$A$6:$D$505,2,FALSE),D832))</f>
        <v/>
      </c>
      <c r="L832" s="17">
        <f>IF(D832="","",IFERROR(VLOOKUP(D832,'Ürün Eşleştirme'!$A$6:$D$505,4,FALSE),1))</f>
        <v/>
      </c>
      <c r="M832" s="16">
        <f>IF(I832="","",I832/L832)</f>
        <v/>
      </c>
      <c r="N832" s="16">
        <f>IF(M832="","",IFERROR(AVERAGEIFS($M$10:$M$1009,$K$10:$K$1009,K832,$A$10:$A$1009,"&lt;"&amp;A832,$A$10:$A$1009,"&gt;="&amp;(A832-$C$6)),""))</f>
        <v/>
      </c>
      <c r="O832" s="16">
        <f>IF(M832="","",_xlfn.MINIFS($M$10:$M$1009,$K$10:$K$1009,K832,$A$10:$A$1009,"&lt;="&amp;A832,$A$10:$A$1009,"&gt;="&amp;(A832-$C$6)))</f>
        <v/>
      </c>
      <c r="P832" s="18">
        <f>IF(OR(N832="",N832=0),"",M832/N832-1)</f>
        <v/>
      </c>
      <c r="Q832">
        <f>IF(D832="","",IF(COUNTIFS($B$10:$B$1009,B832,$C$10:$C$1009,C832,$D$10:$D$1009,D832,$E$10:$E$1009,E832)&gt;1,"MÜKERRER?",IF(P832="","",IF(P832&gt;=$C$5,"İNCELE",IF(P832&lt;=-$C$5,"Düşük",""))))</f>
        <v/>
      </c>
      <c r="R832" s="16">
        <f>IF(AND(P832&lt;&gt;"",N(P832)&gt;=$C$5,COUNTIFS($B$10:B832,B832,$C$10:C832,C832,$D$10:D832,D832,$E$10:E832,E832)=1),(M832-N832)*E832*L832,0)</f>
        <v/>
      </c>
      <c r="S832" s="19">
        <f>IF(D832="",0,N(E832)*L832)</f>
        <v/>
      </c>
    </row>
    <row r="833">
      <c r="A833" s="11" t="n"/>
      <c r="B833" s="12" t="n"/>
      <c r="C833" s="12" t="n"/>
      <c r="D833" s="12" t="n"/>
      <c r="E833" s="13" t="n"/>
      <c r="F833" s="12" t="n"/>
      <c r="G833" s="14" t="n"/>
      <c r="H833" s="15" t="n"/>
      <c r="I833" s="16">
        <f>IF(G833="","",G833*(1-N(H833)))</f>
        <v/>
      </c>
      <c r="J833" s="16">
        <f>IF(I833="","",E833*I833)</f>
        <v/>
      </c>
      <c r="K833">
        <f>IF(D833="","",IFERROR(VLOOKUP(D833,'Ürün Eşleştirme'!$A$6:$D$505,2,FALSE),D833))</f>
        <v/>
      </c>
      <c r="L833" s="17">
        <f>IF(D833="","",IFERROR(VLOOKUP(D833,'Ürün Eşleştirme'!$A$6:$D$505,4,FALSE),1))</f>
        <v/>
      </c>
      <c r="M833" s="16">
        <f>IF(I833="","",I833/L833)</f>
        <v/>
      </c>
      <c r="N833" s="16">
        <f>IF(M833="","",IFERROR(AVERAGEIFS($M$10:$M$1009,$K$10:$K$1009,K833,$A$10:$A$1009,"&lt;"&amp;A833,$A$10:$A$1009,"&gt;="&amp;(A833-$C$6)),""))</f>
        <v/>
      </c>
      <c r="O833" s="16">
        <f>IF(M833="","",_xlfn.MINIFS($M$10:$M$1009,$K$10:$K$1009,K833,$A$10:$A$1009,"&lt;="&amp;A833,$A$10:$A$1009,"&gt;="&amp;(A833-$C$6)))</f>
        <v/>
      </c>
      <c r="P833" s="18">
        <f>IF(OR(N833="",N833=0),"",M833/N833-1)</f>
        <v/>
      </c>
      <c r="Q833">
        <f>IF(D833="","",IF(COUNTIFS($B$10:$B$1009,B833,$C$10:$C$1009,C833,$D$10:$D$1009,D833,$E$10:$E$1009,E833)&gt;1,"MÜKERRER?",IF(P833="","",IF(P833&gt;=$C$5,"İNCELE",IF(P833&lt;=-$C$5,"Düşük",""))))</f>
        <v/>
      </c>
      <c r="R833" s="16">
        <f>IF(AND(P833&lt;&gt;"",N(P833)&gt;=$C$5,COUNTIFS($B$10:B833,B833,$C$10:C833,C833,$D$10:D833,D833,$E$10:E833,E833)=1),(M833-N833)*E833*L833,0)</f>
        <v/>
      </c>
      <c r="S833" s="19">
        <f>IF(D833="",0,N(E833)*L833)</f>
        <v/>
      </c>
    </row>
    <row r="834">
      <c r="A834" s="11" t="n"/>
      <c r="B834" s="12" t="n"/>
      <c r="C834" s="12" t="n"/>
      <c r="D834" s="12" t="n"/>
      <c r="E834" s="13" t="n"/>
      <c r="F834" s="12" t="n"/>
      <c r="G834" s="14" t="n"/>
      <c r="H834" s="15" t="n"/>
      <c r="I834" s="16">
        <f>IF(G834="","",G834*(1-N(H834)))</f>
        <v/>
      </c>
      <c r="J834" s="16">
        <f>IF(I834="","",E834*I834)</f>
        <v/>
      </c>
      <c r="K834">
        <f>IF(D834="","",IFERROR(VLOOKUP(D834,'Ürün Eşleştirme'!$A$6:$D$505,2,FALSE),D834))</f>
        <v/>
      </c>
      <c r="L834" s="17">
        <f>IF(D834="","",IFERROR(VLOOKUP(D834,'Ürün Eşleştirme'!$A$6:$D$505,4,FALSE),1))</f>
        <v/>
      </c>
      <c r="M834" s="16">
        <f>IF(I834="","",I834/L834)</f>
        <v/>
      </c>
      <c r="N834" s="16">
        <f>IF(M834="","",IFERROR(AVERAGEIFS($M$10:$M$1009,$K$10:$K$1009,K834,$A$10:$A$1009,"&lt;"&amp;A834,$A$10:$A$1009,"&gt;="&amp;(A834-$C$6)),""))</f>
        <v/>
      </c>
      <c r="O834" s="16">
        <f>IF(M834="","",_xlfn.MINIFS($M$10:$M$1009,$K$10:$K$1009,K834,$A$10:$A$1009,"&lt;="&amp;A834,$A$10:$A$1009,"&gt;="&amp;(A834-$C$6)))</f>
        <v/>
      </c>
      <c r="P834" s="18">
        <f>IF(OR(N834="",N834=0),"",M834/N834-1)</f>
        <v/>
      </c>
      <c r="Q834">
        <f>IF(D834="","",IF(COUNTIFS($B$10:$B$1009,B834,$C$10:$C$1009,C834,$D$10:$D$1009,D834,$E$10:$E$1009,E834)&gt;1,"MÜKERRER?",IF(P834="","",IF(P834&gt;=$C$5,"İNCELE",IF(P834&lt;=-$C$5,"Düşük",""))))</f>
        <v/>
      </c>
      <c r="R834" s="16">
        <f>IF(AND(P834&lt;&gt;"",N(P834)&gt;=$C$5,COUNTIFS($B$10:B834,B834,$C$10:C834,C834,$D$10:D834,D834,$E$10:E834,E834)=1),(M834-N834)*E834*L834,0)</f>
        <v/>
      </c>
      <c r="S834" s="19">
        <f>IF(D834="",0,N(E834)*L834)</f>
        <v/>
      </c>
    </row>
    <row r="835">
      <c r="A835" s="11" t="n"/>
      <c r="B835" s="12" t="n"/>
      <c r="C835" s="12" t="n"/>
      <c r="D835" s="12" t="n"/>
      <c r="E835" s="13" t="n"/>
      <c r="F835" s="12" t="n"/>
      <c r="G835" s="14" t="n"/>
      <c r="H835" s="15" t="n"/>
      <c r="I835" s="16">
        <f>IF(G835="","",G835*(1-N(H835)))</f>
        <v/>
      </c>
      <c r="J835" s="16">
        <f>IF(I835="","",E835*I835)</f>
        <v/>
      </c>
      <c r="K835">
        <f>IF(D835="","",IFERROR(VLOOKUP(D835,'Ürün Eşleştirme'!$A$6:$D$505,2,FALSE),D835))</f>
        <v/>
      </c>
      <c r="L835" s="17">
        <f>IF(D835="","",IFERROR(VLOOKUP(D835,'Ürün Eşleştirme'!$A$6:$D$505,4,FALSE),1))</f>
        <v/>
      </c>
      <c r="M835" s="16">
        <f>IF(I835="","",I835/L835)</f>
        <v/>
      </c>
      <c r="N835" s="16">
        <f>IF(M835="","",IFERROR(AVERAGEIFS($M$10:$M$1009,$K$10:$K$1009,K835,$A$10:$A$1009,"&lt;"&amp;A835,$A$10:$A$1009,"&gt;="&amp;(A835-$C$6)),""))</f>
        <v/>
      </c>
      <c r="O835" s="16">
        <f>IF(M835="","",_xlfn.MINIFS($M$10:$M$1009,$K$10:$K$1009,K835,$A$10:$A$1009,"&lt;="&amp;A835,$A$10:$A$1009,"&gt;="&amp;(A835-$C$6)))</f>
        <v/>
      </c>
      <c r="P835" s="18">
        <f>IF(OR(N835="",N835=0),"",M835/N835-1)</f>
        <v/>
      </c>
      <c r="Q835">
        <f>IF(D835="","",IF(COUNTIFS($B$10:$B$1009,B835,$C$10:$C$1009,C835,$D$10:$D$1009,D835,$E$10:$E$1009,E835)&gt;1,"MÜKERRER?",IF(P835="","",IF(P835&gt;=$C$5,"İNCELE",IF(P835&lt;=-$C$5,"Düşük",""))))</f>
        <v/>
      </c>
      <c r="R835" s="16">
        <f>IF(AND(P835&lt;&gt;"",N(P835)&gt;=$C$5,COUNTIFS($B$10:B835,B835,$C$10:C835,C835,$D$10:D835,D835,$E$10:E835,E835)=1),(M835-N835)*E835*L835,0)</f>
        <v/>
      </c>
      <c r="S835" s="19">
        <f>IF(D835="",0,N(E835)*L835)</f>
        <v/>
      </c>
    </row>
    <row r="836">
      <c r="A836" s="11" t="n"/>
      <c r="B836" s="12" t="n"/>
      <c r="C836" s="12" t="n"/>
      <c r="D836" s="12" t="n"/>
      <c r="E836" s="13" t="n"/>
      <c r="F836" s="12" t="n"/>
      <c r="G836" s="14" t="n"/>
      <c r="H836" s="15" t="n"/>
      <c r="I836" s="16">
        <f>IF(G836="","",G836*(1-N(H836)))</f>
        <v/>
      </c>
      <c r="J836" s="16">
        <f>IF(I836="","",E836*I836)</f>
        <v/>
      </c>
      <c r="K836">
        <f>IF(D836="","",IFERROR(VLOOKUP(D836,'Ürün Eşleştirme'!$A$6:$D$505,2,FALSE),D836))</f>
        <v/>
      </c>
      <c r="L836" s="17">
        <f>IF(D836="","",IFERROR(VLOOKUP(D836,'Ürün Eşleştirme'!$A$6:$D$505,4,FALSE),1))</f>
        <v/>
      </c>
      <c r="M836" s="16">
        <f>IF(I836="","",I836/L836)</f>
        <v/>
      </c>
      <c r="N836" s="16">
        <f>IF(M836="","",IFERROR(AVERAGEIFS($M$10:$M$1009,$K$10:$K$1009,K836,$A$10:$A$1009,"&lt;"&amp;A836,$A$10:$A$1009,"&gt;="&amp;(A836-$C$6)),""))</f>
        <v/>
      </c>
      <c r="O836" s="16">
        <f>IF(M836="","",_xlfn.MINIFS($M$10:$M$1009,$K$10:$K$1009,K836,$A$10:$A$1009,"&lt;="&amp;A836,$A$10:$A$1009,"&gt;="&amp;(A836-$C$6)))</f>
        <v/>
      </c>
      <c r="P836" s="18">
        <f>IF(OR(N836="",N836=0),"",M836/N836-1)</f>
        <v/>
      </c>
      <c r="Q836">
        <f>IF(D836="","",IF(COUNTIFS($B$10:$B$1009,B836,$C$10:$C$1009,C836,$D$10:$D$1009,D836,$E$10:$E$1009,E836)&gt;1,"MÜKERRER?",IF(P836="","",IF(P836&gt;=$C$5,"İNCELE",IF(P836&lt;=-$C$5,"Düşük",""))))</f>
        <v/>
      </c>
      <c r="R836" s="16">
        <f>IF(AND(P836&lt;&gt;"",N(P836)&gt;=$C$5,COUNTIFS($B$10:B836,B836,$C$10:C836,C836,$D$10:D836,D836,$E$10:E836,E836)=1),(M836-N836)*E836*L836,0)</f>
        <v/>
      </c>
      <c r="S836" s="19">
        <f>IF(D836="",0,N(E836)*L836)</f>
        <v/>
      </c>
    </row>
    <row r="837">
      <c r="A837" s="11" t="n"/>
      <c r="B837" s="12" t="n"/>
      <c r="C837" s="12" t="n"/>
      <c r="D837" s="12" t="n"/>
      <c r="E837" s="13" t="n"/>
      <c r="F837" s="12" t="n"/>
      <c r="G837" s="14" t="n"/>
      <c r="H837" s="15" t="n"/>
      <c r="I837" s="16">
        <f>IF(G837="","",G837*(1-N(H837)))</f>
        <v/>
      </c>
      <c r="J837" s="16">
        <f>IF(I837="","",E837*I837)</f>
        <v/>
      </c>
      <c r="K837">
        <f>IF(D837="","",IFERROR(VLOOKUP(D837,'Ürün Eşleştirme'!$A$6:$D$505,2,FALSE),D837))</f>
        <v/>
      </c>
      <c r="L837" s="17">
        <f>IF(D837="","",IFERROR(VLOOKUP(D837,'Ürün Eşleştirme'!$A$6:$D$505,4,FALSE),1))</f>
        <v/>
      </c>
      <c r="M837" s="16">
        <f>IF(I837="","",I837/L837)</f>
        <v/>
      </c>
      <c r="N837" s="16">
        <f>IF(M837="","",IFERROR(AVERAGEIFS($M$10:$M$1009,$K$10:$K$1009,K837,$A$10:$A$1009,"&lt;"&amp;A837,$A$10:$A$1009,"&gt;="&amp;(A837-$C$6)),""))</f>
        <v/>
      </c>
      <c r="O837" s="16">
        <f>IF(M837="","",_xlfn.MINIFS($M$10:$M$1009,$K$10:$K$1009,K837,$A$10:$A$1009,"&lt;="&amp;A837,$A$10:$A$1009,"&gt;="&amp;(A837-$C$6)))</f>
        <v/>
      </c>
      <c r="P837" s="18">
        <f>IF(OR(N837="",N837=0),"",M837/N837-1)</f>
        <v/>
      </c>
      <c r="Q837">
        <f>IF(D837="","",IF(COUNTIFS($B$10:$B$1009,B837,$C$10:$C$1009,C837,$D$10:$D$1009,D837,$E$10:$E$1009,E837)&gt;1,"MÜKERRER?",IF(P837="","",IF(P837&gt;=$C$5,"İNCELE",IF(P837&lt;=-$C$5,"Düşük",""))))</f>
        <v/>
      </c>
      <c r="R837" s="16">
        <f>IF(AND(P837&lt;&gt;"",N(P837)&gt;=$C$5,COUNTIFS($B$10:B837,B837,$C$10:C837,C837,$D$10:D837,D837,$E$10:E837,E837)=1),(M837-N837)*E837*L837,0)</f>
        <v/>
      </c>
      <c r="S837" s="19">
        <f>IF(D837="",0,N(E837)*L837)</f>
        <v/>
      </c>
    </row>
    <row r="838">
      <c r="A838" s="11" t="n"/>
      <c r="B838" s="12" t="n"/>
      <c r="C838" s="12" t="n"/>
      <c r="D838" s="12" t="n"/>
      <c r="E838" s="13" t="n"/>
      <c r="F838" s="12" t="n"/>
      <c r="G838" s="14" t="n"/>
      <c r="H838" s="15" t="n"/>
      <c r="I838" s="16">
        <f>IF(G838="","",G838*(1-N(H838)))</f>
        <v/>
      </c>
      <c r="J838" s="16">
        <f>IF(I838="","",E838*I838)</f>
        <v/>
      </c>
      <c r="K838">
        <f>IF(D838="","",IFERROR(VLOOKUP(D838,'Ürün Eşleştirme'!$A$6:$D$505,2,FALSE),D838))</f>
        <v/>
      </c>
      <c r="L838" s="17">
        <f>IF(D838="","",IFERROR(VLOOKUP(D838,'Ürün Eşleştirme'!$A$6:$D$505,4,FALSE),1))</f>
        <v/>
      </c>
      <c r="M838" s="16">
        <f>IF(I838="","",I838/L838)</f>
        <v/>
      </c>
      <c r="N838" s="16">
        <f>IF(M838="","",IFERROR(AVERAGEIFS($M$10:$M$1009,$K$10:$K$1009,K838,$A$10:$A$1009,"&lt;"&amp;A838,$A$10:$A$1009,"&gt;="&amp;(A838-$C$6)),""))</f>
        <v/>
      </c>
      <c r="O838" s="16">
        <f>IF(M838="","",_xlfn.MINIFS($M$10:$M$1009,$K$10:$K$1009,K838,$A$10:$A$1009,"&lt;="&amp;A838,$A$10:$A$1009,"&gt;="&amp;(A838-$C$6)))</f>
        <v/>
      </c>
      <c r="P838" s="18">
        <f>IF(OR(N838="",N838=0),"",M838/N838-1)</f>
        <v/>
      </c>
      <c r="Q838">
        <f>IF(D838="","",IF(COUNTIFS($B$10:$B$1009,B838,$C$10:$C$1009,C838,$D$10:$D$1009,D838,$E$10:$E$1009,E838)&gt;1,"MÜKERRER?",IF(P838="","",IF(P838&gt;=$C$5,"İNCELE",IF(P838&lt;=-$C$5,"Düşük",""))))</f>
        <v/>
      </c>
      <c r="R838" s="16">
        <f>IF(AND(P838&lt;&gt;"",N(P838)&gt;=$C$5,COUNTIFS($B$10:B838,B838,$C$10:C838,C838,$D$10:D838,D838,$E$10:E838,E838)=1),(M838-N838)*E838*L838,0)</f>
        <v/>
      </c>
      <c r="S838" s="19">
        <f>IF(D838="",0,N(E838)*L838)</f>
        <v/>
      </c>
    </row>
    <row r="839">
      <c r="A839" s="11" t="n"/>
      <c r="B839" s="12" t="n"/>
      <c r="C839" s="12" t="n"/>
      <c r="D839" s="12" t="n"/>
      <c r="E839" s="13" t="n"/>
      <c r="F839" s="12" t="n"/>
      <c r="G839" s="14" t="n"/>
      <c r="H839" s="15" t="n"/>
      <c r="I839" s="16">
        <f>IF(G839="","",G839*(1-N(H839)))</f>
        <v/>
      </c>
      <c r="J839" s="16">
        <f>IF(I839="","",E839*I839)</f>
        <v/>
      </c>
      <c r="K839">
        <f>IF(D839="","",IFERROR(VLOOKUP(D839,'Ürün Eşleştirme'!$A$6:$D$505,2,FALSE),D839))</f>
        <v/>
      </c>
      <c r="L839" s="17">
        <f>IF(D839="","",IFERROR(VLOOKUP(D839,'Ürün Eşleştirme'!$A$6:$D$505,4,FALSE),1))</f>
        <v/>
      </c>
      <c r="M839" s="16">
        <f>IF(I839="","",I839/L839)</f>
        <v/>
      </c>
      <c r="N839" s="16">
        <f>IF(M839="","",IFERROR(AVERAGEIFS($M$10:$M$1009,$K$10:$K$1009,K839,$A$10:$A$1009,"&lt;"&amp;A839,$A$10:$A$1009,"&gt;="&amp;(A839-$C$6)),""))</f>
        <v/>
      </c>
      <c r="O839" s="16">
        <f>IF(M839="","",_xlfn.MINIFS($M$10:$M$1009,$K$10:$K$1009,K839,$A$10:$A$1009,"&lt;="&amp;A839,$A$10:$A$1009,"&gt;="&amp;(A839-$C$6)))</f>
        <v/>
      </c>
      <c r="P839" s="18">
        <f>IF(OR(N839="",N839=0),"",M839/N839-1)</f>
        <v/>
      </c>
      <c r="Q839">
        <f>IF(D839="","",IF(COUNTIFS($B$10:$B$1009,B839,$C$10:$C$1009,C839,$D$10:$D$1009,D839,$E$10:$E$1009,E839)&gt;1,"MÜKERRER?",IF(P839="","",IF(P839&gt;=$C$5,"İNCELE",IF(P839&lt;=-$C$5,"Düşük",""))))</f>
        <v/>
      </c>
      <c r="R839" s="16">
        <f>IF(AND(P839&lt;&gt;"",N(P839)&gt;=$C$5,COUNTIFS($B$10:B839,B839,$C$10:C839,C839,$D$10:D839,D839,$E$10:E839,E839)=1),(M839-N839)*E839*L839,0)</f>
        <v/>
      </c>
      <c r="S839" s="19">
        <f>IF(D839="",0,N(E839)*L839)</f>
        <v/>
      </c>
    </row>
    <row r="840">
      <c r="A840" s="11" t="n"/>
      <c r="B840" s="12" t="n"/>
      <c r="C840" s="12" t="n"/>
      <c r="D840" s="12" t="n"/>
      <c r="E840" s="13" t="n"/>
      <c r="F840" s="12" t="n"/>
      <c r="G840" s="14" t="n"/>
      <c r="H840" s="15" t="n"/>
      <c r="I840" s="16">
        <f>IF(G840="","",G840*(1-N(H840)))</f>
        <v/>
      </c>
      <c r="J840" s="16">
        <f>IF(I840="","",E840*I840)</f>
        <v/>
      </c>
      <c r="K840">
        <f>IF(D840="","",IFERROR(VLOOKUP(D840,'Ürün Eşleştirme'!$A$6:$D$505,2,FALSE),D840))</f>
        <v/>
      </c>
      <c r="L840" s="17">
        <f>IF(D840="","",IFERROR(VLOOKUP(D840,'Ürün Eşleştirme'!$A$6:$D$505,4,FALSE),1))</f>
        <v/>
      </c>
      <c r="M840" s="16">
        <f>IF(I840="","",I840/L840)</f>
        <v/>
      </c>
      <c r="N840" s="16">
        <f>IF(M840="","",IFERROR(AVERAGEIFS($M$10:$M$1009,$K$10:$K$1009,K840,$A$10:$A$1009,"&lt;"&amp;A840,$A$10:$A$1009,"&gt;="&amp;(A840-$C$6)),""))</f>
        <v/>
      </c>
      <c r="O840" s="16">
        <f>IF(M840="","",_xlfn.MINIFS($M$10:$M$1009,$K$10:$K$1009,K840,$A$10:$A$1009,"&lt;="&amp;A840,$A$10:$A$1009,"&gt;="&amp;(A840-$C$6)))</f>
        <v/>
      </c>
      <c r="P840" s="18">
        <f>IF(OR(N840="",N840=0),"",M840/N840-1)</f>
        <v/>
      </c>
      <c r="Q840">
        <f>IF(D840="","",IF(COUNTIFS($B$10:$B$1009,B840,$C$10:$C$1009,C840,$D$10:$D$1009,D840,$E$10:$E$1009,E840)&gt;1,"MÜKERRER?",IF(P840="","",IF(P840&gt;=$C$5,"İNCELE",IF(P840&lt;=-$C$5,"Düşük",""))))</f>
        <v/>
      </c>
      <c r="R840" s="16">
        <f>IF(AND(P840&lt;&gt;"",N(P840)&gt;=$C$5,COUNTIFS($B$10:B840,B840,$C$10:C840,C840,$D$10:D840,D840,$E$10:E840,E840)=1),(M840-N840)*E840*L840,0)</f>
        <v/>
      </c>
      <c r="S840" s="19">
        <f>IF(D840="",0,N(E840)*L840)</f>
        <v/>
      </c>
    </row>
    <row r="841">
      <c r="A841" s="11" t="n"/>
      <c r="B841" s="12" t="n"/>
      <c r="C841" s="12" t="n"/>
      <c r="D841" s="12" t="n"/>
      <c r="E841" s="13" t="n"/>
      <c r="F841" s="12" t="n"/>
      <c r="G841" s="14" t="n"/>
      <c r="H841" s="15" t="n"/>
      <c r="I841" s="16">
        <f>IF(G841="","",G841*(1-N(H841)))</f>
        <v/>
      </c>
      <c r="J841" s="16">
        <f>IF(I841="","",E841*I841)</f>
        <v/>
      </c>
      <c r="K841">
        <f>IF(D841="","",IFERROR(VLOOKUP(D841,'Ürün Eşleştirme'!$A$6:$D$505,2,FALSE),D841))</f>
        <v/>
      </c>
      <c r="L841" s="17">
        <f>IF(D841="","",IFERROR(VLOOKUP(D841,'Ürün Eşleştirme'!$A$6:$D$505,4,FALSE),1))</f>
        <v/>
      </c>
      <c r="M841" s="16">
        <f>IF(I841="","",I841/L841)</f>
        <v/>
      </c>
      <c r="N841" s="16">
        <f>IF(M841="","",IFERROR(AVERAGEIFS($M$10:$M$1009,$K$10:$K$1009,K841,$A$10:$A$1009,"&lt;"&amp;A841,$A$10:$A$1009,"&gt;="&amp;(A841-$C$6)),""))</f>
        <v/>
      </c>
      <c r="O841" s="16">
        <f>IF(M841="","",_xlfn.MINIFS($M$10:$M$1009,$K$10:$K$1009,K841,$A$10:$A$1009,"&lt;="&amp;A841,$A$10:$A$1009,"&gt;="&amp;(A841-$C$6)))</f>
        <v/>
      </c>
      <c r="P841" s="18">
        <f>IF(OR(N841="",N841=0),"",M841/N841-1)</f>
        <v/>
      </c>
      <c r="Q841">
        <f>IF(D841="","",IF(COUNTIFS($B$10:$B$1009,B841,$C$10:$C$1009,C841,$D$10:$D$1009,D841,$E$10:$E$1009,E841)&gt;1,"MÜKERRER?",IF(P841="","",IF(P841&gt;=$C$5,"İNCELE",IF(P841&lt;=-$C$5,"Düşük",""))))</f>
        <v/>
      </c>
      <c r="R841" s="16">
        <f>IF(AND(P841&lt;&gt;"",N(P841)&gt;=$C$5,COUNTIFS($B$10:B841,B841,$C$10:C841,C841,$D$10:D841,D841,$E$10:E841,E841)=1),(M841-N841)*E841*L841,0)</f>
        <v/>
      </c>
      <c r="S841" s="19">
        <f>IF(D841="",0,N(E841)*L841)</f>
        <v/>
      </c>
    </row>
    <row r="842">
      <c r="A842" s="11" t="n"/>
      <c r="B842" s="12" t="n"/>
      <c r="C842" s="12" t="n"/>
      <c r="D842" s="12" t="n"/>
      <c r="E842" s="13" t="n"/>
      <c r="F842" s="12" t="n"/>
      <c r="G842" s="14" t="n"/>
      <c r="H842" s="15" t="n"/>
      <c r="I842" s="16">
        <f>IF(G842="","",G842*(1-N(H842)))</f>
        <v/>
      </c>
      <c r="J842" s="16">
        <f>IF(I842="","",E842*I842)</f>
        <v/>
      </c>
      <c r="K842">
        <f>IF(D842="","",IFERROR(VLOOKUP(D842,'Ürün Eşleştirme'!$A$6:$D$505,2,FALSE),D842))</f>
        <v/>
      </c>
      <c r="L842" s="17">
        <f>IF(D842="","",IFERROR(VLOOKUP(D842,'Ürün Eşleştirme'!$A$6:$D$505,4,FALSE),1))</f>
        <v/>
      </c>
      <c r="M842" s="16">
        <f>IF(I842="","",I842/L842)</f>
        <v/>
      </c>
      <c r="N842" s="16">
        <f>IF(M842="","",IFERROR(AVERAGEIFS($M$10:$M$1009,$K$10:$K$1009,K842,$A$10:$A$1009,"&lt;"&amp;A842,$A$10:$A$1009,"&gt;="&amp;(A842-$C$6)),""))</f>
        <v/>
      </c>
      <c r="O842" s="16">
        <f>IF(M842="","",_xlfn.MINIFS($M$10:$M$1009,$K$10:$K$1009,K842,$A$10:$A$1009,"&lt;="&amp;A842,$A$10:$A$1009,"&gt;="&amp;(A842-$C$6)))</f>
        <v/>
      </c>
      <c r="P842" s="18">
        <f>IF(OR(N842="",N842=0),"",M842/N842-1)</f>
        <v/>
      </c>
      <c r="Q842">
        <f>IF(D842="","",IF(COUNTIFS($B$10:$B$1009,B842,$C$10:$C$1009,C842,$D$10:$D$1009,D842,$E$10:$E$1009,E842)&gt;1,"MÜKERRER?",IF(P842="","",IF(P842&gt;=$C$5,"İNCELE",IF(P842&lt;=-$C$5,"Düşük",""))))</f>
        <v/>
      </c>
      <c r="R842" s="16">
        <f>IF(AND(P842&lt;&gt;"",N(P842)&gt;=$C$5,COUNTIFS($B$10:B842,B842,$C$10:C842,C842,$D$10:D842,D842,$E$10:E842,E842)=1),(M842-N842)*E842*L842,0)</f>
        <v/>
      </c>
      <c r="S842" s="19">
        <f>IF(D842="",0,N(E842)*L842)</f>
        <v/>
      </c>
    </row>
    <row r="843">
      <c r="A843" s="11" t="n"/>
      <c r="B843" s="12" t="n"/>
      <c r="C843" s="12" t="n"/>
      <c r="D843" s="12" t="n"/>
      <c r="E843" s="13" t="n"/>
      <c r="F843" s="12" t="n"/>
      <c r="G843" s="14" t="n"/>
      <c r="H843" s="15" t="n"/>
      <c r="I843" s="16">
        <f>IF(G843="","",G843*(1-N(H843)))</f>
        <v/>
      </c>
      <c r="J843" s="16">
        <f>IF(I843="","",E843*I843)</f>
        <v/>
      </c>
      <c r="K843">
        <f>IF(D843="","",IFERROR(VLOOKUP(D843,'Ürün Eşleştirme'!$A$6:$D$505,2,FALSE),D843))</f>
        <v/>
      </c>
      <c r="L843" s="17">
        <f>IF(D843="","",IFERROR(VLOOKUP(D843,'Ürün Eşleştirme'!$A$6:$D$505,4,FALSE),1))</f>
        <v/>
      </c>
      <c r="M843" s="16">
        <f>IF(I843="","",I843/L843)</f>
        <v/>
      </c>
      <c r="N843" s="16">
        <f>IF(M843="","",IFERROR(AVERAGEIFS($M$10:$M$1009,$K$10:$K$1009,K843,$A$10:$A$1009,"&lt;"&amp;A843,$A$10:$A$1009,"&gt;="&amp;(A843-$C$6)),""))</f>
        <v/>
      </c>
      <c r="O843" s="16">
        <f>IF(M843="","",_xlfn.MINIFS($M$10:$M$1009,$K$10:$K$1009,K843,$A$10:$A$1009,"&lt;="&amp;A843,$A$10:$A$1009,"&gt;="&amp;(A843-$C$6)))</f>
        <v/>
      </c>
      <c r="P843" s="18">
        <f>IF(OR(N843="",N843=0),"",M843/N843-1)</f>
        <v/>
      </c>
      <c r="Q843">
        <f>IF(D843="","",IF(COUNTIFS($B$10:$B$1009,B843,$C$10:$C$1009,C843,$D$10:$D$1009,D843,$E$10:$E$1009,E843)&gt;1,"MÜKERRER?",IF(P843="","",IF(P843&gt;=$C$5,"İNCELE",IF(P843&lt;=-$C$5,"Düşük",""))))</f>
        <v/>
      </c>
      <c r="R843" s="16">
        <f>IF(AND(P843&lt;&gt;"",N(P843)&gt;=$C$5,COUNTIFS($B$10:B843,B843,$C$10:C843,C843,$D$10:D843,D843,$E$10:E843,E843)=1),(M843-N843)*E843*L843,0)</f>
        <v/>
      </c>
      <c r="S843" s="19">
        <f>IF(D843="",0,N(E843)*L843)</f>
        <v/>
      </c>
    </row>
    <row r="844">
      <c r="A844" s="11" t="n"/>
      <c r="B844" s="12" t="n"/>
      <c r="C844" s="12" t="n"/>
      <c r="D844" s="12" t="n"/>
      <c r="E844" s="13" t="n"/>
      <c r="F844" s="12" t="n"/>
      <c r="G844" s="14" t="n"/>
      <c r="H844" s="15" t="n"/>
      <c r="I844" s="16">
        <f>IF(G844="","",G844*(1-N(H844)))</f>
        <v/>
      </c>
      <c r="J844" s="16">
        <f>IF(I844="","",E844*I844)</f>
        <v/>
      </c>
      <c r="K844">
        <f>IF(D844="","",IFERROR(VLOOKUP(D844,'Ürün Eşleştirme'!$A$6:$D$505,2,FALSE),D844))</f>
        <v/>
      </c>
      <c r="L844" s="17">
        <f>IF(D844="","",IFERROR(VLOOKUP(D844,'Ürün Eşleştirme'!$A$6:$D$505,4,FALSE),1))</f>
        <v/>
      </c>
      <c r="M844" s="16">
        <f>IF(I844="","",I844/L844)</f>
        <v/>
      </c>
      <c r="N844" s="16">
        <f>IF(M844="","",IFERROR(AVERAGEIFS($M$10:$M$1009,$K$10:$K$1009,K844,$A$10:$A$1009,"&lt;"&amp;A844,$A$10:$A$1009,"&gt;="&amp;(A844-$C$6)),""))</f>
        <v/>
      </c>
      <c r="O844" s="16">
        <f>IF(M844="","",_xlfn.MINIFS($M$10:$M$1009,$K$10:$K$1009,K844,$A$10:$A$1009,"&lt;="&amp;A844,$A$10:$A$1009,"&gt;="&amp;(A844-$C$6)))</f>
        <v/>
      </c>
      <c r="P844" s="18">
        <f>IF(OR(N844="",N844=0),"",M844/N844-1)</f>
        <v/>
      </c>
      <c r="Q844">
        <f>IF(D844="","",IF(COUNTIFS($B$10:$B$1009,B844,$C$10:$C$1009,C844,$D$10:$D$1009,D844,$E$10:$E$1009,E844)&gt;1,"MÜKERRER?",IF(P844="","",IF(P844&gt;=$C$5,"İNCELE",IF(P844&lt;=-$C$5,"Düşük",""))))</f>
        <v/>
      </c>
      <c r="R844" s="16">
        <f>IF(AND(P844&lt;&gt;"",N(P844)&gt;=$C$5,COUNTIFS($B$10:B844,B844,$C$10:C844,C844,$D$10:D844,D844,$E$10:E844,E844)=1),(M844-N844)*E844*L844,0)</f>
        <v/>
      </c>
      <c r="S844" s="19">
        <f>IF(D844="",0,N(E844)*L844)</f>
        <v/>
      </c>
    </row>
    <row r="845">
      <c r="A845" s="11" t="n"/>
      <c r="B845" s="12" t="n"/>
      <c r="C845" s="12" t="n"/>
      <c r="D845" s="12" t="n"/>
      <c r="E845" s="13" t="n"/>
      <c r="F845" s="12" t="n"/>
      <c r="G845" s="14" t="n"/>
      <c r="H845" s="15" t="n"/>
      <c r="I845" s="16">
        <f>IF(G845="","",G845*(1-N(H845)))</f>
        <v/>
      </c>
      <c r="J845" s="16">
        <f>IF(I845="","",E845*I845)</f>
        <v/>
      </c>
      <c r="K845">
        <f>IF(D845="","",IFERROR(VLOOKUP(D845,'Ürün Eşleştirme'!$A$6:$D$505,2,FALSE),D845))</f>
        <v/>
      </c>
      <c r="L845" s="17">
        <f>IF(D845="","",IFERROR(VLOOKUP(D845,'Ürün Eşleştirme'!$A$6:$D$505,4,FALSE),1))</f>
        <v/>
      </c>
      <c r="M845" s="16">
        <f>IF(I845="","",I845/L845)</f>
        <v/>
      </c>
      <c r="N845" s="16">
        <f>IF(M845="","",IFERROR(AVERAGEIFS($M$10:$M$1009,$K$10:$K$1009,K845,$A$10:$A$1009,"&lt;"&amp;A845,$A$10:$A$1009,"&gt;="&amp;(A845-$C$6)),""))</f>
        <v/>
      </c>
      <c r="O845" s="16">
        <f>IF(M845="","",_xlfn.MINIFS($M$10:$M$1009,$K$10:$K$1009,K845,$A$10:$A$1009,"&lt;="&amp;A845,$A$10:$A$1009,"&gt;="&amp;(A845-$C$6)))</f>
        <v/>
      </c>
      <c r="P845" s="18">
        <f>IF(OR(N845="",N845=0),"",M845/N845-1)</f>
        <v/>
      </c>
      <c r="Q845">
        <f>IF(D845="","",IF(COUNTIFS($B$10:$B$1009,B845,$C$10:$C$1009,C845,$D$10:$D$1009,D845,$E$10:$E$1009,E845)&gt;1,"MÜKERRER?",IF(P845="","",IF(P845&gt;=$C$5,"İNCELE",IF(P845&lt;=-$C$5,"Düşük",""))))</f>
        <v/>
      </c>
      <c r="R845" s="16">
        <f>IF(AND(P845&lt;&gt;"",N(P845)&gt;=$C$5,COUNTIFS($B$10:B845,B845,$C$10:C845,C845,$D$10:D845,D845,$E$10:E845,E845)=1),(M845-N845)*E845*L845,0)</f>
        <v/>
      </c>
      <c r="S845" s="19">
        <f>IF(D845="",0,N(E845)*L845)</f>
        <v/>
      </c>
    </row>
    <row r="846">
      <c r="A846" s="11" t="n"/>
      <c r="B846" s="12" t="n"/>
      <c r="C846" s="12" t="n"/>
      <c r="D846" s="12" t="n"/>
      <c r="E846" s="13" t="n"/>
      <c r="F846" s="12" t="n"/>
      <c r="G846" s="14" t="n"/>
      <c r="H846" s="15" t="n"/>
      <c r="I846" s="16">
        <f>IF(G846="","",G846*(1-N(H846)))</f>
        <v/>
      </c>
      <c r="J846" s="16">
        <f>IF(I846="","",E846*I846)</f>
        <v/>
      </c>
      <c r="K846">
        <f>IF(D846="","",IFERROR(VLOOKUP(D846,'Ürün Eşleştirme'!$A$6:$D$505,2,FALSE),D846))</f>
        <v/>
      </c>
      <c r="L846" s="17">
        <f>IF(D846="","",IFERROR(VLOOKUP(D846,'Ürün Eşleştirme'!$A$6:$D$505,4,FALSE),1))</f>
        <v/>
      </c>
      <c r="M846" s="16">
        <f>IF(I846="","",I846/L846)</f>
        <v/>
      </c>
      <c r="N846" s="16">
        <f>IF(M846="","",IFERROR(AVERAGEIFS($M$10:$M$1009,$K$10:$K$1009,K846,$A$10:$A$1009,"&lt;"&amp;A846,$A$10:$A$1009,"&gt;="&amp;(A846-$C$6)),""))</f>
        <v/>
      </c>
      <c r="O846" s="16">
        <f>IF(M846="","",_xlfn.MINIFS($M$10:$M$1009,$K$10:$K$1009,K846,$A$10:$A$1009,"&lt;="&amp;A846,$A$10:$A$1009,"&gt;="&amp;(A846-$C$6)))</f>
        <v/>
      </c>
      <c r="P846" s="18">
        <f>IF(OR(N846="",N846=0),"",M846/N846-1)</f>
        <v/>
      </c>
      <c r="Q846">
        <f>IF(D846="","",IF(COUNTIFS($B$10:$B$1009,B846,$C$10:$C$1009,C846,$D$10:$D$1009,D846,$E$10:$E$1009,E846)&gt;1,"MÜKERRER?",IF(P846="","",IF(P846&gt;=$C$5,"İNCELE",IF(P846&lt;=-$C$5,"Düşük",""))))</f>
        <v/>
      </c>
      <c r="R846" s="16">
        <f>IF(AND(P846&lt;&gt;"",N(P846)&gt;=$C$5,COUNTIFS($B$10:B846,B846,$C$10:C846,C846,$D$10:D846,D846,$E$10:E846,E846)=1),(M846-N846)*E846*L846,0)</f>
        <v/>
      </c>
      <c r="S846" s="19">
        <f>IF(D846="",0,N(E846)*L846)</f>
        <v/>
      </c>
    </row>
    <row r="847">
      <c r="A847" s="11" t="n"/>
      <c r="B847" s="12" t="n"/>
      <c r="C847" s="12" t="n"/>
      <c r="D847" s="12" t="n"/>
      <c r="E847" s="13" t="n"/>
      <c r="F847" s="12" t="n"/>
      <c r="G847" s="14" t="n"/>
      <c r="H847" s="15" t="n"/>
      <c r="I847" s="16">
        <f>IF(G847="","",G847*(1-N(H847)))</f>
        <v/>
      </c>
      <c r="J847" s="16">
        <f>IF(I847="","",E847*I847)</f>
        <v/>
      </c>
      <c r="K847">
        <f>IF(D847="","",IFERROR(VLOOKUP(D847,'Ürün Eşleştirme'!$A$6:$D$505,2,FALSE),D847))</f>
        <v/>
      </c>
      <c r="L847" s="17">
        <f>IF(D847="","",IFERROR(VLOOKUP(D847,'Ürün Eşleştirme'!$A$6:$D$505,4,FALSE),1))</f>
        <v/>
      </c>
      <c r="M847" s="16">
        <f>IF(I847="","",I847/L847)</f>
        <v/>
      </c>
      <c r="N847" s="16">
        <f>IF(M847="","",IFERROR(AVERAGEIFS($M$10:$M$1009,$K$10:$K$1009,K847,$A$10:$A$1009,"&lt;"&amp;A847,$A$10:$A$1009,"&gt;="&amp;(A847-$C$6)),""))</f>
        <v/>
      </c>
      <c r="O847" s="16">
        <f>IF(M847="","",_xlfn.MINIFS($M$10:$M$1009,$K$10:$K$1009,K847,$A$10:$A$1009,"&lt;="&amp;A847,$A$10:$A$1009,"&gt;="&amp;(A847-$C$6)))</f>
        <v/>
      </c>
      <c r="P847" s="18">
        <f>IF(OR(N847="",N847=0),"",M847/N847-1)</f>
        <v/>
      </c>
      <c r="Q847">
        <f>IF(D847="","",IF(COUNTIFS($B$10:$B$1009,B847,$C$10:$C$1009,C847,$D$10:$D$1009,D847,$E$10:$E$1009,E847)&gt;1,"MÜKERRER?",IF(P847="","",IF(P847&gt;=$C$5,"İNCELE",IF(P847&lt;=-$C$5,"Düşük",""))))</f>
        <v/>
      </c>
      <c r="R847" s="16">
        <f>IF(AND(P847&lt;&gt;"",N(P847)&gt;=$C$5,COUNTIFS($B$10:B847,B847,$C$10:C847,C847,$D$10:D847,D847,$E$10:E847,E847)=1),(M847-N847)*E847*L847,0)</f>
        <v/>
      </c>
      <c r="S847" s="19">
        <f>IF(D847="",0,N(E847)*L847)</f>
        <v/>
      </c>
    </row>
    <row r="848">
      <c r="A848" s="11" t="n"/>
      <c r="B848" s="12" t="n"/>
      <c r="C848" s="12" t="n"/>
      <c r="D848" s="12" t="n"/>
      <c r="E848" s="13" t="n"/>
      <c r="F848" s="12" t="n"/>
      <c r="G848" s="14" t="n"/>
      <c r="H848" s="15" t="n"/>
      <c r="I848" s="16">
        <f>IF(G848="","",G848*(1-N(H848)))</f>
        <v/>
      </c>
      <c r="J848" s="16">
        <f>IF(I848="","",E848*I848)</f>
        <v/>
      </c>
      <c r="K848">
        <f>IF(D848="","",IFERROR(VLOOKUP(D848,'Ürün Eşleştirme'!$A$6:$D$505,2,FALSE),D848))</f>
        <v/>
      </c>
      <c r="L848" s="17">
        <f>IF(D848="","",IFERROR(VLOOKUP(D848,'Ürün Eşleştirme'!$A$6:$D$505,4,FALSE),1))</f>
        <v/>
      </c>
      <c r="M848" s="16">
        <f>IF(I848="","",I848/L848)</f>
        <v/>
      </c>
      <c r="N848" s="16">
        <f>IF(M848="","",IFERROR(AVERAGEIFS($M$10:$M$1009,$K$10:$K$1009,K848,$A$10:$A$1009,"&lt;"&amp;A848,$A$10:$A$1009,"&gt;="&amp;(A848-$C$6)),""))</f>
        <v/>
      </c>
      <c r="O848" s="16">
        <f>IF(M848="","",_xlfn.MINIFS($M$10:$M$1009,$K$10:$K$1009,K848,$A$10:$A$1009,"&lt;="&amp;A848,$A$10:$A$1009,"&gt;="&amp;(A848-$C$6)))</f>
        <v/>
      </c>
      <c r="P848" s="18">
        <f>IF(OR(N848="",N848=0),"",M848/N848-1)</f>
        <v/>
      </c>
      <c r="Q848">
        <f>IF(D848="","",IF(COUNTIFS($B$10:$B$1009,B848,$C$10:$C$1009,C848,$D$10:$D$1009,D848,$E$10:$E$1009,E848)&gt;1,"MÜKERRER?",IF(P848="","",IF(P848&gt;=$C$5,"İNCELE",IF(P848&lt;=-$C$5,"Düşük",""))))</f>
        <v/>
      </c>
      <c r="R848" s="16">
        <f>IF(AND(P848&lt;&gt;"",N(P848)&gt;=$C$5,COUNTIFS($B$10:B848,B848,$C$10:C848,C848,$D$10:D848,D848,$E$10:E848,E848)=1),(M848-N848)*E848*L848,0)</f>
        <v/>
      </c>
      <c r="S848" s="19">
        <f>IF(D848="",0,N(E848)*L848)</f>
        <v/>
      </c>
    </row>
    <row r="849">
      <c r="A849" s="11" t="n"/>
      <c r="B849" s="12" t="n"/>
      <c r="C849" s="12" t="n"/>
      <c r="D849" s="12" t="n"/>
      <c r="E849" s="13" t="n"/>
      <c r="F849" s="12" t="n"/>
      <c r="G849" s="14" t="n"/>
      <c r="H849" s="15" t="n"/>
      <c r="I849" s="16">
        <f>IF(G849="","",G849*(1-N(H849)))</f>
        <v/>
      </c>
      <c r="J849" s="16">
        <f>IF(I849="","",E849*I849)</f>
        <v/>
      </c>
      <c r="K849">
        <f>IF(D849="","",IFERROR(VLOOKUP(D849,'Ürün Eşleştirme'!$A$6:$D$505,2,FALSE),D849))</f>
        <v/>
      </c>
      <c r="L849" s="17">
        <f>IF(D849="","",IFERROR(VLOOKUP(D849,'Ürün Eşleştirme'!$A$6:$D$505,4,FALSE),1))</f>
        <v/>
      </c>
      <c r="M849" s="16">
        <f>IF(I849="","",I849/L849)</f>
        <v/>
      </c>
      <c r="N849" s="16">
        <f>IF(M849="","",IFERROR(AVERAGEIFS($M$10:$M$1009,$K$10:$K$1009,K849,$A$10:$A$1009,"&lt;"&amp;A849,$A$10:$A$1009,"&gt;="&amp;(A849-$C$6)),""))</f>
        <v/>
      </c>
      <c r="O849" s="16">
        <f>IF(M849="","",_xlfn.MINIFS($M$10:$M$1009,$K$10:$K$1009,K849,$A$10:$A$1009,"&lt;="&amp;A849,$A$10:$A$1009,"&gt;="&amp;(A849-$C$6)))</f>
        <v/>
      </c>
      <c r="P849" s="18">
        <f>IF(OR(N849="",N849=0),"",M849/N849-1)</f>
        <v/>
      </c>
      <c r="Q849">
        <f>IF(D849="","",IF(COUNTIFS($B$10:$B$1009,B849,$C$10:$C$1009,C849,$D$10:$D$1009,D849,$E$10:$E$1009,E849)&gt;1,"MÜKERRER?",IF(P849="","",IF(P849&gt;=$C$5,"İNCELE",IF(P849&lt;=-$C$5,"Düşük",""))))</f>
        <v/>
      </c>
      <c r="R849" s="16">
        <f>IF(AND(P849&lt;&gt;"",N(P849)&gt;=$C$5,COUNTIFS($B$10:B849,B849,$C$10:C849,C849,$D$10:D849,D849,$E$10:E849,E849)=1),(M849-N849)*E849*L849,0)</f>
        <v/>
      </c>
      <c r="S849" s="19">
        <f>IF(D849="",0,N(E849)*L849)</f>
        <v/>
      </c>
    </row>
    <row r="850">
      <c r="A850" s="11" t="n"/>
      <c r="B850" s="12" t="n"/>
      <c r="C850" s="12" t="n"/>
      <c r="D850" s="12" t="n"/>
      <c r="E850" s="13" t="n"/>
      <c r="F850" s="12" t="n"/>
      <c r="G850" s="14" t="n"/>
      <c r="H850" s="15" t="n"/>
      <c r="I850" s="16">
        <f>IF(G850="","",G850*(1-N(H850)))</f>
        <v/>
      </c>
      <c r="J850" s="16">
        <f>IF(I850="","",E850*I850)</f>
        <v/>
      </c>
      <c r="K850">
        <f>IF(D850="","",IFERROR(VLOOKUP(D850,'Ürün Eşleştirme'!$A$6:$D$505,2,FALSE),D850))</f>
        <v/>
      </c>
      <c r="L850" s="17">
        <f>IF(D850="","",IFERROR(VLOOKUP(D850,'Ürün Eşleştirme'!$A$6:$D$505,4,FALSE),1))</f>
        <v/>
      </c>
      <c r="M850" s="16">
        <f>IF(I850="","",I850/L850)</f>
        <v/>
      </c>
      <c r="N850" s="16">
        <f>IF(M850="","",IFERROR(AVERAGEIFS($M$10:$M$1009,$K$10:$K$1009,K850,$A$10:$A$1009,"&lt;"&amp;A850,$A$10:$A$1009,"&gt;="&amp;(A850-$C$6)),""))</f>
        <v/>
      </c>
      <c r="O850" s="16">
        <f>IF(M850="","",_xlfn.MINIFS($M$10:$M$1009,$K$10:$K$1009,K850,$A$10:$A$1009,"&lt;="&amp;A850,$A$10:$A$1009,"&gt;="&amp;(A850-$C$6)))</f>
        <v/>
      </c>
      <c r="P850" s="18">
        <f>IF(OR(N850="",N850=0),"",M850/N850-1)</f>
        <v/>
      </c>
      <c r="Q850">
        <f>IF(D850="","",IF(COUNTIFS($B$10:$B$1009,B850,$C$10:$C$1009,C850,$D$10:$D$1009,D850,$E$10:$E$1009,E850)&gt;1,"MÜKERRER?",IF(P850="","",IF(P850&gt;=$C$5,"İNCELE",IF(P850&lt;=-$C$5,"Düşük",""))))</f>
        <v/>
      </c>
      <c r="R850" s="16">
        <f>IF(AND(P850&lt;&gt;"",N(P850)&gt;=$C$5,COUNTIFS($B$10:B850,B850,$C$10:C850,C850,$D$10:D850,D850,$E$10:E850,E850)=1),(M850-N850)*E850*L850,0)</f>
        <v/>
      </c>
      <c r="S850" s="19">
        <f>IF(D850="",0,N(E850)*L850)</f>
        <v/>
      </c>
    </row>
    <row r="851">
      <c r="A851" s="11" t="n"/>
      <c r="B851" s="12" t="n"/>
      <c r="C851" s="12" t="n"/>
      <c r="D851" s="12" t="n"/>
      <c r="E851" s="13" t="n"/>
      <c r="F851" s="12" t="n"/>
      <c r="G851" s="14" t="n"/>
      <c r="H851" s="15" t="n"/>
      <c r="I851" s="16">
        <f>IF(G851="","",G851*(1-N(H851)))</f>
        <v/>
      </c>
      <c r="J851" s="16">
        <f>IF(I851="","",E851*I851)</f>
        <v/>
      </c>
      <c r="K851">
        <f>IF(D851="","",IFERROR(VLOOKUP(D851,'Ürün Eşleştirme'!$A$6:$D$505,2,FALSE),D851))</f>
        <v/>
      </c>
      <c r="L851" s="17">
        <f>IF(D851="","",IFERROR(VLOOKUP(D851,'Ürün Eşleştirme'!$A$6:$D$505,4,FALSE),1))</f>
        <v/>
      </c>
      <c r="M851" s="16">
        <f>IF(I851="","",I851/L851)</f>
        <v/>
      </c>
      <c r="N851" s="16">
        <f>IF(M851="","",IFERROR(AVERAGEIFS($M$10:$M$1009,$K$10:$K$1009,K851,$A$10:$A$1009,"&lt;"&amp;A851,$A$10:$A$1009,"&gt;="&amp;(A851-$C$6)),""))</f>
        <v/>
      </c>
      <c r="O851" s="16">
        <f>IF(M851="","",_xlfn.MINIFS($M$10:$M$1009,$K$10:$K$1009,K851,$A$10:$A$1009,"&lt;="&amp;A851,$A$10:$A$1009,"&gt;="&amp;(A851-$C$6)))</f>
        <v/>
      </c>
      <c r="P851" s="18">
        <f>IF(OR(N851="",N851=0),"",M851/N851-1)</f>
        <v/>
      </c>
      <c r="Q851">
        <f>IF(D851="","",IF(COUNTIFS($B$10:$B$1009,B851,$C$10:$C$1009,C851,$D$10:$D$1009,D851,$E$10:$E$1009,E851)&gt;1,"MÜKERRER?",IF(P851="","",IF(P851&gt;=$C$5,"İNCELE",IF(P851&lt;=-$C$5,"Düşük",""))))</f>
        <v/>
      </c>
      <c r="R851" s="16">
        <f>IF(AND(P851&lt;&gt;"",N(P851)&gt;=$C$5,COUNTIFS($B$10:B851,B851,$C$10:C851,C851,$D$10:D851,D851,$E$10:E851,E851)=1),(M851-N851)*E851*L851,0)</f>
        <v/>
      </c>
      <c r="S851" s="19">
        <f>IF(D851="",0,N(E851)*L851)</f>
        <v/>
      </c>
    </row>
    <row r="852">
      <c r="A852" s="11" t="n"/>
      <c r="B852" s="12" t="n"/>
      <c r="C852" s="12" t="n"/>
      <c r="D852" s="12" t="n"/>
      <c r="E852" s="13" t="n"/>
      <c r="F852" s="12" t="n"/>
      <c r="G852" s="14" t="n"/>
      <c r="H852" s="15" t="n"/>
      <c r="I852" s="16">
        <f>IF(G852="","",G852*(1-N(H852)))</f>
        <v/>
      </c>
      <c r="J852" s="16">
        <f>IF(I852="","",E852*I852)</f>
        <v/>
      </c>
      <c r="K852">
        <f>IF(D852="","",IFERROR(VLOOKUP(D852,'Ürün Eşleştirme'!$A$6:$D$505,2,FALSE),D852))</f>
        <v/>
      </c>
      <c r="L852" s="17">
        <f>IF(D852="","",IFERROR(VLOOKUP(D852,'Ürün Eşleştirme'!$A$6:$D$505,4,FALSE),1))</f>
        <v/>
      </c>
      <c r="M852" s="16">
        <f>IF(I852="","",I852/L852)</f>
        <v/>
      </c>
      <c r="N852" s="16">
        <f>IF(M852="","",IFERROR(AVERAGEIFS($M$10:$M$1009,$K$10:$K$1009,K852,$A$10:$A$1009,"&lt;"&amp;A852,$A$10:$A$1009,"&gt;="&amp;(A852-$C$6)),""))</f>
        <v/>
      </c>
      <c r="O852" s="16">
        <f>IF(M852="","",_xlfn.MINIFS($M$10:$M$1009,$K$10:$K$1009,K852,$A$10:$A$1009,"&lt;="&amp;A852,$A$10:$A$1009,"&gt;="&amp;(A852-$C$6)))</f>
        <v/>
      </c>
      <c r="P852" s="18">
        <f>IF(OR(N852="",N852=0),"",M852/N852-1)</f>
        <v/>
      </c>
      <c r="Q852">
        <f>IF(D852="","",IF(COUNTIFS($B$10:$B$1009,B852,$C$10:$C$1009,C852,$D$10:$D$1009,D852,$E$10:$E$1009,E852)&gt;1,"MÜKERRER?",IF(P852="","",IF(P852&gt;=$C$5,"İNCELE",IF(P852&lt;=-$C$5,"Düşük",""))))</f>
        <v/>
      </c>
      <c r="R852" s="16">
        <f>IF(AND(P852&lt;&gt;"",N(P852)&gt;=$C$5,COUNTIFS($B$10:B852,B852,$C$10:C852,C852,$D$10:D852,D852,$E$10:E852,E852)=1),(M852-N852)*E852*L852,0)</f>
        <v/>
      </c>
      <c r="S852" s="19">
        <f>IF(D852="",0,N(E852)*L852)</f>
        <v/>
      </c>
    </row>
    <row r="853">
      <c r="A853" s="11" t="n"/>
      <c r="B853" s="12" t="n"/>
      <c r="C853" s="12" t="n"/>
      <c r="D853" s="12" t="n"/>
      <c r="E853" s="13" t="n"/>
      <c r="F853" s="12" t="n"/>
      <c r="G853" s="14" t="n"/>
      <c r="H853" s="15" t="n"/>
      <c r="I853" s="16">
        <f>IF(G853="","",G853*(1-N(H853)))</f>
        <v/>
      </c>
      <c r="J853" s="16">
        <f>IF(I853="","",E853*I853)</f>
        <v/>
      </c>
      <c r="K853">
        <f>IF(D853="","",IFERROR(VLOOKUP(D853,'Ürün Eşleştirme'!$A$6:$D$505,2,FALSE),D853))</f>
        <v/>
      </c>
      <c r="L853" s="17">
        <f>IF(D853="","",IFERROR(VLOOKUP(D853,'Ürün Eşleştirme'!$A$6:$D$505,4,FALSE),1))</f>
        <v/>
      </c>
      <c r="M853" s="16">
        <f>IF(I853="","",I853/L853)</f>
        <v/>
      </c>
      <c r="N853" s="16">
        <f>IF(M853="","",IFERROR(AVERAGEIFS($M$10:$M$1009,$K$10:$K$1009,K853,$A$10:$A$1009,"&lt;"&amp;A853,$A$10:$A$1009,"&gt;="&amp;(A853-$C$6)),""))</f>
        <v/>
      </c>
      <c r="O853" s="16">
        <f>IF(M853="","",_xlfn.MINIFS($M$10:$M$1009,$K$10:$K$1009,K853,$A$10:$A$1009,"&lt;="&amp;A853,$A$10:$A$1009,"&gt;="&amp;(A853-$C$6)))</f>
        <v/>
      </c>
      <c r="P853" s="18">
        <f>IF(OR(N853="",N853=0),"",M853/N853-1)</f>
        <v/>
      </c>
      <c r="Q853">
        <f>IF(D853="","",IF(COUNTIFS($B$10:$B$1009,B853,$C$10:$C$1009,C853,$D$10:$D$1009,D853,$E$10:$E$1009,E853)&gt;1,"MÜKERRER?",IF(P853="","",IF(P853&gt;=$C$5,"İNCELE",IF(P853&lt;=-$C$5,"Düşük",""))))</f>
        <v/>
      </c>
      <c r="R853" s="16">
        <f>IF(AND(P853&lt;&gt;"",N(P853)&gt;=$C$5,COUNTIFS($B$10:B853,B853,$C$10:C853,C853,$D$10:D853,D853,$E$10:E853,E853)=1),(M853-N853)*E853*L853,0)</f>
        <v/>
      </c>
      <c r="S853" s="19">
        <f>IF(D853="",0,N(E853)*L853)</f>
        <v/>
      </c>
    </row>
    <row r="854">
      <c r="A854" s="11" t="n"/>
      <c r="B854" s="12" t="n"/>
      <c r="C854" s="12" t="n"/>
      <c r="D854" s="12" t="n"/>
      <c r="E854" s="13" t="n"/>
      <c r="F854" s="12" t="n"/>
      <c r="G854" s="14" t="n"/>
      <c r="H854" s="15" t="n"/>
      <c r="I854" s="16">
        <f>IF(G854="","",G854*(1-N(H854)))</f>
        <v/>
      </c>
      <c r="J854" s="16">
        <f>IF(I854="","",E854*I854)</f>
        <v/>
      </c>
      <c r="K854">
        <f>IF(D854="","",IFERROR(VLOOKUP(D854,'Ürün Eşleştirme'!$A$6:$D$505,2,FALSE),D854))</f>
        <v/>
      </c>
      <c r="L854" s="17">
        <f>IF(D854="","",IFERROR(VLOOKUP(D854,'Ürün Eşleştirme'!$A$6:$D$505,4,FALSE),1))</f>
        <v/>
      </c>
      <c r="M854" s="16">
        <f>IF(I854="","",I854/L854)</f>
        <v/>
      </c>
      <c r="N854" s="16">
        <f>IF(M854="","",IFERROR(AVERAGEIFS($M$10:$M$1009,$K$10:$K$1009,K854,$A$10:$A$1009,"&lt;"&amp;A854,$A$10:$A$1009,"&gt;="&amp;(A854-$C$6)),""))</f>
        <v/>
      </c>
      <c r="O854" s="16">
        <f>IF(M854="","",_xlfn.MINIFS($M$10:$M$1009,$K$10:$K$1009,K854,$A$10:$A$1009,"&lt;="&amp;A854,$A$10:$A$1009,"&gt;="&amp;(A854-$C$6)))</f>
        <v/>
      </c>
      <c r="P854" s="18">
        <f>IF(OR(N854="",N854=0),"",M854/N854-1)</f>
        <v/>
      </c>
      <c r="Q854">
        <f>IF(D854="","",IF(COUNTIFS($B$10:$B$1009,B854,$C$10:$C$1009,C854,$D$10:$D$1009,D854,$E$10:$E$1009,E854)&gt;1,"MÜKERRER?",IF(P854="","",IF(P854&gt;=$C$5,"İNCELE",IF(P854&lt;=-$C$5,"Düşük",""))))</f>
        <v/>
      </c>
      <c r="R854" s="16">
        <f>IF(AND(P854&lt;&gt;"",N(P854)&gt;=$C$5,COUNTIFS($B$10:B854,B854,$C$10:C854,C854,$D$10:D854,D854,$E$10:E854,E854)=1),(M854-N854)*E854*L854,0)</f>
        <v/>
      </c>
      <c r="S854" s="19">
        <f>IF(D854="",0,N(E854)*L854)</f>
        <v/>
      </c>
    </row>
    <row r="855">
      <c r="A855" s="11" t="n"/>
      <c r="B855" s="12" t="n"/>
      <c r="C855" s="12" t="n"/>
      <c r="D855" s="12" t="n"/>
      <c r="E855" s="13" t="n"/>
      <c r="F855" s="12" t="n"/>
      <c r="G855" s="14" t="n"/>
      <c r="H855" s="15" t="n"/>
      <c r="I855" s="16">
        <f>IF(G855="","",G855*(1-N(H855)))</f>
        <v/>
      </c>
      <c r="J855" s="16">
        <f>IF(I855="","",E855*I855)</f>
        <v/>
      </c>
      <c r="K855">
        <f>IF(D855="","",IFERROR(VLOOKUP(D855,'Ürün Eşleştirme'!$A$6:$D$505,2,FALSE),D855))</f>
        <v/>
      </c>
      <c r="L855" s="17">
        <f>IF(D855="","",IFERROR(VLOOKUP(D855,'Ürün Eşleştirme'!$A$6:$D$505,4,FALSE),1))</f>
        <v/>
      </c>
      <c r="M855" s="16">
        <f>IF(I855="","",I855/L855)</f>
        <v/>
      </c>
      <c r="N855" s="16">
        <f>IF(M855="","",IFERROR(AVERAGEIFS($M$10:$M$1009,$K$10:$K$1009,K855,$A$10:$A$1009,"&lt;"&amp;A855,$A$10:$A$1009,"&gt;="&amp;(A855-$C$6)),""))</f>
        <v/>
      </c>
      <c r="O855" s="16">
        <f>IF(M855="","",_xlfn.MINIFS($M$10:$M$1009,$K$10:$K$1009,K855,$A$10:$A$1009,"&lt;="&amp;A855,$A$10:$A$1009,"&gt;="&amp;(A855-$C$6)))</f>
        <v/>
      </c>
      <c r="P855" s="18">
        <f>IF(OR(N855="",N855=0),"",M855/N855-1)</f>
        <v/>
      </c>
      <c r="Q855">
        <f>IF(D855="","",IF(COUNTIFS($B$10:$B$1009,B855,$C$10:$C$1009,C855,$D$10:$D$1009,D855,$E$10:$E$1009,E855)&gt;1,"MÜKERRER?",IF(P855="","",IF(P855&gt;=$C$5,"İNCELE",IF(P855&lt;=-$C$5,"Düşük",""))))</f>
        <v/>
      </c>
      <c r="R855" s="16">
        <f>IF(AND(P855&lt;&gt;"",N(P855)&gt;=$C$5,COUNTIFS($B$10:B855,B855,$C$10:C855,C855,$D$10:D855,D855,$E$10:E855,E855)=1),(M855-N855)*E855*L855,0)</f>
        <v/>
      </c>
      <c r="S855" s="19">
        <f>IF(D855="",0,N(E855)*L855)</f>
        <v/>
      </c>
    </row>
    <row r="856">
      <c r="A856" s="11" t="n"/>
      <c r="B856" s="12" t="n"/>
      <c r="C856" s="12" t="n"/>
      <c r="D856" s="12" t="n"/>
      <c r="E856" s="13" t="n"/>
      <c r="F856" s="12" t="n"/>
      <c r="G856" s="14" t="n"/>
      <c r="H856" s="15" t="n"/>
      <c r="I856" s="16">
        <f>IF(G856="","",G856*(1-N(H856)))</f>
        <v/>
      </c>
      <c r="J856" s="16">
        <f>IF(I856="","",E856*I856)</f>
        <v/>
      </c>
      <c r="K856">
        <f>IF(D856="","",IFERROR(VLOOKUP(D856,'Ürün Eşleştirme'!$A$6:$D$505,2,FALSE),D856))</f>
        <v/>
      </c>
      <c r="L856" s="17">
        <f>IF(D856="","",IFERROR(VLOOKUP(D856,'Ürün Eşleştirme'!$A$6:$D$505,4,FALSE),1))</f>
        <v/>
      </c>
      <c r="M856" s="16">
        <f>IF(I856="","",I856/L856)</f>
        <v/>
      </c>
      <c r="N856" s="16">
        <f>IF(M856="","",IFERROR(AVERAGEIFS($M$10:$M$1009,$K$10:$K$1009,K856,$A$10:$A$1009,"&lt;"&amp;A856,$A$10:$A$1009,"&gt;="&amp;(A856-$C$6)),""))</f>
        <v/>
      </c>
      <c r="O856" s="16">
        <f>IF(M856="","",_xlfn.MINIFS($M$10:$M$1009,$K$10:$K$1009,K856,$A$10:$A$1009,"&lt;="&amp;A856,$A$10:$A$1009,"&gt;="&amp;(A856-$C$6)))</f>
        <v/>
      </c>
      <c r="P856" s="18">
        <f>IF(OR(N856="",N856=0),"",M856/N856-1)</f>
        <v/>
      </c>
      <c r="Q856">
        <f>IF(D856="","",IF(COUNTIFS($B$10:$B$1009,B856,$C$10:$C$1009,C856,$D$10:$D$1009,D856,$E$10:$E$1009,E856)&gt;1,"MÜKERRER?",IF(P856="","",IF(P856&gt;=$C$5,"İNCELE",IF(P856&lt;=-$C$5,"Düşük",""))))</f>
        <v/>
      </c>
      <c r="R856" s="16">
        <f>IF(AND(P856&lt;&gt;"",N(P856)&gt;=$C$5,COUNTIFS($B$10:B856,B856,$C$10:C856,C856,$D$10:D856,D856,$E$10:E856,E856)=1),(M856-N856)*E856*L856,0)</f>
        <v/>
      </c>
      <c r="S856" s="19">
        <f>IF(D856="",0,N(E856)*L856)</f>
        <v/>
      </c>
    </row>
    <row r="857">
      <c r="A857" s="11" t="n"/>
      <c r="B857" s="12" t="n"/>
      <c r="C857" s="12" t="n"/>
      <c r="D857" s="12" t="n"/>
      <c r="E857" s="13" t="n"/>
      <c r="F857" s="12" t="n"/>
      <c r="G857" s="14" t="n"/>
      <c r="H857" s="15" t="n"/>
      <c r="I857" s="16">
        <f>IF(G857="","",G857*(1-N(H857)))</f>
        <v/>
      </c>
      <c r="J857" s="16">
        <f>IF(I857="","",E857*I857)</f>
        <v/>
      </c>
      <c r="K857">
        <f>IF(D857="","",IFERROR(VLOOKUP(D857,'Ürün Eşleştirme'!$A$6:$D$505,2,FALSE),D857))</f>
        <v/>
      </c>
      <c r="L857" s="17">
        <f>IF(D857="","",IFERROR(VLOOKUP(D857,'Ürün Eşleştirme'!$A$6:$D$505,4,FALSE),1))</f>
        <v/>
      </c>
      <c r="M857" s="16">
        <f>IF(I857="","",I857/L857)</f>
        <v/>
      </c>
      <c r="N857" s="16">
        <f>IF(M857="","",IFERROR(AVERAGEIFS($M$10:$M$1009,$K$10:$K$1009,K857,$A$10:$A$1009,"&lt;"&amp;A857,$A$10:$A$1009,"&gt;="&amp;(A857-$C$6)),""))</f>
        <v/>
      </c>
      <c r="O857" s="16">
        <f>IF(M857="","",_xlfn.MINIFS($M$10:$M$1009,$K$10:$K$1009,K857,$A$10:$A$1009,"&lt;="&amp;A857,$A$10:$A$1009,"&gt;="&amp;(A857-$C$6)))</f>
        <v/>
      </c>
      <c r="P857" s="18">
        <f>IF(OR(N857="",N857=0),"",M857/N857-1)</f>
        <v/>
      </c>
      <c r="Q857">
        <f>IF(D857="","",IF(COUNTIFS($B$10:$B$1009,B857,$C$10:$C$1009,C857,$D$10:$D$1009,D857,$E$10:$E$1009,E857)&gt;1,"MÜKERRER?",IF(P857="","",IF(P857&gt;=$C$5,"İNCELE",IF(P857&lt;=-$C$5,"Düşük",""))))</f>
        <v/>
      </c>
      <c r="R857" s="16">
        <f>IF(AND(P857&lt;&gt;"",N(P857)&gt;=$C$5,COUNTIFS($B$10:B857,B857,$C$10:C857,C857,$D$10:D857,D857,$E$10:E857,E857)=1),(M857-N857)*E857*L857,0)</f>
        <v/>
      </c>
      <c r="S857" s="19">
        <f>IF(D857="",0,N(E857)*L857)</f>
        <v/>
      </c>
    </row>
    <row r="858">
      <c r="A858" s="11" t="n"/>
      <c r="B858" s="12" t="n"/>
      <c r="C858" s="12" t="n"/>
      <c r="D858" s="12" t="n"/>
      <c r="E858" s="13" t="n"/>
      <c r="F858" s="12" t="n"/>
      <c r="G858" s="14" t="n"/>
      <c r="H858" s="15" t="n"/>
      <c r="I858" s="16">
        <f>IF(G858="","",G858*(1-N(H858)))</f>
        <v/>
      </c>
      <c r="J858" s="16">
        <f>IF(I858="","",E858*I858)</f>
        <v/>
      </c>
      <c r="K858">
        <f>IF(D858="","",IFERROR(VLOOKUP(D858,'Ürün Eşleştirme'!$A$6:$D$505,2,FALSE),D858))</f>
        <v/>
      </c>
      <c r="L858" s="17">
        <f>IF(D858="","",IFERROR(VLOOKUP(D858,'Ürün Eşleştirme'!$A$6:$D$505,4,FALSE),1))</f>
        <v/>
      </c>
      <c r="M858" s="16">
        <f>IF(I858="","",I858/L858)</f>
        <v/>
      </c>
      <c r="N858" s="16">
        <f>IF(M858="","",IFERROR(AVERAGEIFS($M$10:$M$1009,$K$10:$K$1009,K858,$A$10:$A$1009,"&lt;"&amp;A858,$A$10:$A$1009,"&gt;="&amp;(A858-$C$6)),""))</f>
        <v/>
      </c>
      <c r="O858" s="16">
        <f>IF(M858="","",_xlfn.MINIFS($M$10:$M$1009,$K$10:$K$1009,K858,$A$10:$A$1009,"&lt;="&amp;A858,$A$10:$A$1009,"&gt;="&amp;(A858-$C$6)))</f>
        <v/>
      </c>
      <c r="P858" s="18">
        <f>IF(OR(N858="",N858=0),"",M858/N858-1)</f>
        <v/>
      </c>
      <c r="Q858">
        <f>IF(D858="","",IF(COUNTIFS($B$10:$B$1009,B858,$C$10:$C$1009,C858,$D$10:$D$1009,D858,$E$10:$E$1009,E858)&gt;1,"MÜKERRER?",IF(P858="","",IF(P858&gt;=$C$5,"İNCELE",IF(P858&lt;=-$C$5,"Düşük",""))))</f>
        <v/>
      </c>
      <c r="R858" s="16">
        <f>IF(AND(P858&lt;&gt;"",N(P858)&gt;=$C$5,COUNTIFS($B$10:B858,B858,$C$10:C858,C858,$D$10:D858,D858,$E$10:E858,E858)=1),(M858-N858)*E858*L858,0)</f>
        <v/>
      </c>
      <c r="S858" s="19">
        <f>IF(D858="",0,N(E858)*L858)</f>
        <v/>
      </c>
    </row>
    <row r="859">
      <c r="A859" s="11" t="n"/>
      <c r="B859" s="12" t="n"/>
      <c r="C859" s="12" t="n"/>
      <c r="D859" s="12" t="n"/>
      <c r="E859" s="13" t="n"/>
      <c r="F859" s="12" t="n"/>
      <c r="G859" s="14" t="n"/>
      <c r="H859" s="15" t="n"/>
      <c r="I859" s="16">
        <f>IF(G859="","",G859*(1-N(H859)))</f>
        <v/>
      </c>
      <c r="J859" s="16">
        <f>IF(I859="","",E859*I859)</f>
        <v/>
      </c>
      <c r="K859">
        <f>IF(D859="","",IFERROR(VLOOKUP(D859,'Ürün Eşleştirme'!$A$6:$D$505,2,FALSE),D859))</f>
        <v/>
      </c>
      <c r="L859" s="17">
        <f>IF(D859="","",IFERROR(VLOOKUP(D859,'Ürün Eşleştirme'!$A$6:$D$505,4,FALSE),1))</f>
        <v/>
      </c>
      <c r="M859" s="16">
        <f>IF(I859="","",I859/L859)</f>
        <v/>
      </c>
      <c r="N859" s="16">
        <f>IF(M859="","",IFERROR(AVERAGEIFS($M$10:$M$1009,$K$10:$K$1009,K859,$A$10:$A$1009,"&lt;"&amp;A859,$A$10:$A$1009,"&gt;="&amp;(A859-$C$6)),""))</f>
        <v/>
      </c>
      <c r="O859" s="16">
        <f>IF(M859="","",_xlfn.MINIFS($M$10:$M$1009,$K$10:$K$1009,K859,$A$10:$A$1009,"&lt;="&amp;A859,$A$10:$A$1009,"&gt;="&amp;(A859-$C$6)))</f>
        <v/>
      </c>
      <c r="P859" s="18">
        <f>IF(OR(N859="",N859=0),"",M859/N859-1)</f>
        <v/>
      </c>
      <c r="Q859">
        <f>IF(D859="","",IF(COUNTIFS($B$10:$B$1009,B859,$C$10:$C$1009,C859,$D$10:$D$1009,D859,$E$10:$E$1009,E859)&gt;1,"MÜKERRER?",IF(P859="","",IF(P859&gt;=$C$5,"İNCELE",IF(P859&lt;=-$C$5,"Düşük",""))))</f>
        <v/>
      </c>
      <c r="R859" s="16">
        <f>IF(AND(P859&lt;&gt;"",N(P859)&gt;=$C$5,COUNTIFS($B$10:B859,B859,$C$10:C859,C859,$D$10:D859,D859,$E$10:E859,E859)=1),(M859-N859)*E859*L859,0)</f>
        <v/>
      </c>
      <c r="S859" s="19">
        <f>IF(D859="",0,N(E859)*L859)</f>
        <v/>
      </c>
    </row>
    <row r="860">
      <c r="A860" s="11" t="n"/>
      <c r="B860" s="12" t="n"/>
      <c r="C860" s="12" t="n"/>
      <c r="D860" s="12" t="n"/>
      <c r="E860" s="13" t="n"/>
      <c r="F860" s="12" t="n"/>
      <c r="G860" s="14" t="n"/>
      <c r="H860" s="15" t="n"/>
      <c r="I860" s="16">
        <f>IF(G860="","",G860*(1-N(H860)))</f>
        <v/>
      </c>
      <c r="J860" s="16">
        <f>IF(I860="","",E860*I860)</f>
        <v/>
      </c>
      <c r="K860">
        <f>IF(D860="","",IFERROR(VLOOKUP(D860,'Ürün Eşleştirme'!$A$6:$D$505,2,FALSE),D860))</f>
        <v/>
      </c>
      <c r="L860" s="17">
        <f>IF(D860="","",IFERROR(VLOOKUP(D860,'Ürün Eşleştirme'!$A$6:$D$505,4,FALSE),1))</f>
        <v/>
      </c>
      <c r="M860" s="16">
        <f>IF(I860="","",I860/L860)</f>
        <v/>
      </c>
      <c r="N860" s="16">
        <f>IF(M860="","",IFERROR(AVERAGEIFS($M$10:$M$1009,$K$10:$K$1009,K860,$A$10:$A$1009,"&lt;"&amp;A860,$A$10:$A$1009,"&gt;="&amp;(A860-$C$6)),""))</f>
        <v/>
      </c>
      <c r="O860" s="16">
        <f>IF(M860="","",_xlfn.MINIFS($M$10:$M$1009,$K$10:$K$1009,K860,$A$10:$A$1009,"&lt;="&amp;A860,$A$10:$A$1009,"&gt;="&amp;(A860-$C$6)))</f>
        <v/>
      </c>
      <c r="P860" s="18">
        <f>IF(OR(N860="",N860=0),"",M860/N860-1)</f>
        <v/>
      </c>
      <c r="Q860">
        <f>IF(D860="","",IF(COUNTIFS($B$10:$B$1009,B860,$C$10:$C$1009,C860,$D$10:$D$1009,D860,$E$10:$E$1009,E860)&gt;1,"MÜKERRER?",IF(P860="","",IF(P860&gt;=$C$5,"İNCELE",IF(P860&lt;=-$C$5,"Düşük",""))))</f>
        <v/>
      </c>
      <c r="R860" s="16">
        <f>IF(AND(P860&lt;&gt;"",N(P860)&gt;=$C$5,COUNTIFS($B$10:B860,B860,$C$10:C860,C860,$D$10:D860,D860,$E$10:E860,E860)=1),(M860-N860)*E860*L860,0)</f>
        <v/>
      </c>
      <c r="S860" s="19">
        <f>IF(D860="",0,N(E860)*L860)</f>
        <v/>
      </c>
    </row>
    <row r="861">
      <c r="A861" s="11" t="n"/>
      <c r="B861" s="12" t="n"/>
      <c r="C861" s="12" t="n"/>
      <c r="D861" s="12" t="n"/>
      <c r="E861" s="13" t="n"/>
      <c r="F861" s="12" t="n"/>
      <c r="G861" s="14" t="n"/>
      <c r="H861" s="15" t="n"/>
      <c r="I861" s="16">
        <f>IF(G861="","",G861*(1-N(H861)))</f>
        <v/>
      </c>
      <c r="J861" s="16">
        <f>IF(I861="","",E861*I861)</f>
        <v/>
      </c>
      <c r="K861">
        <f>IF(D861="","",IFERROR(VLOOKUP(D861,'Ürün Eşleştirme'!$A$6:$D$505,2,FALSE),D861))</f>
        <v/>
      </c>
      <c r="L861" s="17">
        <f>IF(D861="","",IFERROR(VLOOKUP(D861,'Ürün Eşleştirme'!$A$6:$D$505,4,FALSE),1))</f>
        <v/>
      </c>
      <c r="M861" s="16">
        <f>IF(I861="","",I861/L861)</f>
        <v/>
      </c>
      <c r="N861" s="16">
        <f>IF(M861="","",IFERROR(AVERAGEIFS($M$10:$M$1009,$K$10:$K$1009,K861,$A$10:$A$1009,"&lt;"&amp;A861,$A$10:$A$1009,"&gt;="&amp;(A861-$C$6)),""))</f>
        <v/>
      </c>
      <c r="O861" s="16">
        <f>IF(M861="","",_xlfn.MINIFS($M$10:$M$1009,$K$10:$K$1009,K861,$A$10:$A$1009,"&lt;="&amp;A861,$A$10:$A$1009,"&gt;="&amp;(A861-$C$6)))</f>
        <v/>
      </c>
      <c r="P861" s="18">
        <f>IF(OR(N861="",N861=0),"",M861/N861-1)</f>
        <v/>
      </c>
      <c r="Q861">
        <f>IF(D861="","",IF(COUNTIFS($B$10:$B$1009,B861,$C$10:$C$1009,C861,$D$10:$D$1009,D861,$E$10:$E$1009,E861)&gt;1,"MÜKERRER?",IF(P861="","",IF(P861&gt;=$C$5,"İNCELE",IF(P861&lt;=-$C$5,"Düşük",""))))</f>
        <v/>
      </c>
      <c r="R861" s="16">
        <f>IF(AND(P861&lt;&gt;"",N(P861)&gt;=$C$5,COUNTIFS($B$10:B861,B861,$C$10:C861,C861,$D$10:D861,D861,$E$10:E861,E861)=1),(M861-N861)*E861*L861,0)</f>
        <v/>
      </c>
      <c r="S861" s="19">
        <f>IF(D861="",0,N(E861)*L861)</f>
        <v/>
      </c>
    </row>
    <row r="862">
      <c r="A862" s="11" t="n"/>
      <c r="B862" s="12" t="n"/>
      <c r="C862" s="12" t="n"/>
      <c r="D862" s="12" t="n"/>
      <c r="E862" s="13" t="n"/>
      <c r="F862" s="12" t="n"/>
      <c r="G862" s="14" t="n"/>
      <c r="H862" s="15" t="n"/>
      <c r="I862" s="16">
        <f>IF(G862="","",G862*(1-N(H862)))</f>
        <v/>
      </c>
      <c r="J862" s="16">
        <f>IF(I862="","",E862*I862)</f>
        <v/>
      </c>
      <c r="K862">
        <f>IF(D862="","",IFERROR(VLOOKUP(D862,'Ürün Eşleştirme'!$A$6:$D$505,2,FALSE),D862))</f>
        <v/>
      </c>
      <c r="L862" s="17">
        <f>IF(D862="","",IFERROR(VLOOKUP(D862,'Ürün Eşleştirme'!$A$6:$D$505,4,FALSE),1))</f>
        <v/>
      </c>
      <c r="M862" s="16">
        <f>IF(I862="","",I862/L862)</f>
        <v/>
      </c>
      <c r="N862" s="16">
        <f>IF(M862="","",IFERROR(AVERAGEIFS($M$10:$M$1009,$K$10:$K$1009,K862,$A$10:$A$1009,"&lt;"&amp;A862,$A$10:$A$1009,"&gt;="&amp;(A862-$C$6)),""))</f>
        <v/>
      </c>
      <c r="O862" s="16">
        <f>IF(M862="","",_xlfn.MINIFS($M$10:$M$1009,$K$10:$K$1009,K862,$A$10:$A$1009,"&lt;="&amp;A862,$A$10:$A$1009,"&gt;="&amp;(A862-$C$6)))</f>
        <v/>
      </c>
      <c r="P862" s="18">
        <f>IF(OR(N862="",N862=0),"",M862/N862-1)</f>
        <v/>
      </c>
      <c r="Q862">
        <f>IF(D862="","",IF(COUNTIFS($B$10:$B$1009,B862,$C$10:$C$1009,C862,$D$10:$D$1009,D862,$E$10:$E$1009,E862)&gt;1,"MÜKERRER?",IF(P862="","",IF(P862&gt;=$C$5,"İNCELE",IF(P862&lt;=-$C$5,"Düşük",""))))</f>
        <v/>
      </c>
      <c r="R862" s="16">
        <f>IF(AND(P862&lt;&gt;"",N(P862)&gt;=$C$5,COUNTIFS($B$10:B862,B862,$C$10:C862,C862,$D$10:D862,D862,$E$10:E862,E862)=1),(M862-N862)*E862*L862,0)</f>
        <v/>
      </c>
      <c r="S862" s="19">
        <f>IF(D862="",0,N(E862)*L862)</f>
        <v/>
      </c>
    </row>
    <row r="863">
      <c r="A863" s="11" t="n"/>
      <c r="B863" s="12" t="n"/>
      <c r="C863" s="12" t="n"/>
      <c r="D863" s="12" t="n"/>
      <c r="E863" s="13" t="n"/>
      <c r="F863" s="12" t="n"/>
      <c r="G863" s="14" t="n"/>
      <c r="H863" s="15" t="n"/>
      <c r="I863" s="16">
        <f>IF(G863="","",G863*(1-N(H863)))</f>
        <v/>
      </c>
      <c r="J863" s="16">
        <f>IF(I863="","",E863*I863)</f>
        <v/>
      </c>
      <c r="K863">
        <f>IF(D863="","",IFERROR(VLOOKUP(D863,'Ürün Eşleştirme'!$A$6:$D$505,2,FALSE),D863))</f>
        <v/>
      </c>
      <c r="L863" s="17">
        <f>IF(D863="","",IFERROR(VLOOKUP(D863,'Ürün Eşleştirme'!$A$6:$D$505,4,FALSE),1))</f>
        <v/>
      </c>
      <c r="M863" s="16">
        <f>IF(I863="","",I863/L863)</f>
        <v/>
      </c>
      <c r="N863" s="16">
        <f>IF(M863="","",IFERROR(AVERAGEIFS($M$10:$M$1009,$K$10:$K$1009,K863,$A$10:$A$1009,"&lt;"&amp;A863,$A$10:$A$1009,"&gt;="&amp;(A863-$C$6)),""))</f>
        <v/>
      </c>
      <c r="O863" s="16">
        <f>IF(M863="","",_xlfn.MINIFS($M$10:$M$1009,$K$10:$K$1009,K863,$A$10:$A$1009,"&lt;="&amp;A863,$A$10:$A$1009,"&gt;="&amp;(A863-$C$6)))</f>
        <v/>
      </c>
      <c r="P863" s="18">
        <f>IF(OR(N863="",N863=0),"",M863/N863-1)</f>
        <v/>
      </c>
      <c r="Q863">
        <f>IF(D863="","",IF(COUNTIFS($B$10:$B$1009,B863,$C$10:$C$1009,C863,$D$10:$D$1009,D863,$E$10:$E$1009,E863)&gt;1,"MÜKERRER?",IF(P863="","",IF(P863&gt;=$C$5,"İNCELE",IF(P863&lt;=-$C$5,"Düşük",""))))</f>
        <v/>
      </c>
      <c r="R863" s="16">
        <f>IF(AND(P863&lt;&gt;"",N(P863)&gt;=$C$5,COUNTIFS($B$10:B863,B863,$C$10:C863,C863,$D$10:D863,D863,$E$10:E863,E863)=1),(M863-N863)*E863*L863,0)</f>
        <v/>
      </c>
      <c r="S863" s="19">
        <f>IF(D863="",0,N(E863)*L863)</f>
        <v/>
      </c>
    </row>
    <row r="864">
      <c r="A864" s="11" t="n"/>
      <c r="B864" s="12" t="n"/>
      <c r="C864" s="12" t="n"/>
      <c r="D864" s="12" t="n"/>
      <c r="E864" s="13" t="n"/>
      <c r="F864" s="12" t="n"/>
      <c r="G864" s="14" t="n"/>
      <c r="H864" s="15" t="n"/>
      <c r="I864" s="16">
        <f>IF(G864="","",G864*(1-N(H864)))</f>
        <v/>
      </c>
      <c r="J864" s="16">
        <f>IF(I864="","",E864*I864)</f>
        <v/>
      </c>
      <c r="K864">
        <f>IF(D864="","",IFERROR(VLOOKUP(D864,'Ürün Eşleştirme'!$A$6:$D$505,2,FALSE),D864))</f>
        <v/>
      </c>
      <c r="L864" s="17">
        <f>IF(D864="","",IFERROR(VLOOKUP(D864,'Ürün Eşleştirme'!$A$6:$D$505,4,FALSE),1))</f>
        <v/>
      </c>
      <c r="M864" s="16">
        <f>IF(I864="","",I864/L864)</f>
        <v/>
      </c>
      <c r="N864" s="16">
        <f>IF(M864="","",IFERROR(AVERAGEIFS($M$10:$M$1009,$K$10:$K$1009,K864,$A$10:$A$1009,"&lt;"&amp;A864,$A$10:$A$1009,"&gt;="&amp;(A864-$C$6)),""))</f>
        <v/>
      </c>
      <c r="O864" s="16">
        <f>IF(M864="","",_xlfn.MINIFS($M$10:$M$1009,$K$10:$K$1009,K864,$A$10:$A$1009,"&lt;="&amp;A864,$A$10:$A$1009,"&gt;="&amp;(A864-$C$6)))</f>
        <v/>
      </c>
      <c r="P864" s="18">
        <f>IF(OR(N864="",N864=0),"",M864/N864-1)</f>
        <v/>
      </c>
      <c r="Q864">
        <f>IF(D864="","",IF(COUNTIFS($B$10:$B$1009,B864,$C$10:$C$1009,C864,$D$10:$D$1009,D864,$E$10:$E$1009,E864)&gt;1,"MÜKERRER?",IF(P864="","",IF(P864&gt;=$C$5,"İNCELE",IF(P864&lt;=-$C$5,"Düşük",""))))</f>
        <v/>
      </c>
      <c r="R864" s="16">
        <f>IF(AND(P864&lt;&gt;"",N(P864)&gt;=$C$5,COUNTIFS($B$10:B864,B864,$C$10:C864,C864,$D$10:D864,D864,$E$10:E864,E864)=1),(M864-N864)*E864*L864,0)</f>
        <v/>
      </c>
      <c r="S864" s="19">
        <f>IF(D864="",0,N(E864)*L864)</f>
        <v/>
      </c>
    </row>
    <row r="865">
      <c r="A865" s="11" t="n"/>
      <c r="B865" s="12" t="n"/>
      <c r="C865" s="12" t="n"/>
      <c r="D865" s="12" t="n"/>
      <c r="E865" s="13" t="n"/>
      <c r="F865" s="12" t="n"/>
      <c r="G865" s="14" t="n"/>
      <c r="H865" s="15" t="n"/>
      <c r="I865" s="16">
        <f>IF(G865="","",G865*(1-N(H865)))</f>
        <v/>
      </c>
      <c r="J865" s="16">
        <f>IF(I865="","",E865*I865)</f>
        <v/>
      </c>
      <c r="K865">
        <f>IF(D865="","",IFERROR(VLOOKUP(D865,'Ürün Eşleştirme'!$A$6:$D$505,2,FALSE),D865))</f>
        <v/>
      </c>
      <c r="L865" s="17">
        <f>IF(D865="","",IFERROR(VLOOKUP(D865,'Ürün Eşleştirme'!$A$6:$D$505,4,FALSE),1))</f>
        <v/>
      </c>
      <c r="M865" s="16">
        <f>IF(I865="","",I865/L865)</f>
        <v/>
      </c>
      <c r="N865" s="16">
        <f>IF(M865="","",IFERROR(AVERAGEIFS($M$10:$M$1009,$K$10:$K$1009,K865,$A$10:$A$1009,"&lt;"&amp;A865,$A$10:$A$1009,"&gt;="&amp;(A865-$C$6)),""))</f>
        <v/>
      </c>
      <c r="O865" s="16">
        <f>IF(M865="","",_xlfn.MINIFS($M$10:$M$1009,$K$10:$K$1009,K865,$A$10:$A$1009,"&lt;="&amp;A865,$A$10:$A$1009,"&gt;="&amp;(A865-$C$6)))</f>
        <v/>
      </c>
      <c r="P865" s="18">
        <f>IF(OR(N865="",N865=0),"",M865/N865-1)</f>
        <v/>
      </c>
      <c r="Q865">
        <f>IF(D865="","",IF(COUNTIFS($B$10:$B$1009,B865,$C$10:$C$1009,C865,$D$10:$D$1009,D865,$E$10:$E$1009,E865)&gt;1,"MÜKERRER?",IF(P865="","",IF(P865&gt;=$C$5,"İNCELE",IF(P865&lt;=-$C$5,"Düşük",""))))</f>
        <v/>
      </c>
      <c r="R865" s="16">
        <f>IF(AND(P865&lt;&gt;"",N(P865)&gt;=$C$5,COUNTIFS($B$10:B865,B865,$C$10:C865,C865,$D$10:D865,D865,$E$10:E865,E865)=1),(M865-N865)*E865*L865,0)</f>
        <v/>
      </c>
      <c r="S865" s="19">
        <f>IF(D865="",0,N(E865)*L865)</f>
        <v/>
      </c>
    </row>
    <row r="866">
      <c r="A866" s="11" t="n"/>
      <c r="B866" s="12" t="n"/>
      <c r="C866" s="12" t="n"/>
      <c r="D866" s="12" t="n"/>
      <c r="E866" s="13" t="n"/>
      <c r="F866" s="12" t="n"/>
      <c r="G866" s="14" t="n"/>
      <c r="H866" s="15" t="n"/>
      <c r="I866" s="16">
        <f>IF(G866="","",G866*(1-N(H866)))</f>
        <v/>
      </c>
      <c r="J866" s="16">
        <f>IF(I866="","",E866*I866)</f>
        <v/>
      </c>
      <c r="K866">
        <f>IF(D866="","",IFERROR(VLOOKUP(D866,'Ürün Eşleştirme'!$A$6:$D$505,2,FALSE),D866))</f>
        <v/>
      </c>
      <c r="L866" s="17">
        <f>IF(D866="","",IFERROR(VLOOKUP(D866,'Ürün Eşleştirme'!$A$6:$D$505,4,FALSE),1))</f>
        <v/>
      </c>
      <c r="M866" s="16">
        <f>IF(I866="","",I866/L866)</f>
        <v/>
      </c>
      <c r="N866" s="16">
        <f>IF(M866="","",IFERROR(AVERAGEIFS($M$10:$M$1009,$K$10:$K$1009,K866,$A$10:$A$1009,"&lt;"&amp;A866,$A$10:$A$1009,"&gt;="&amp;(A866-$C$6)),""))</f>
        <v/>
      </c>
      <c r="O866" s="16">
        <f>IF(M866="","",_xlfn.MINIFS($M$10:$M$1009,$K$10:$K$1009,K866,$A$10:$A$1009,"&lt;="&amp;A866,$A$10:$A$1009,"&gt;="&amp;(A866-$C$6)))</f>
        <v/>
      </c>
      <c r="P866" s="18">
        <f>IF(OR(N866="",N866=0),"",M866/N866-1)</f>
        <v/>
      </c>
      <c r="Q866">
        <f>IF(D866="","",IF(COUNTIFS($B$10:$B$1009,B866,$C$10:$C$1009,C866,$D$10:$D$1009,D866,$E$10:$E$1009,E866)&gt;1,"MÜKERRER?",IF(P866="","",IF(P866&gt;=$C$5,"İNCELE",IF(P866&lt;=-$C$5,"Düşük",""))))</f>
        <v/>
      </c>
      <c r="R866" s="16">
        <f>IF(AND(P866&lt;&gt;"",N(P866)&gt;=$C$5,COUNTIFS($B$10:B866,B866,$C$10:C866,C866,$D$10:D866,D866,$E$10:E866,E866)=1),(M866-N866)*E866*L866,0)</f>
        <v/>
      </c>
      <c r="S866" s="19">
        <f>IF(D866="",0,N(E866)*L866)</f>
        <v/>
      </c>
    </row>
    <row r="867">
      <c r="A867" s="11" t="n"/>
      <c r="B867" s="12" t="n"/>
      <c r="C867" s="12" t="n"/>
      <c r="D867" s="12" t="n"/>
      <c r="E867" s="13" t="n"/>
      <c r="F867" s="12" t="n"/>
      <c r="G867" s="14" t="n"/>
      <c r="H867" s="15" t="n"/>
      <c r="I867" s="16">
        <f>IF(G867="","",G867*(1-N(H867)))</f>
        <v/>
      </c>
      <c r="J867" s="16">
        <f>IF(I867="","",E867*I867)</f>
        <v/>
      </c>
      <c r="K867">
        <f>IF(D867="","",IFERROR(VLOOKUP(D867,'Ürün Eşleştirme'!$A$6:$D$505,2,FALSE),D867))</f>
        <v/>
      </c>
      <c r="L867" s="17">
        <f>IF(D867="","",IFERROR(VLOOKUP(D867,'Ürün Eşleştirme'!$A$6:$D$505,4,FALSE),1))</f>
        <v/>
      </c>
      <c r="M867" s="16">
        <f>IF(I867="","",I867/L867)</f>
        <v/>
      </c>
      <c r="N867" s="16">
        <f>IF(M867="","",IFERROR(AVERAGEIFS($M$10:$M$1009,$K$10:$K$1009,K867,$A$10:$A$1009,"&lt;"&amp;A867,$A$10:$A$1009,"&gt;="&amp;(A867-$C$6)),""))</f>
        <v/>
      </c>
      <c r="O867" s="16">
        <f>IF(M867="","",_xlfn.MINIFS($M$10:$M$1009,$K$10:$K$1009,K867,$A$10:$A$1009,"&lt;="&amp;A867,$A$10:$A$1009,"&gt;="&amp;(A867-$C$6)))</f>
        <v/>
      </c>
      <c r="P867" s="18">
        <f>IF(OR(N867="",N867=0),"",M867/N867-1)</f>
        <v/>
      </c>
      <c r="Q867">
        <f>IF(D867="","",IF(COUNTIFS($B$10:$B$1009,B867,$C$10:$C$1009,C867,$D$10:$D$1009,D867,$E$10:$E$1009,E867)&gt;1,"MÜKERRER?",IF(P867="","",IF(P867&gt;=$C$5,"İNCELE",IF(P867&lt;=-$C$5,"Düşük",""))))</f>
        <v/>
      </c>
      <c r="R867" s="16">
        <f>IF(AND(P867&lt;&gt;"",N(P867)&gt;=$C$5,COUNTIFS($B$10:B867,B867,$C$10:C867,C867,$D$10:D867,D867,$E$10:E867,E867)=1),(M867-N867)*E867*L867,0)</f>
        <v/>
      </c>
      <c r="S867" s="19">
        <f>IF(D867="",0,N(E867)*L867)</f>
        <v/>
      </c>
    </row>
    <row r="868">
      <c r="A868" s="11" t="n"/>
      <c r="B868" s="12" t="n"/>
      <c r="C868" s="12" t="n"/>
      <c r="D868" s="12" t="n"/>
      <c r="E868" s="13" t="n"/>
      <c r="F868" s="12" t="n"/>
      <c r="G868" s="14" t="n"/>
      <c r="H868" s="15" t="n"/>
      <c r="I868" s="16">
        <f>IF(G868="","",G868*(1-N(H868)))</f>
        <v/>
      </c>
      <c r="J868" s="16">
        <f>IF(I868="","",E868*I868)</f>
        <v/>
      </c>
      <c r="K868">
        <f>IF(D868="","",IFERROR(VLOOKUP(D868,'Ürün Eşleştirme'!$A$6:$D$505,2,FALSE),D868))</f>
        <v/>
      </c>
      <c r="L868" s="17">
        <f>IF(D868="","",IFERROR(VLOOKUP(D868,'Ürün Eşleştirme'!$A$6:$D$505,4,FALSE),1))</f>
        <v/>
      </c>
      <c r="M868" s="16">
        <f>IF(I868="","",I868/L868)</f>
        <v/>
      </c>
      <c r="N868" s="16">
        <f>IF(M868="","",IFERROR(AVERAGEIFS($M$10:$M$1009,$K$10:$K$1009,K868,$A$10:$A$1009,"&lt;"&amp;A868,$A$10:$A$1009,"&gt;="&amp;(A868-$C$6)),""))</f>
        <v/>
      </c>
      <c r="O868" s="16">
        <f>IF(M868="","",_xlfn.MINIFS($M$10:$M$1009,$K$10:$K$1009,K868,$A$10:$A$1009,"&lt;="&amp;A868,$A$10:$A$1009,"&gt;="&amp;(A868-$C$6)))</f>
        <v/>
      </c>
      <c r="P868" s="18">
        <f>IF(OR(N868="",N868=0),"",M868/N868-1)</f>
        <v/>
      </c>
      <c r="Q868">
        <f>IF(D868="","",IF(COUNTIFS($B$10:$B$1009,B868,$C$10:$C$1009,C868,$D$10:$D$1009,D868,$E$10:$E$1009,E868)&gt;1,"MÜKERRER?",IF(P868="","",IF(P868&gt;=$C$5,"İNCELE",IF(P868&lt;=-$C$5,"Düşük",""))))</f>
        <v/>
      </c>
      <c r="R868" s="16">
        <f>IF(AND(P868&lt;&gt;"",N(P868)&gt;=$C$5,COUNTIFS($B$10:B868,B868,$C$10:C868,C868,$D$10:D868,D868,$E$10:E868,E868)=1),(M868-N868)*E868*L868,0)</f>
        <v/>
      </c>
      <c r="S868" s="19">
        <f>IF(D868="",0,N(E868)*L868)</f>
        <v/>
      </c>
    </row>
    <row r="869">
      <c r="A869" s="11" t="n"/>
      <c r="B869" s="12" t="n"/>
      <c r="C869" s="12" t="n"/>
      <c r="D869" s="12" t="n"/>
      <c r="E869" s="13" t="n"/>
      <c r="F869" s="12" t="n"/>
      <c r="G869" s="14" t="n"/>
      <c r="H869" s="15" t="n"/>
      <c r="I869" s="16">
        <f>IF(G869="","",G869*(1-N(H869)))</f>
        <v/>
      </c>
      <c r="J869" s="16">
        <f>IF(I869="","",E869*I869)</f>
        <v/>
      </c>
      <c r="K869">
        <f>IF(D869="","",IFERROR(VLOOKUP(D869,'Ürün Eşleştirme'!$A$6:$D$505,2,FALSE),D869))</f>
        <v/>
      </c>
      <c r="L869" s="17">
        <f>IF(D869="","",IFERROR(VLOOKUP(D869,'Ürün Eşleştirme'!$A$6:$D$505,4,FALSE),1))</f>
        <v/>
      </c>
      <c r="M869" s="16">
        <f>IF(I869="","",I869/L869)</f>
        <v/>
      </c>
      <c r="N869" s="16">
        <f>IF(M869="","",IFERROR(AVERAGEIFS($M$10:$M$1009,$K$10:$K$1009,K869,$A$10:$A$1009,"&lt;"&amp;A869,$A$10:$A$1009,"&gt;="&amp;(A869-$C$6)),""))</f>
        <v/>
      </c>
      <c r="O869" s="16">
        <f>IF(M869="","",_xlfn.MINIFS($M$10:$M$1009,$K$10:$K$1009,K869,$A$10:$A$1009,"&lt;="&amp;A869,$A$10:$A$1009,"&gt;="&amp;(A869-$C$6)))</f>
        <v/>
      </c>
      <c r="P869" s="18">
        <f>IF(OR(N869="",N869=0),"",M869/N869-1)</f>
        <v/>
      </c>
      <c r="Q869">
        <f>IF(D869="","",IF(COUNTIFS($B$10:$B$1009,B869,$C$10:$C$1009,C869,$D$10:$D$1009,D869,$E$10:$E$1009,E869)&gt;1,"MÜKERRER?",IF(P869="","",IF(P869&gt;=$C$5,"İNCELE",IF(P869&lt;=-$C$5,"Düşük",""))))</f>
        <v/>
      </c>
      <c r="R869" s="16">
        <f>IF(AND(P869&lt;&gt;"",N(P869)&gt;=$C$5,COUNTIFS($B$10:B869,B869,$C$10:C869,C869,$D$10:D869,D869,$E$10:E869,E869)=1),(M869-N869)*E869*L869,0)</f>
        <v/>
      </c>
      <c r="S869" s="19">
        <f>IF(D869="",0,N(E869)*L869)</f>
        <v/>
      </c>
    </row>
    <row r="870">
      <c r="A870" s="11" t="n"/>
      <c r="B870" s="12" t="n"/>
      <c r="C870" s="12" t="n"/>
      <c r="D870" s="12" t="n"/>
      <c r="E870" s="13" t="n"/>
      <c r="F870" s="12" t="n"/>
      <c r="G870" s="14" t="n"/>
      <c r="H870" s="15" t="n"/>
      <c r="I870" s="16">
        <f>IF(G870="","",G870*(1-N(H870)))</f>
        <v/>
      </c>
      <c r="J870" s="16">
        <f>IF(I870="","",E870*I870)</f>
        <v/>
      </c>
      <c r="K870">
        <f>IF(D870="","",IFERROR(VLOOKUP(D870,'Ürün Eşleştirme'!$A$6:$D$505,2,FALSE),D870))</f>
        <v/>
      </c>
      <c r="L870" s="17">
        <f>IF(D870="","",IFERROR(VLOOKUP(D870,'Ürün Eşleştirme'!$A$6:$D$505,4,FALSE),1))</f>
        <v/>
      </c>
      <c r="M870" s="16">
        <f>IF(I870="","",I870/L870)</f>
        <v/>
      </c>
      <c r="N870" s="16">
        <f>IF(M870="","",IFERROR(AVERAGEIFS($M$10:$M$1009,$K$10:$K$1009,K870,$A$10:$A$1009,"&lt;"&amp;A870,$A$10:$A$1009,"&gt;="&amp;(A870-$C$6)),""))</f>
        <v/>
      </c>
      <c r="O870" s="16">
        <f>IF(M870="","",_xlfn.MINIFS($M$10:$M$1009,$K$10:$K$1009,K870,$A$10:$A$1009,"&lt;="&amp;A870,$A$10:$A$1009,"&gt;="&amp;(A870-$C$6)))</f>
        <v/>
      </c>
      <c r="P870" s="18">
        <f>IF(OR(N870="",N870=0),"",M870/N870-1)</f>
        <v/>
      </c>
      <c r="Q870">
        <f>IF(D870="","",IF(COUNTIFS($B$10:$B$1009,B870,$C$10:$C$1009,C870,$D$10:$D$1009,D870,$E$10:$E$1009,E870)&gt;1,"MÜKERRER?",IF(P870="","",IF(P870&gt;=$C$5,"İNCELE",IF(P870&lt;=-$C$5,"Düşük",""))))</f>
        <v/>
      </c>
      <c r="R870" s="16">
        <f>IF(AND(P870&lt;&gt;"",N(P870)&gt;=$C$5,COUNTIFS($B$10:B870,B870,$C$10:C870,C870,$D$10:D870,D870,$E$10:E870,E870)=1),(M870-N870)*E870*L870,0)</f>
        <v/>
      </c>
      <c r="S870" s="19">
        <f>IF(D870="",0,N(E870)*L870)</f>
        <v/>
      </c>
    </row>
    <row r="871">
      <c r="A871" s="11" t="n"/>
      <c r="B871" s="12" t="n"/>
      <c r="C871" s="12" t="n"/>
      <c r="D871" s="12" t="n"/>
      <c r="E871" s="13" t="n"/>
      <c r="F871" s="12" t="n"/>
      <c r="G871" s="14" t="n"/>
      <c r="H871" s="15" t="n"/>
      <c r="I871" s="16">
        <f>IF(G871="","",G871*(1-N(H871)))</f>
        <v/>
      </c>
      <c r="J871" s="16">
        <f>IF(I871="","",E871*I871)</f>
        <v/>
      </c>
      <c r="K871">
        <f>IF(D871="","",IFERROR(VLOOKUP(D871,'Ürün Eşleştirme'!$A$6:$D$505,2,FALSE),D871))</f>
        <v/>
      </c>
      <c r="L871" s="17">
        <f>IF(D871="","",IFERROR(VLOOKUP(D871,'Ürün Eşleştirme'!$A$6:$D$505,4,FALSE),1))</f>
        <v/>
      </c>
      <c r="M871" s="16">
        <f>IF(I871="","",I871/L871)</f>
        <v/>
      </c>
      <c r="N871" s="16">
        <f>IF(M871="","",IFERROR(AVERAGEIFS($M$10:$M$1009,$K$10:$K$1009,K871,$A$10:$A$1009,"&lt;"&amp;A871,$A$10:$A$1009,"&gt;="&amp;(A871-$C$6)),""))</f>
        <v/>
      </c>
      <c r="O871" s="16">
        <f>IF(M871="","",_xlfn.MINIFS($M$10:$M$1009,$K$10:$K$1009,K871,$A$10:$A$1009,"&lt;="&amp;A871,$A$10:$A$1009,"&gt;="&amp;(A871-$C$6)))</f>
        <v/>
      </c>
      <c r="P871" s="18">
        <f>IF(OR(N871="",N871=0),"",M871/N871-1)</f>
        <v/>
      </c>
      <c r="Q871">
        <f>IF(D871="","",IF(COUNTIFS($B$10:$B$1009,B871,$C$10:$C$1009,C871,$D$10:$D$1009,D871,$E$10:$E$1009,E871)&gt;1,"MÜKERRER?",IF(P871="","",IF(P871&gt;=$C$5,"İNCELE",IF(P871&lt;=-$C$5,"Düşük",""))))</f>
        <v/>
      </c>
      <c r="R871" s="16">
        <f>IF(AND(P871&lt;&gt;"",N(P871)&gt;=$C$5,COUNTIFS($B$10:B871,B871,$C$10:C871,C871,$D$10:D871,D871,$E$10:E871,E871)=1),(M871-N871)*E871*L871,0)</f>
        <v/>
      </c>
      <c r="S871" s="19">
        <f>IF(D871="",0,N(E871)*L871)</f>
        <v/>
      </c>
    </row>
    <row r="872">
      <c r="A872" s="11" t="n"/>
      <c r="B872" s="12" t="n"/>
      <c r="C872" s="12" t="n"/>
      <c r="D872" s="12" t="n"/>
      <c r="E872" s="13" t="n"/>
      <c r="F872" s="12" t="n"/>
      <c r="G872" s="14" t="n"/>
      <c r="H872" s="15" t="n"/>
      <c r="I872" s="16">
        <f>IF(G872="","",G872*(1-N(H872)))</f>
        <v/>
      </c>
      <c r="J872" s="16">
        <f>IF(I872="","",E872*I872)</f>
        <v/>
      </c>
      <c r="K872">
        <f>IF(D872="","",IFERROR(VLOOKUP(D872,'Ürün Eşleştirme'!$A$6:$D$505,2,FALSE),D872))</f>
        <v/>
      </c>
      <c r="L872" s="17">
        <f>IF(D872="","",IFERROR(VLOOKUP(D872,'Ürün Eşleştirme'!$A$6:$D$505,4,FALSE),1))</f>
        <v/>
      </c>
      <c r="M872" s="16">
        <f>IF(I872="","",I872/L872)</f>
        <v/>
      </c>
      <c r="N872" s="16">
        <f>IF(M872="","",IFERROR(AVERAGEIFS($M$10:$M$1009,$K$10:$K$1009,K872,$A$10:$A$1009,"&lt;"&amp;A872,$A$10:$A$1009,"&gt;="&amp;(A872-$C$6)),""))</f>
        <v/>
      </c>
      <c r="O872" s="16">
        <f>IF(M872="","",_xlfn.MINIFS($M$10:$M$1009,$K$10:$K$1009,K872,$A$10:$A$1009,"&lt;="&amp;A872,$A$10:$A$1009,"&gt;="&amp;(A872-$C$6)))</f>
        <v/>
      </c>
      <c r="P872" s="18">
        <f>IF(OR(N872="",N872=0),"",M872/N872-1)</f>
        <v/>
      </c>
      <c r="Q872">
        <f>IF(D872="","",IF(COUNTIFS($B$10:$B$1009,B872,$C$10:$C$1009,C872,$D$10:$D$1009,D872,$E$10:$E$1009,E872)&gt;1,"MÜKERRER?",IF(P872="","",IF(P872&gt;=$C$5,"İNCELE",IF(P872&lt;=-$C$5,"Düşük",""))))</f>
        <v/>
      </c>
      <c r="R872" s="16">
        <f>IF(AND(P872&lt;&gt;"",N(P872)&gt;=$C$5,COUNTIFS($B$10:B872,B872,$C$10:C872,C872,$D$10:D872,D872,$E$10:E872,E872)=1),(M872-N872)*E872*L872,0)</f>
        <v/>
      </c>
      <c r="S872" s="19">
        <f>IF(D872="",0,N(E872)*L872)</f>
        <v/>
      </c>
    </row>
    <row r="873">
      <c r="A873" s="11" t="n"/>
      <c r="B873" s="12" t="n"/>
      <c r="C873" s="12" t="n"/>
      <c r="D873" s="12" t="n"/>
      <c r="E873" s="13" t="n"/>
      <c r="F873" s="12" t="n"/>
      <c r="G873" s="14" t="n"/>
      <c r="H873" s="15" t="n"/>
      <c r="I873" s="16">
        <f>IF(G873="","",G873*(1-N(H873)))</f>
        <v/>
      </c>
      <c r="J873" s="16">
        <f>IF(I873="","",E873*I873)</f>
        <v/>
      </c>
      <c r="K873">
        <f>IF(D873="","",IFERROR(VLOOKUP(D873,'Ürün Eşleştirme'!$A$6:$D$505,2,FALSE),D873))</f>
        <v/>
      </c>
      <c r="L873" s="17">
        <f>IF(D873="","",IFERROR(VLOOKUP(D873,'Ürün Eşleştirme'!$A$6:$D$505,4,FALSE),1))</f>
        <v/>
      </c>
      <c r="M873" s="16">
        <f>IF(I873="","",I873/L873)</f>
        <v/>
      </c>
      <c r="N873" s="16">
        <f>IF(M873="","",IFERROR(AVERAGEIFS($M$10:$M$1009,$K$10:$K$1009,K873,$A$10:$A$1009,"&lt;"&amp;A873,$A$10:$A$1009,"&gt;="&amp;(A873-$C$6)),""))</f>
        <v/>
      </c>
      <c r="O873" s="16">
        <f>IF(M873="","",_xlfn.MINIFS($M$10:$M$1009,$K$10:$K$1009,K873,$A$10:$A$1009,"&lt;="&amp;A873,$A$10:$A$1009,"&gt;="&amp;(A873-$C$6)))</f>
        <v/>
      </c>
      <c r="P873" s="18">
        <f>IF(OR(N873="",N873=0),"",M873/N873-1)</f>
        <v/>
      </c>
      <c r="Q873">
        <f>IF(D873="","",IF(COUNTIFS($B$10:$B$1009,B873,$C$10:$C$1009,C873,$D$10:$D$1009,D873,$E$10:$E$1009,E873)&gt;1,"MÜKERRER?",IF(P873="","",IF(P873&gt;=$C$5,"İNCELE",IF(P873&lt;=-$C$5,"Düşük",""))))</f>
        <v/>
      </c>
      <c r="R873" s="16">
        <f>IF(AND(P873&lt;&gt;"",N(P873)&gt;=$C$5,COUNTIFS($B$10:B873,B873,$C$10:C873,C873,$D$10:D873,D873,$E$10:E873,E873)=1),(M873-N873)*E873*L873,0)</f>
        <v/>
      </c>
      <c r="S873" s="19">
        <f>IF(D873="",0,N(E873)*L873)</f>
        <v/>
      </c>
    </row>
    <row r="874">
      <c r="A874" s="11" t="n"/>
      <c r="B874" s="12" t="n"/>
      <c r="C874" s="12" t="n"/>
      <c r="D874" s="12" t="n"/>
      <c r="E874" s="13" t="n"/>
      <c r="F874" s="12" t="n"/>
      <c r="G874" s="14" t="n"/>
      <c r="H874" s="15" t="n"/>
      <c r="I874" s="16">
        <f>IF(G874="","",G874*(1-N(H874)))</f>
        <v/>
      </c>
      <c r="J874" s="16">
        <f>IF(I874="","",E874*I874)</f>
        <v/>
      </c>
      <c r="K874">
        <f>IF(D874="","",IFERROR(VLOOKUP(D874,'Ürün Eşleştirme'!$A$6:$D$505,2,FALSE),D874))</f>
        <v/>
      </c>
      <c r="L874" s="17">
        <f>IF(D874="","",IFERROR(VLOOKUP(D874,'Ürün Eşleştirme'!$A$6:$D$505,4,FALSE),1))</f>
        <v/>
      </c>
      <c r="M874" s="16">
        <f>IF(I874="","",I874/L874)</f>
        <v/>
      </c>
      <c r="N874" s="16">
        <f>IF(M874="","",IFERROR(AVERAGEIFS($M$10:$M$1009,$K$10:$K$1009,K874,$A$10:$A$1009,"&lt;"&amp;A874,$A$10:$A$1009,"&gt;="&amp;(A874-$C$6)),""))</f>
        <v/>
      </c>
      <c r="O874" s="16">
        <f>IF(M874="","",_xlfn.MINIFS($M$10:$M$1009,$K$10:$K$1009,K874,$A$10:$A$1009,"&lt;="&amp;A874,$A$10:$A$1009,"&gt;="&amp;(A874-$C$6)))</f>
        <v/>
      </c>
      <c r="P874" s="18">
        <f>IF(OR(N874="",N874=0),"",M874/N874-1)</f>
        <v/>
      </c>
      <c r="Q874">
        <f>IF(D874="","",IF(COUNTIFS($B$10:$B$1009,B874,$C$10:$C$1009,C874,$D$10:$D$1009,D874,$E$10:$E$1009,E874)&gt;1,"MÜKERRER?",IF(P874="","",IF(P874&gt;=$C$5,"İNCELE",IF(P874&lt;=-$C$5,"Düşük",""))))</f>
        <v/>
      </c>
      <c r="R874" s="16">
        <f>IF(AND(P874&lt;&gt;"",N(P874)&gt;=$C$5,COUNTIFS($B$10:B874,B874,$C$10:C874,C874,$D$10:D874,D874,$E$10:E874,E874)=1),(M874-N874)*E874*L874,0)</f>
        <v/>
      </c>
      <c r="S874" s="19">
        <f>IF(D874="",0,N(E874)*L874)</f>
        <v/>
      </c>
    </row>
    <row r="875">
      <c r="A875" s="11" t="n"/>
      <c r="B875" s="12" t="n"/>
      <c r="C875" s="12" t="n"/>
      <c r="D875" s="12" t="n"/>
      <c r="E875" s="13" t="n"/>
      <c r="F875" s="12" t="n"/>
      <c r="G875" s="14" t="n"/>
      <c r="H875" s="15" t="n"/>
      <c r="I875" s="16">
        <f>IF(G875="","",G875*(1-N(H875)))</f>
        <v/>
      </c>
      <c r="J875" s="16">
        <f>IF(I875="","",E875*I875)</f>
        <v/>
      </c>
      <c r="K875">
        <f>IF(D875="","",IFERROR(VLOOKUP(D875,'Ürün Eşleştirme'!$A$6:$D$505,2,FALSE),D875))</f>
        <v/>
      </c>
      <c r="L875" s="17">
        <f>IF(D875="","",IFERROR(VLOOKUP(D875,'Ürün Eşleştirme'!$A$6:$D$505,4,FALSE),1))</f>
        <v/>
      </c>
      <c r="M875" s="16">
        <f>IF(I875="","",I875/L875)</f>
        <v/>
      </c>
      <c r="N875" s="16">
        <f>IF(M875="","",IFERROR(AVERAGEIFS($M$10:$M$1009,$K$10:$K$1009,K875,$A$10:$A$1009,"&lt;"&amp;A875,$A$10:$A$1009,"&gt;="&amp;(A875-$C$6)),""))</f>
        <v/>
      </c>
      <c r="O875" s="16">
        <f>IF(M875="","",_xlfn.MINIFS($M$10:$M$1009,$K$10:$K$1009,K875,$A$10:$A$1009,"&lt;="&amp;A875,$A$10:$A$1009,"&gt;="&amp;(A875-$C$6)))</f>
        <v/>
      </c>
      <c r="P875" s="18">
        <f>IF(OR(N875="",N875=0),"",M875/N875-1)</f>
        <v/>
      </c>
      <c r="Q875">
        <f>IF(D875="","",IF(COUNTIFS($B$10:$B$1009,B875,$C$10:$C$1009,C875,$D$10:$D$1009,D875,$E$10:$E$1009,E875)&gt;1,"MÜKERRER?",IF(P875="","",IF(P875&gt;=$C$5,"İNCELE",IF(P875&lt;=-$C$5,"Düşük",""))))</f>
        <v/>
      </c>
      <c r="R875" s="16">
        <f>IF(AND(P875&lt;&gt;"",N(P875)&gt;=$C$5,COUNTIFS($B$10:B875,B875,$C$10:C875,C875,$D$10:D875,D875,$E$10:E875,E875)=1),(M875-N875)*E875*L875,0)</f>
        <v/>
      </c>
      <c r="S875" s="19">
        <f>IF(D875="",0,N(E875)*L875)</f>
        <v/>
      </c>
    </row>
    <row r="876">
      <c r="A876" s="11" t="n"/>
      <c r="B876" s="12" t="n"/>
      <c r="C876" s="12" t="n"/>
      <c r="D876" s="12" t="n"/>
      <c r="E876" s="13" t="n"/>
      <c r="F876" s="12" t="n"/>
      <c r="G876" s="14" t="n"/>
      <c r="H876" s="15" t="n"/>
      <c r="I876" s="16">
        <f>IF(G876="","",G876*(1-N(H876)))</f>
        <v/>
      </c>
      <c r="J876" s="16">
        <f>IF(I876="","",E876*I876)</f>
        <v/>
      </c>
      <c r="K876">
        <f>IF(D876="","",IFERROR(VLOOKUP(D876,'Ürün Eşleştirme'!$A$6:$D$505,2,FALSE),D876))</f>
        <v/>
      </c>
      <c r="L876" s="17">
        <f>IF(D876="","",IFERROR(VLOOKUP(D876,'Ürün Eşleştirme'!$A$6:$D$505,4,FALSE),1))</f>
        <v/>
      </c>
      <c r="M876" s="16">
        <f>IF(I876="","",I876/L876)</f>
        <v/>
      </c>
      <c r="N876" s="16">
        <f>IF(M876="","",IFERROR(AVERAGEIFS($M$10:$M$1009,$K$10:$K$1009,K876,$A$10:$A$1009,"&lt;"&amp;A876,$A$10:$A$1009,"&gt;="&amp;(A876-$C$6)),""))</f>
        <v/>
      </c>
      <c r="O876" s="16">
        <f>IF(M876="","",_xlfn.MINIFS($M$10:$M$1009,$K$10:$K$1009,K876,$A$10:$A$1009,"&lt;="&amp;A876,$A$10:$A$1009,"&gt;="&amp;(A876-$C$6)))</f>
        <v/>
      </c>
      <c r="P876" s="18">
        <f>IF(OR(N876="",N876=0),"",M876/N876-1)</f>
        <v/>
      </c>
      <c r="Q876">
        <f>IF(D876="","",IF(COUNTIFS($B$10:$B$1009,B876,$C$10:$C$1009,C876,$D$10:$D$1009,D876,$E$10:$E$1009,E876)&gt;1,"MÜKERRER?",IF(P876="","",IF(P876&gt;=$C$5,"İNCELE",IF(P876&lt;=-$C$5,"Düşük",""))))</f>
        <v/>
      </c>
      <c r="R876" s="16">
        <f>IF(AND(P876&lt;&gt;"",N(P876)&gt;=$C$5,COUNTIFS($B$10:B876,B876,$C$10:C876,C876,$D$10:D876,D876,$E$10:E876,E876)=1),(M876-N876)*E876*L876,0)</f>
        <v/>
      </c>
      <c r="S876" s="19">
        <f>IF(D876="",0,N(E876)*L876)</f>
        <v/>
      </c>
    </row>
    <row r="877">
      <c r="A877" s="11" t="n"/>
      <c r="B877" s="12" t="n"/>
      <c r="C877" s="12" t="n"/>
      <c r="D877" s="12" t="n"/>
      <c r="E877" s="13" t="n"/>
      <c r="F877" s="12" t="n"/>
      <c r="G877" s="14" t="n"/>
      <c r="H877" s="15" t="n"/>
      <c r="I877" s="16">
        <f>IF(G877="","",G877*(1-N(H877)))</f>
        <v/>
      </c>
      <c r="J877" s="16">
        <f>IF(I877="","",E877*I877)</f>
        <v/>
      </c>
      <c r="K877">
        <f>IF(D877="","",IFERROR(VLOOKUP(D877,'Ürün Eşleştirme'!$A$6:$D$505,2,FALSE),D877))</f>
        <v/>
      </c>
      <c r="L877" s="17">
        <f>IF(D877="","",IFERROR(VLOOKUP(D877,'Ürün Eşleştirme'!$A$6:$D$505,4,FALSE),1))</f>
        <v/>
      </c>
      <c r="M877" s="16">
        <f>IF(I877="","",I877/L877)</f>
        <v/>
      </c>
      <c r="N877" s="16">
        <f>IF(M877="","",IFERROR(AVERAGEIFS($M$10:$M$1009,$K$10:$K$1009,K877,$A$10:$A$1009,"&lt;"&amp;A877,$A$10:$A$1009,"&gt;="&amp;(A877-$C$6)),""))</f>
        <v/>
      </c>
      <c r="O877" s="16">
        <f>IF(M877="","",_xlfn.MINIFS($M$10:$M$1009,$K$10:$K$1009,K877,$A$10:$A$1009,"&lt;="&amp;A877,$A$10:$A$1009,"&gt;="&amp;(A877-$C$6)))</f>
        <v/>
      </c>
      <c r="P877" s="18">
        <f>IF(OR(N877="",N877=0),"",M877/N877-1)</f>
        <v/>
      </c>
      <c r="Q877">
        <f>IF(D877="","",IF(COUNTIFS($B$10:$B$1009,B877,$C$10:$C$1009,C877,$D$10:$D$1009,D877,$E$10:$E$1009,E877)&gt;1,"MÜKERRER?",IF(P877="","",IF(P877&gt;=$C$5,"İNCELE",IF(P877&lt;=-$C$5,"Düşük",""))))</f>
        <v/>
      </c>
      <c r="R877" s="16">
        <f>IF(AND(P877&lt;&gt;"",N(P877)&gt;=$C$5,COUNTIFS($B$10:B877,B877,$C$10:C877,C877,$D$10:D877,D877,$E$10:E877,E877)=1),(M877-N877)*E877*L877,0)</f>
        <v/>
      </c>
      <c r="S877" s="19">
        <f>IF(D877="",0,N(E877)*L877)</f>
        <v/>
      </c>
    </row>
    <row r="878">
      <c r="A878" s="11" t="n"/>
      <c r="B878" s="12" t="n"/>
      <c r="C878" s="12" t="n"/>
      <c r="D878" s="12" t="n"/>
      <c r="E878" s="13" t="n"/>
      <c r="F878" s="12" t="n"/>
      <c r="G878" s="14" t="n"/>
      <c r="H878" s="15" t="n"/>
      <c r="I878" s="16">
        <f>IF(G878="","",G878*(1-N(H878)))</f>
        <v/>
      </c>
      <c r="J878" s="16">
        <f>IF(I878="","",E878*I878)</f>
        <v/>
      </c>
      <c r="K878">
        <f>IF(D878="","",IFERROR(VLOOKUP(D878,'Ürün Eşleştirme'!$A$6:$D$505,2,FALSE),D878))</f>
        <v/>
      </c>
      <c r="L878" s="17">
        <f>IF(D878="","",IFERROR(VLOOKUP(D878,'Ürün Eşleştirme'!$A$6:$D$505,4,FALSE),1))</f>
        <v/>
      </c>
      <c r="M878" s="16">
        <f>IF(I878="","",I878/L878)</f>
        <v/>
      </c>
      <c r="N878" s="16">
        <f>IF(M878="","",IFERROR(AVERAGEIFS($M$10:$M$1009,$K$10:$K$1009,K878,$A$10:$A$1009,"&lt;"&amp;A878,$A$10:$A$1009,"&gt;="&amp;(A878-$C$6)),""))</f>
        <v/>
      </c>
      <c r="O878" s="16">
        <f>IF(M878="","",_xlfn.MINIFS($M$10:$M$1009,$K$10:$K$1009,K878,$A$10:$A$1009,"&lt;="&amp;A878,$A$10:$A$1009,"&gt;="&amp;(A878-$C$6)))</f>
        <v/>
      </c>
      <c r="P878" s="18">
        <f>IF(OR(N878="",N878=0),"",M878/N878-1)</f>
        <v/>
      </c>
      <c r="Q878">
        <f>IF(D878="","",IF(COUNTIFS($B$10:$B$1009,B878,$C$10:$C$1009,C878,$D$10:$D$1009,D878,$E$10:$E$1009,E878)&gt;1,"MÜKERRER?",IF(P878="","",IF(P878&gt;=$C$5,"İNCELE",IF(P878&lt;=-$C$5,"Düşük",""))))</f>
        <v/>
      </c>
      <c r="R878" s="16">
        <f>IF(AND(P878&lt;&gt;"",N(P878)&gt;=$C$5,COUNTIFS($B$10:B878,B878,$C$10:C878,C878,$D$10:D878,D878,$E$10:E878,E878)=1),(M878-N878)*E878*L878,0)</f>
        <v/>
      </c>
      <c r="S878" s="19">
        <f>IF(D878="",0,N(E878)*L878)</f>
        <v/>
      </c>
    </row>
    <row r="879">
      <c r="A879" s="11" t="n"/>
      <c r="B879" s="12" t="n"/>
      <c r="C879" s="12" t="n"/>
      <c r="D879" s="12" t="n"/>
      <c r="E879" s="13" t="n"/>
      <c r="F879" s="12" t="n"/>
      <c r="G879" s="14" t="n"/>
      <c r="H879" s="15" t="n"/>
      <c r="I879" s="16">
        <f>IF(G879="","",G879*(1-N(H879)))</f>
        <v/>
      </c>
      <c r="J879" s="16">
        <f>IF(I879="","",E879*I879)</f>
        <v/>
      </c>
      <c r="K879">
        <f>IF(D879="","",IFERROR(VLOOKUP(D879,'Ürün Eşleştirme'!$A$6:$D$505,2,FALSE),D879))</f>
        <v/>
      </c>
      <c r="L879" s="17">
        <f>IF(D879="","",IFERROR(VLOOKUP(D879,'Ürün Eşleştirme'!$A$6:$D$505,4,FALSE),1))</f>
        <v/>
      </c>
      <c r="M879" s="16">
        <f>IF(I879="","",I879/L879)</f>
        <v/>
      </c>
      <c r="N879" s="16">
        <f>IF(M879="","",IFERROR(AVERAGEIFS($M$10:$M$1009,$K$10:$K$1009,K879,$A$10:$A$1009,"&lt;"&amp;A879,$A$10:$A$1009,"&gt;="&amp;(A879-$C$6)),""))</f>
        <v/>
      </c>
      <c r="O879" s="16">
        <f>IF(M879="","",_xlfn.MINIFS($M$10:$M$1009,$K$10:$K$1009,K879,$A$10:$A$1009,"&lt;="&amp;A879,$A$10:$A$1009,"&gt;="&amp;(A879-$C$6)))</f>
        <v/>
      </c>
      <c r="P879" s="18">
        <f>IF(OR(N879="",N879=0),"",M879/N879-1)</f>
        <v/>
      </c>
      <c r="Q879">
        <f>IF(D879="","",IF(COUNTIFS($B$10:$B$1009,B879,$C$10:$C$1009,C879,$D$10:$D$1009,D879,$E$10:$E$1009,E879)&gt;1,"MÜKERRER?",IF(P879="","",IF(P879&gt;=$C$5,"İNCELE",IF(P879&lt;=-$C$5,"Düşük",""))))</f>
        <v/>
      </c>
      <c r="R879" s="16">
        <f>IF(AND(P879&lt;&gt;"",N(P879)&gt;=$C$5,COUNTIFS($B$10:B879,B879,$C$10:C879,C879,$D$10:D879,D879,$E$10:E879,E879)=1),(M879-N879)*E879*L879,0)</f>
        <v/>
      </c>
      <c r="S879" s="19">
        <f>IF(D879="",0,N(E879)*L879)</f>
        <v/>
      </c>
    </row>
    <row r="880">
      <c r="A880" s="11" t="n"/>
      <c r="B880" s="12" t="n"/>
      <c r="C880" s="12" t="n"/>
      <c r="D880" s="12" t="n"/>
      <c r="E880" s="13" t="n"/>
      <c r="F880" s="12" t="n"/>
      <c r="G880" s="14" t="n"/>
      <c r="H880" s="15" t="n"/>
      <c r="I880" s="16">
        <f>IF(G880="","",G880*(1-N(H880)))</f>
        <v/>
      </c>
      <c r="J880" s="16">
        <f>IF(I880="","",E880*I880)</f>
        <v/>
      </c>
      <c r="K880">
        <f>IF(D880="","",IFERROR(VLOOKUP(D880,'Ürün Eşleştirme'!$A$6:$D$505,2,FALSE),D880))</f>
        <v/>
      </c>
      <c r="L880" s="17">
        <f>IF(D880="","",IFERROR(VLOOKUP(D880,'Ürün Eşleştirme'!$A$6:$D$505,4,FALSE),1))</f>
        <v/>
      </c>
      <c r="M880" s="16">
        <f>IF(I880="","",I880/L880)</f>
        <v/>
      </c>
      <c r="N880" s="16">
        <f>IF(M880="","",IFERROR(AVERAGEIFS($M$10:$M$1009,$K$10:$K$1009,K880,$A$10:$A$1009,"&lt;"&amp;A880,$A$10:$A$1009,"&gt;="&amp;(A880-$C$6)),""))</f>
        <v/>
      </c>
      <c r="O880" s="16">
        <f>IF(M880="","",_xlfn.MINIFS($M$10:$M$1009,$K$10:$K$1009,K880,$A$10:$A$1009,"&lt;="&amp;A880,$A$10:$A$1009,"&gt;="&amp;(A880-$C$6)))</f>
        <v/>
      </c>
      <c r="P880" s="18">
        <f>IF(OR(N880="",N880=0),"",M880/N880-1)</f>
        <v/>
      </c>
      <c r="Q880">
        <f>IF(D880="","",IF(COUNTIFS($B$10:$B$1009,B880,$C$10:$C$1009,C880,$D$10:$D$1009,D880,$E$10:$E$1009,E880)&gt;1,"MÜKERRER?",IF(P880="","",IF(P880&gt;=$C$5,"İNCELE",IF(P880&lt;=-$C$5,"Düşük",""))))</f>
        <v/>
      </c>
      <c r="R880" s="16">
        <f>IF(AND(P880&lt;&gt;"",N(P880)&gt;=$C$5,COUNTIFS($B$10:B880,B880,$C$10:C880,C880,$D$10:D880,D880,$E$10:E880,E880)=1),(M880-N880)*E880*L880,0)</f>
        <v/>
      </c>
      <c r="S880" s="19">
        <f>IF(D880="",0,N(E880)*L880)</f>
        <v/>
      </c>
    </row>
    <row r="881">
      <c r="A881" s="11" t="n"/>
      <c r="B881" s="12" t="n"/>
      <c r="C881" s="12" t="n"/>
      <c r="D881" s="12" t="n"/>
      <c r="E881" s="13" t="n"/>
      <c r="F881" s="12" t="n"/>
      <c r="G881" s="14" t="n"/>
      <c r="H881" s="15" t="n"/>
      <c r="I881" s="16">
        <f>IF(G881="","",G881*(1-N(H881)))</f>
        <v/>
      </c>
      <c r="J881" s="16">
        <f>IF(I881="","",E881*I881)</f>
        <v/>
      </c>
      <c r="K881">
        <f>IF(D881="","",IFERROR(VLOOKUP(D881,'Ürün Eşleştirme'!$A$6:$D$505,2,FALSE),D881))</f>
        <v/>
      </c>
      <c r="L881" s="17">
        <f>IF(D881="","",IFERROR(VLOOKUP(D881,'Ürün Eşleştirme'!$A$6:$D$505,4,FALSE),1))</f>
        <v/>
      </c>
      <c r="M881" s="16">
        <f>IF(I881="","",I881/L881)</f>
        <v/>
      </c>
      <c r="N881" s="16">
        <f>IF(M881="","",IFERROR(AVERAGEIFS($M$10:$M$1009,$K$10:$K$1009,K881,$A$10:$A$1009,"&lt;"&amp;A881,$A$10:$A$1009,"&gt;="&amp;(A881-$C$6)),""))</f>
        <v/>
      </c>
      <c r="O881" s="16">
        <f>IF(M881="","",_xlfn.MINIFS($M$10:$M$1009,$K$10:$K$1009,K881,$A$10:$A$1009,"&lt;="&amp;A881,$A$10:$A$1009,"&gt;="&amp;(A881-$C$6)))</f>
        <v/>
      </c>
      <c r="P881" s="18">
        <f>IF(OR(N881="",N881=0),"",M881/N881-1)</f>
        <v/>
      </c>
      <c r="Q881">
        <f>IF(D881="","",IF(COUNTIFS($B$10:$B$1009,B881,$C$10:$C$1009,C881,$D$10:$D$1009,D881,$E$10:$E$1009,E881)&gt;1,"MÜKERRER?",IF(P881="","",IF(P881&gt;=$C$5,"İNCELE",IF(P881&lt;=-$C$5,"Düşük",""))))</f>
        <v/>
      </c>
      <c r="R881" s="16">
        <f>IF(AND(P881&lt;&gt;"",N(P881)&gt;=$C$5,COUNTIFS($B$10:B881,B881,$C$10:C881,C881,$D$10:D881,D881,$E$10:E881,E881)=1),(M881-N881)*E881*L881,0)</f>
        <v/>
      </c>
      <c r="S881" s="19">
        <f>IF(D881="",0,N(E881)*L881)</f>
        <v/>
      </c>
    </row>
    <row r="882">
      <c r="A882" s="11" t="n"/>
      <c r="B882" s="12" t="n"/>
      <c r="C882" s="12" t="n"/>
      <c r="D882" s="12" t="n"/>
      <c r="E882" s="13" t="n"/>
      <c r="F882" s="12" t="n"/>
      <c r="G882" s="14" t="n"/>
      <c r="H882" s="15" t="n"/>
      <c r="I882" s="16">
        <f>IF(G882="","",G882*(1-N(H882)))</f>
        <v/>
      </c>
      <c r="J882" s="16">
        <f>IF(I882="","",E882*I882)</f>
        <v/>
      </c>
      <c r="K882">
        <f>IF(D882="","",IFERROR(VLOOKUP(D882,'Ürün Eşleştirme'!$A$6:$D$505,2,FALSE),D882))</f>
        <v/>
      </c>
      <c r="L882" s="17">
        <f>IF(D882="","",IFERROR(VLOOKUP(D882,'Ürün Eşleştirme'!$A$6:$D$505,4,FALSE),1))</f>
        <v/>
      </c>
      <c r="M882" s="16">
        <f>IF(I882="","",I882/L882)</f>
        <v/>
      </c>
      <c r="N882" s="16">
        <f>IF(M882="","",IFERROR(AVERAGEIFS($M$10:$M$1009,$K$10:$K$1009,K882,$A$10:$A$1009,"&lt;"&amp;A882,$A$10:$A$1009,"&gt;="&amp;(A882-$C$6)),""))</f>
        <v/>
      </c>
      <c r="O882" s="16">
        <f>IF(M882="","",_xlfn.MINIFS($M$10:$M$1009,$K$10:$K$1009,K882,$A$10:$A$1009,"&lt;="&amp;A882,$A$10:$A$1009,"&gt;="&amp;(A882-$C$6)))</f>
        <v/>
      </c>
      <c r="P882" s="18">
        <f>IF(OR(N882="",N882=0),"",M882/N882-1)</f>
        <v/>
      </c>
      <c r="Q882">
        <f>IF(D882="","",IF(COUNTIFS($B$10:$B$1009,B882,$C$10:$C$1009,C882,$D$10:$D$1009,D882,$E$10:$E$1009,E882)&gt;1,"MÜKERRER?",IF(P882="","",IF(P882&gt;=$C$5,"İNCELE",IF(P882&lt;=-$C$5,"Düşük",""))))</f>
        <v/>
      </c>
      <c r="R882" s="16">
        <f>IF(AND(P882&lt;&gt;"",N(P882)&gt;=$C$5,COUNTIFS($B$10:B882,B882,$C$10:C882,C882,$D$10:D882,D882,$E$10:E882,E882)=1),(M882-N882)*E882*L882,0)</f>
        <v/>
      </c>
      <c r="S882" s="19">
        <f>IF(D882="",0,N(E882)*L882)</f>
        <v/>
      </c>
    </row>
    <row r="883">
      <c r="A883" s="11" t="n"/>
      <c r="B883" s="12" t="n"/>
      <c r="C883" s="12" t="n"/>
      <c r="D883" s="12" t="n"/>
      <c r="E883" s="13" t="n"/>
      <c r="F883" s="12" t="n"/>
      <c r="G883" s="14" t="n"/>
      <c r="H883" s="15" t="n"/>
      <c r="I883" s="16">
        <f>IF(G883="","",G883*(1-N(H883)))</f>
        <v/>
      </c>
      <c r="J883" s="16">
        <f>IF(I883="","",E883*I883)</f>
        <v/>
      </c>
      <c r="K883">
        <f>IF(D883="","",IFERROR(VLOOKUP(D883,'Ürün Eşleştirme'!$A$6:$D$505,2,FALSE),D883))</f>
        <v/>
      </c>
      <c r="L883" s="17">
        <f>IF(D883="","",IFERROR(VLOOKUP(D883,'Ürün Eşleştirme'!$A$6:$D$505,4,FALSE),1))</f>
        <v/>
      </c>
      <c r="M883" s="16">
        <f>IF(I883="","",I883/L883)</f>
        <v/>
      </c>
      <c r="N883" s="16">
        <f>IF(M883="","",IFERROR(AVERAGEIFS($M$10:$M$1009,$K$10:$K$1009,K883,$A$10:$A$1009,"&lt;"&amp;A883,$A$10:$A$1009,"&gt;="&amp;(A883-$C$6)),""))</f>
        <v/>
      </c>
      <c r="O883" s="16">
        <f>IF(M883="","",_xlfn.MINIFS($M$10:$M$1009,$K$10:$K$1009,K883,$A$10:$A$1009,"&lt;="&amp;A883,$A$10:$A$1009,"&gt;="&amp;(A883-$C$6)))</f>
        <v/>
      </c>
      <c r="P883" s="18">
        <f>IF(OR(N883="",N883=0),"",M883/N883-1)</f>
        <v/>
      </c>
      <c r="Q883">
        <f>IF(D883="","",IF(COUNTIFS($B$10:$B$1009,B883,$C$10:$C$1009,C883,$D$10:$D$1009,D883,$E$10:$E$1009,E883)&gt;1,"MÜKERRER?",IF(P883="","",IF(P883&gt;=$C$5,"İNCELE",IF(P883&lt;=-$C$5,"Düşük",""))))</f>
        <v/>
      </c>
      <c r="R883" s="16">
        <f>IF(AND(P883&lt;&gt;"",N(P883)&gt;=$C$5,COUNTIFS($B$10:B883,B883,$C$10:C883,C883,$D$10:D883,D883,$E$10:E883,E883)=1),(M883-N883)*E883*L883,0)</f>
        <v/>
      </c>
      <c r="S883" s="19">
        <f>IF(D883="",0,N(E883)*L883)</f>
        <v/>
      </c>
    </row>
    <row r="884">
      <c r="A884" s="11" t="n"/>
      <c r="B884" s="12" t="n"/>
      <c r="C884" s="12" t="n"/>
      <c r="D884" s="12" t="n"/>
      <c r="E884" s="13" t="n"/>
      <c r="F884" s="12" t="n"/>
      <c r="G884" s="14" t="n"/>
      <c r="H884" s="15" t="n"/>
      <c r="I884" s="16">
        <f>IF(G884="","",G884*(1-N(H884)))</f>
        <v/>
      </c>
      <c r="J884" s="16">
        <f>IF(I884="","",E884*I884)</f>
        <v/>
      </c>
      <c r="K884">
        <f>IF(D884="","",IFERROR(VLOOKUP(D884,'Ürün Eşleştirme'!$A$6:$D$505,2,FALSE),D884))</f>
        <v/>
      </c>
      <c r="L884" s="17">
        <f>IF(D884="","",IFERROR(VLOOKUP(D884,'Ürün Eşleştirme'!$A$6:$D$505,4,FALSE),1))</f>
        <v/>
      </c>
      <c r="M884" s="16">
        <f>IF(I884="","",I884/L884)</f>
        <v/>
      </c>
      <c r="N884" s="16">
        <f>IF(M884="","",IFERROR(AVERAGEIFS($M$10:$M$1009,$K$10:$K$1009,K884,$A$10:$A$1009,"&lt;"&amp;A884,$A$10:$A$1009,"&gt;="&amp;(A884-$C$6)),""))</f>
        <v/>
      </c>
      <c r="O884" s="16">
        <f>IF(M884="","",_xlfn.MINIFS($M$10:$M$1009,$K$10:$K$1009,K884,$A$10:$A$1009,"&lt;="&amp;A884,$A$10:$A$1009,"&gt;="&amp;(A884-$C$6)))</f>
        <v/>
      </c>
      <c r="P884" s="18">
        <f>IF(OR(N884="",N884=0),"",M884/N884-1)</f>
        <v/>
      </c>
      <c r="Q884">
        <f>IF(D884="","",IF(COUNTIFS($B$10:$B$1009,B884,$C$10:$C$1009,C884,$D$10:$D$1009,D884,$E$10:$E$1009,E884)&gt;1,"MÜKERRER?",IF(P884="","",IF(P884&gt;=$C$5,"İNCELE",IF(P884&lt;=-$C$5,"Düşük",""))))</f>
        <v/>
      </c>
      <c r="R884" s="16">
        <f>IF(AND(P884&lt;&gt;"",N(P884)&gt;=$C$5,COUNTIFS($B$10:B884,B884,$C$10:C884,C884,$D$10:D884,D884,$E$10:E884,E884)=1),(M884-N884)*E884*L884,0)</f>
        <v/>
      </c>
      <c r="S884" s="19">
        <f>IF(D884="",0,N(E884)*L884)</f>
        <v/>
      </c>
    </row>
    <row r="885">
      <c r="A885" s="11" t="n"/>
      <c r="B885" s="12" t="n"/>
      <c r="C885" s="12" t="n"/>
      <c r="D885" s="12" t="n"/>
      <c r="E885" s="13" t="n"/>
      <c r="F885" s="12" t="n"/>
      <c r="G885" s="14" t="n"/>
      <c r="H885" s="15" t="n"/>
      <c r="I885" s="16">
        <f>IF(G885="","",G885*(1-N(H885)))</f>
        <v/>
      </c>
      <c r="J885" s="16">
        <f>IF(I885="","",E885*I885)</f>
        <v/>
      </c>
      <c r="K885">
        <f>IF(D885="","",IFERROR(VLOOKUP(D885,'Ürün Eşleştirme'!$A$6:$D$505,2,FALSE),D885))</f>
        <v/>
      </c>
      <c r="L885" s="17">
        <f>IF(D885="","",IFERROR(VLOOKUP(D885,'Ürün Eşleştirme'!$A$6:$D$505,4,FALSE),1))</f>
        <v/>
      </c>
      <c r="M885" s="16">
        <f>IF(I885="","",I885/L885)</f>
        <v/>
      </c>
      <c r="N885" s="16">
        <f>IF(M885="","",IFERROR(AVERAGEIFS($M$10:$M$1009,$K$10:$K$1009,K885,$A$10:$A$1009,"&lt;"&amp;A885,$A$10:$A$1009,"&gt;="&amp;(A885-$C$6)),""))</f>
        <v/>
      </c>
      <c r="O885" s="16">
        <f>IF(M885="","",_xlfn.MINIFS($M$10:$M$1009,$K$10:$K$1009,K885,$A$10:$A$1009,"&lt;="&amp;A885,$A$10:$A$1009,"&gt;="&amp;(A885-$C$6)))</f>
        <v/>
      </c>
      <c r="P885" s="18">
        <f>IF(OR(N885="",N885=0),"",M885/N885-1)</f>
        <v/>
      </c>
      <c r="Q885">
        <f>IF(D885="","",IF(COUNTIFS($B$10:$B$1009,B885,$C$10:$C$1009,C885,$D$10:$D$1009,D885,$E$10:$E$1009,E885)&gt;1,"MÜKERRER?",IF(P885="","",IF(P885&gt;=$C$5,"İNCELE",IF(P885&lt;=-$C$5,"Düşük",""))))</f>
        <v/>
      </c>
      <c r="R885" s="16">
        <f>IF(AND(P885&lt;&gt;"",N(P885)&gt;=$C$5,COUNTIFS($B$10:B885,B885,$C$10:C885,C885,$D$10:D885,D885,$E$10:E885,E885)=1),(M885-N885)*E885*L885,0)</f>
        <v/>
      </c>
      <c r="S885" s="19">
        <f>IF(D885="",0,N(E885)*L885)</f>
        <v/>
      </c>
    </row>
    <row r="886">
      <c r="A886" s="11" t="n"/>
      <c r="B886" s="12" t="n"/>
      <c r="C886" s="12" t="n"/>
      <c r="D886" s="12" t="n"/>
      <c r="E886" s="13" t="n"/>
      <c r="F886" s="12" t="n"/>
      <c r="G886" s="14" t="n"/>
      <c r="H886" s="15" t="n"/>
      <c r="I886" s="16">
        <f>IF(G886="","",G886*(1-N(H886)))</f>
        <v/>
      </c>
      <c r="J886" s="16">
        <f>IF(I886="","",E886*I886)</f>
        <v/>
      </c>
      <c r="K886">
        <f>IF(D886="","",IFERROR(VLOOKUP(D886,'Ürün Eşleştirme'!$A$6:$D$505,2,FALSE),D886))</f>
        <v/>
      </c>
      <c r="L886" s="17">
        <f>IF(D886="","",IFERROR(VLOOKUP(D886,'Ürün Eşleştirme'!$A$6:$D$505,4,FALSE),1))</f>
        <v/>
      </c>
      <c r="M886" s="16">
        <f>IF(I886="","",I886/L886)</f>
        <v/>
      </c>
      <c r="N886" s="16">
        <f>IF(M886="","",IFERROR(AVERAGEIFS($M$10:$M$1009,$K$10:$K$1009,K886,$A$10:$A$1009,"&lt;"&amp;A886,$A$10:$A$1009,"&gt;="&amp;(A886-$C$6)),""))</f>
        <v/>
      </c>
      <c r="O886" s="16">
        <f>IF(M886="","",_xlfn.MINIFS($M$10:$M$1009,$K$10:$K$1009,K886,$A$10:$A$1009,"&lt;="&amp;A886,$A$10:$A$1009,"&gt;="&amp;(A886-$C$6)))</f>
        <v/>
      </c>
      <c r="P886" s="18">
        <f>IF(OR(N886="",N886=0),"",M886/N886-1)</f>
        <v/>
      </c>
      <c r="Q886">
        <f>IF(D886="","",IF(COUNTIFS($B$10:$B$1009,B886,$C$10:$C$1009,C886,$D$10:$D$1009,D886,$E$10:$E$1009,E886)&gt;1,"MÜKERRER?",IF(P886="","",IF(P886&gt;=$C$5,"İNCELE",IF(P886&lt;=-$C$5,"Düşük",""))))</f>
        <v/>
      </c>
      <c r="R886" s="16">
        <f>IF(AND(P886&lt;&gt;"",N(P886)&gt;=$C$5,COUNTIFS($B$10:B886,B886,$C$10:C886,C886,$D$10:D886,D886,$E$10:E886,E886)=1),(M886-N886)*E886*L886,0)</f>
        <v/>
      </c>
      <c r="S886" s="19">
        <f>IF(D886="",0,N(E886)*L886)</f>
        <v/>
      </c>
    </row>
    <row r="887">
      <c r="A887" s="11" t="n"/>
      <c r="B887" s="12" t="n"/>
      <c r="C887" s="12" t="n"/>
      <c r="D887" s="12" t="n"/>
      <c r="E887" s="13" t="n"/>
      <c r="F887" s="12" t="n"/>
      <c r="G887" s="14" t="n"/>
      <c r="H887" s="15" t="n"/>
      <c r="I887" s="16">
        <f>IF(G887="","",G887*(1-N(H887)))</f>
        <v/>
      </c>
      <c r="J887" s="16">
        <f>IF(I887="","",E887*I887)</f>
        <v/>
      </c>
      <c r="K887">
        <f>IF(D887="","",IFERROR(VLOOKUP(D887,'Ürün Eşleştirme'!$A$6:$D$505,2,FALSE),D887))</f>
        <v/>
      </c>
      <c r="L887" s="17">
        <f>IF(D887="","",IFERROR(VLOOKUP(D887,'Ürün Eşleştirme'!$A$6:$D$505,4,FALSE),1))</f>
        <v/>
      </c>
      <c r="M887" s="16">
        <f>IF(I887="","",I887/L887)</f>
        <v/>
      </c>
      <c r="N887" s="16">
        <f>IF(M887="","",IFERROR(AVERAGEIFS($M$10:$M$1009,$K$10:$K$1009,K887,$A$10:$A$1009,"&lt;"&amp;A887,$A$10:$A$1009,"&gt;="&amp;(A887-$C$6)),""))</f>
        <v/>
      </c>
      <c r="O887" s="16">
        <f>IF(M887="","",_xlfn.MINIFS($M$10:$M$1009,$K$10:$K$1009,K887,$A$10:$A$1009,"&lt;="&amp;A887,$A$10:$A$1009,"&gt;="&amp;(A887-$C$6)))</f>
        <v/>
      </c>
      <c r="P887" s="18">
        <f>IF(OR(N887="",N887=0),"",M887/N887-1)</f>
        <v/>
      </c>
      <c r="Q887">
        <f>IF(D887="","",IF(COUNTIFS($B$10:$B$1009,B887,$C$10:$C$1009,C887,$D$10:$D$1009,D887,$E$10:$E$1009,E887)&gt;1,"MÜKERRER?",IF(P887="","",IF(P887&gt;=$C$5,"İNCELE",IF(P887&lt;=-$C$5,"Düşük",""))))</f>
        <v/>
      </c>
      <c r="R887" s="16">
        <f>IF(AND(P887&lt;&gt;"",N(P887)&gt;=$C$5,COUNTIFS($B$10:B887,B887,$C$10:C887,C887,$D$10:D887,D887,$E$10:E887,E887)=1),(M887-N887)*E887*L887,0)</f>
        <v/>
      </c>
      <c r="S887" s="19">
        <f>IF(D887="",0,N(E887)*L887)</f>
        <v/>
      </c>
    </row>
    <row r="888">
      <c r="A888" s="11" t="n"/>
      <c r="B888" s="12" t="n"/>
      <c r="C888" s="12" t="n"/>
      <c r="D888" s="12" t="n"/>
      <c r="E888" s="13" t="n"/>
      <c r="F888" s="12" t="n"/>
      <c r="G888" s="14" t="n"/>
      <c r="H888" s="15" t="n"/>
      <c r="I888" s="16">
        <f>IF(G888="","",G888*(1-N(H888)))</f>
        <v/>
      </c>
      <c r="J888" s="16">
        <f>IF(I888="","",E888*I888)</f>
        <v/>
      </c>
      <c r="K888">
        <f>IF(D888="","",IFERROR(VLOOKUP(D888,'Ürün Eşleştirme'!$A$6:$D$505,2,FALSE),D888))</f>
        <v/>
      </c>
      <c r="L888" s="17">
        <f>IF(D888="","",IFERROR(VLOOKUP(D888,'Ürün Eşleştirme'!$A$6:$D$505,4,FALSE),1))</f>
        <v/>
      </c>
      <c r="M888" s="16">
        <f>IF(I888="","",I888/L888)</f>
        <v/>
      </c>
      <c r="N888" s="16">
        <f>IF(M888="","",IFERROR(AVERAGEIFS($M$10:$M$1009,$K$10:$K$1009,K888,$A$10:$A$1009,"&lt;"&amp;A888,$A$10:$A$1009,"&gt;="&amp;(A888-$C$6)),""))</f>
        <v/>
      </c>
      <c r="O888" s="16">
        <f>IF(M888="","",_xlfn.MINIFS($M$10:$M$1009,$K$10:$K$1009,K888,$A$10:$A$1009,"&lt;="&amp;A888,$A$10:$A$1009,"&gt;="&amp;(A888-$C$6)))</f>
        <v/>
      </c>
      <c r="P888" s="18">
        <f>IF(OR(N888="",N888=0),"",M888/N888-1)</f>
        <v/>
      </c>
      <c r="Q888">
        <f>IF(D888="","",IF(COUNTIFS($B$10:$B$1009,B888,$C$10:$C$1009,C888,$D$10:$D$1009,D888,$E$10:$E$1009,E888)&gt;1,"MÜKERRER?",IF(P888="","",IF(P888&gt;=$C$5,"İNCELE",IF(P888&lt;=-$C$5,"Düşük",""))))</f>
        <v/>
      </c>
      <c r="R888" s="16">
        <f>IF(AND(P888&lt;&gt;"",N(P888)&gt;=$C$5,COUNTIFS($B$10:B888,B888,$C$10:C888,C888,$D$10:D888,D888,$E$10:E888,E888)=1),(M888-N888)*E888*L888,0)</f>
        <v/>
      </c>
      <c r="S888" s="19">
        <f>IF(D888="",0,N(E888)*L888)</f>
        <v/>
      </c>
    </row>
    <row r="889">
      <c r="A889" s="11" t="n"/>
      <c r="B889" s="12" t="n"/>
      <c r="C889" s="12" t="n"/>
      <c r="D889" s="12" t="n"/>
      <c r="E889" s="13" t="n"/>
      <c r="F889" s="12" t="n"/>
      <c r="G889" s="14" t="n"/>
      <c r="H889" s="15" t="n"/>
      <c r="I889" s="16">
        <f>IF(G889="","",G889*(1-N(H889)))</f>
        <v/>
      </c>
      <c r="J889" s="16">
        <f>IF(I889="","",E889*I889)</f>
        <v/>
      </c>
      <c r="K889">
        <f>IF(D889="","",IFERROR(VLOOKUP(D889,'Ürün Eşleştirme'!$A$6:$D$505,2,FALSE),D889))</f>
        <v/>
      </c>
      <c r="L889" s="17">
        <f>IF(D889="","",IFERROR(VLOOKUP(D889,'Ürün Eşleştirme'!$A$6:$D$505,4,FALSE),1))</f>
        <v/>
      </c>
      <c r="M889" s="16">
        <f>IF(I889="","",I889/L889)</f>
        <v/>
      </c>
      <c r="N889" s="16">
        <f>IF(M889="","",IFERROR(AVERAGEIFS($M$10:$M$1009,$K$10:$K$1009,K889,$A$10:$A$1009,"&lt;"&amp;A889,$A$10:$A$1009,"&gt;="&amp;(A889-$C$6)),""))</f>
        <v/>
      </c>
      <c r="O889" s="16">
        <f>IF(M889="","",_xlfn.MINIFS($M$10:$M$1009,$K$10:$K$1009,K889,$A$10:$A$1009,"&lt;="&amp;A889,$A$10:$A$1009,"&gt;="&amp;(A889-$C$6)))</f>
        <v/>
      </c>
      <c r="P889" s="18">
        <f>IF(OR(N889="",N889=0),"",M889/N889-1)</f>
        <v/>
      </c>
      <c r="Q889">
        <f>IF(D889="","",IF(COUNTIFS($B$10:$B$1009,B889,$C$10:$C$1009,C889,$D$10:$D$1009,D889,$E$10:$E$1009,E889)&gt;1,"MÜKERRER?",IF(P889="","",IF(P889&gt;=$C$5,"İNCELE",IF(P889&lt;=-$C$5,"Düşük",""))))</f>
        <v/>
      </c>
      <c r="R889" s="16">
        <f>IF(AND(P889&lt;&gt;"",N(P889)&gt;=$C$5,COUNTIFS($B$10:B889,B889,$C$10:C889,C889,$D$10:D889,D889,$E$10:E889,E889)=1),(M889-N889)*E889*L889,0)</f>
        <v/>
      </c>
      <c r="S889" s="19">
        <f>IF(D889="",0,N(E889)*L889)</f>
        <v/>
      </c>
    </row>
    <row r="890">
      <c r="A890" s="11" t="n"/>
      <c r="B890" s="12" t="n"/>
      <c r="C890" s="12" t="n"/>
      <c r="D890" s="12" t="n"/>
      <c r="E890" s="13" t="n"/>
      <c r="F890" s="12" t="n"/>
      <c r="G890" s="14" t="n"/>
      <c r="H890" s="15" t="n"/>
      <c r="I890" s="16">
        <f>IF(G890="","",G890*(1-N(H890)))</f>
        <v/>
      </c>
      <c r="J890" s="16">
        <f>IF(I890="","",E890*I890)</f>
        <v/>
      </c>
      <c r="K890">
        <f>IF(D890="","",IFERROR(VLOOKUP(D890,'Ürün Eşleştirme'!$A$6:$D$505,2,FALSE),D890))</f>
        <v/>
      </c>
      <c r="L890" s="17">
        <f>IF(D890="","",IFERROR(VLOOKUP(D890,'Ürün Eşleştirme'!$A$6:$D$505,4,FALSE),1))</f>
        <v/>
      </c>
      <c r="M890" s="16">
        <f>IF(I890="","",I890/L890)</f>
        <v/>
      </c>
      <c r="N890" s="16">
        <f>IF(M890="","",IFERROR(AVERAGEIFS($M$10:$M$1009,$K$10:$K$1009,K890,$A$10:$A$1009,"&lt;"&amp;A890,$A$10:$A$1009,"&gt;="&amp;(A890-$C$6)),""))</f>
        <v/>
      </c>
      <c r="O890" s="16">
        <f>IF(M890="","",_xlfn.MINIFS($M$10:$M$1009,$K$10:$K$1009,K890,$A$10:$A$1009,"&lt;="&amp;A890,$A$10:$A$1009,"&gt;="&amp;(A890-$C$6)))</f>
        <v/>
      </c>
      <c r="P890" s="18">
        <f>IF(OR(N890="",N890=0),"",M890/N890-1)</f>
        <v/>
      </c>
      <c r="Q890">
        <f>IF(D890="","",IF(COUNTIFS($B$10:$B$1009,B890,$C$10:$C$1009,C890,$D$10:$D$1009,D890,$E$10:$E$1009,E890)&gt;1,"MÜKERRER?",IF(P890="","",IF(P890&gt;=$C$5,"İNCELE",IF(P890&lt;=-$C$5,"Düşük",""))))</f>
        <v/>
      </c>
      <c r="R890" s="16">
        <f>IF(AND(P890&lt;&gt;"",N(P890)&gt;=$C$5,COUNTIFS($B$10:B890,B890,$C$10:C890,C890,$D$10:D890,D890,$E$10:E890,E890)=1),(M890-N890)*E890*L890,0)</f>
        <v/>
      </c>
      <c r="S890" s="19">
        <f>IF(D890="",0,N(E890)*L890)</f>
        <v/>
      </c>
    </row>
    <row r="891">
      <c r="A891" s="11" t="n"/>
      <c r="B891" s="12" t="n"/>
      <c r="C891" s="12" t="n"/>
      <c r="D891" s="12" t="n"/>
      <c r="E891" s="13" t="n"/>
      <c r="F891" s="12" t="n"/>
      <c r="G891" s="14" t="n"/>
      <c r="H891" s="15" t="n"/>
      <c r="I891" s="16">
        <f>IF(G891="","",G891*(1-N(H891)))</f>
        <v/>
      </c>
      <c r="J891" s="16">
        <f>IF(I891="","",E891*I891)</f>
        <v/>
      </c>
      <c r="K891">
        <f>IF(D891="","",IFERROR(VLOOKUP(D891,'Ürün Eşleştirme'!$A$6:$D$505,2,FALSE),D891))</f>
        <v/>
      </c>
      <c r="L891" s="17">
        <f>IF(D891="","",IFERROR(VLOOKUP(D891,'Ürün Eşleştirme'!$A$6:$D$505,4,FALSE),1))</f>
        <v/>
      </c>
      <c r="M891" s="16">
        <f>IF(I891="","",I891/L891)</f>
        <v/>
      </c>
      <c r="N891" s="16">
        <f>IF(M891="","",IFERROR(AVERAGEIFS($M$10:$M$1009,$K$10:$K$1009,K891,$A$10:$A$1009,"&lt;"&amp;A891,$A$10:$A$1009,"&gt;="&amp;(A891-$C$6)),""))</f>
        <v/>
      </c>
      <c r="O891" s="16">
        <f>IF(M891="","",_xlfn.MINIFS($M$10:$M$1009,$K$10:$K$1009,K891,$A$10:$A$1009,"&lt;="&amp;A891,$A$10:$A$1009,"&gt;="&amp;(A891-$C$6)))</f>
        <v/>
      </c>
      <c r="P891" s="18">
        <f>IF(OR(N891="",N891=0),"",M891/N891-1)</f>
        <v/>
      </c>
      <c r="Q891">
        <f>IF(D891="","",IF(COUNTIFS($B$10:$B$1009,B891,$C$10:$C$1009,C891,$D$10:$D$1009,D891,$E$10:$E$1009,E891)&gt;1,"MÜKERRER?",IF(P891="","",IF(P891&gt;=$C$5,"İNCELE",IF(P891&lt;=-$C$5,"Düşük",""))))</f>
        <v/>
      </c>
      <c r="R891" s="16">
        <f>IF(AND(P891&lt;&gt;"",N(P891)&gt;=$C$5,COUNTIFS($B$10:B891,B891,$C$10:C891,C891,$D$10:D891,D891,$E$10:E891,E891)=1),(M891-N891)*E891*L891,0)</f>
        <v/>
      </c>
      <c r="S891" s="19">
        <f>IF(D891="",0,N(E891)*L891)</f>
        <v/>
      </c>
    </row>
    <row r="892">
      <c r="A892" s="11" t="n"/>
      <c r="B892" s="12" t="n"/>
      <c r="C892" s="12" t="n"/>
      <c r="D892" s="12" t="n"/>
      <c r="E892" s="13" t="n"/>
      <c r="F892" s="12" t="n"/>
      <c r="G892" s="14" t="n"/>
      <c r="H892" s="15" t="n"/>
      <c r="I892" s="16">
        <f>IF(G892="","",G892*(1-N(H892)))</f>
        <v/>
      </c>
      <c r="J892" s="16">
        <f>IF(I892="","",E892*I892)</f>
        <v/>
      </c>
      <c r="K892">
        <f>IF(D892="","",IFERROR(VLOOKUP(D892,'Ürün Eşleştirme'!$A$6:$D$505,2,FALSE),D892))</f>
        <v/>
      </c>
      <c r="L892" s="17">
        <f>IF(D892="","",IFERROR(VLOOKUP(D892,'Ürün Eşleştirme'!$A$6:$D$505,4,FALSE),1))</f>
        <v/>
      </c>
      <c r="M892" s="16">
        <f>IF(I892="","",I892/L892)</f>
        <v/>
      </c>
      <c r="N892" s="16">
        <f>IF(M892="","",IFERROR(AVERAGEIFS($M$10:$M$1009,$K$10:$K$1009,K892,$A$10:$A$1009,"&lt;"&amp;A892,$A$10:$A$1009,"&gt;="&amp;(A892-$C$6)),""))</f>
        <v/>
      </c>
      <c r="O892" s="16">
        <f>IF(M892="","",_xlfn.MINIFS($M$10:$M$1009,$K$10:$K$1009,K892,$A$10:$A$1009,"&lt;="&amp;A892,$A$10:$A$1009,"&gt;="&amp;(A892-$C$6)))</f>
        <v/>
      </c>
      <c r="P892" s="18">
        <f>IF(OR(N892="",N892=0),"",M892/N892-1)</f>
        <v/>
      </c>
      <c r="Q892">
        <f>IF(D892="","",IF(COUNTIFS($B$10:$B$1009,B892,$C$10:$C$1009,C892,$D$10:$D$1009,D892,$E$10:$E$1009,E892)&gt;1,"MÜKERRER?",IF(P892="","",IF(P892&gt;=$C$5,"İNCELE",IF(P892&lt;=-$C$5,"Düşük",""))))</f>
        <v/>
      </c>
      <c r="R892" s="16">
        <f>IF(AND(P892&lt;&gt;"",N(P892)&gt;=$C$5,COUNTIFS($B$10:B892,B892,$C$10:C892,C892,$D$10:D892,D892,$E$10:E892,E892)=1),(M892-N892)*E892*L892,0)</f>
        <v/>
      </c>
      <c r="S892" s="19">
        <f>IF(D892="",0,N(E892)*L892)</f>
        <v/>
      </c>
    </row>
    <row r="893">
      <c r="A893" s="11" t="n"/>
      <c r="B893" s="12" t="n"/>
      <c r="C893" s="12" t="n"/>
      <c r="D893" s="12" t="n"/>
      <c r="E893" s="13" t="n"/>
      <c r="F893" s="12" t="n"/>
      <c r="G893" s="14" t="n"/>
      <c r="H893" s="15" t="n"/>
      <c r="I893" s="16">
        <f>IF(G893="","",G893*(1-N(H893)))</f>
        <v/>
      </c>
      <c r="J893" s="16">
        <f>IF(I893="","",E893*I893)</f>
        <v/>
      </c>
      <c r="K893">
        <f>IF(D893="","",IFERROR(VLOOKUP(D893,'Ürün Eşleştirme'!$A$6:$D$505,2,FALSE),D893))</f>
        <v/>
      </c>
      <c r="L893" s="17">
        <f>IF(D893="","",IFERROR(VLOOKUP(D893,'Ürün Eşleştirme'!$A$6:$D$505,4,FALSE),1))</f>
        <v/>
      </c>
      <c r="M893" s="16">
        <f>IF(I893="","",I893/L893)</f>
        <v/>
      </c>
      <c r="N893" s="16">
        <f>IF(M893="","",IFERROR(AVERAGEIFS($M$10:$M$1009,$K$10:$K$1009,K893,$A$10:$A$1009,"&lt;"&amp;A893,$A$10:$A$1009,"&gt;="&amp;(A893-$C$6)),""))</f>
        <v/>
      </c>
      <c r="O893" s="16">
        <f>IF(M893="","",_xlfn.MINIFS($M$10:$M$1009,$K$10:$K$1009,K893,$A$10:$A$1009,"&lt;="&amp;A893,$A$10:$A$1009,"&gt;="&amp;(A893-$C$6)))</f>
        <v/>
      </c>
      <c r="P893" s="18">
        <f>IF(OR(N893="",N893=0),"",M893/N893-1)</f>
        <v/>
      </c>
      <c r="Q893">
        <f>IF(D893="","",IF(COUNTIFS($B$10:$B$1009,B893,$C$10:$C$1009,C893,$D$10:$D$1009,D893,$E$10:$E$1009,E893)&gt;1,"MÜKERRER?",IF(P893="","",IF(P893&gt;=$C$5,"İNCELE",IF(P893&lt;=-$C$5,"Düşük",""))))</f>
        <v/>
      </c>
      <c r="R893" s="16">
        <f>IF(AND(P893&lt;&gt;"",N(P893)&gt;=$C$5,COUNTIFS($B$10:B893,B893,$C$10:C893,C893,$D$10:D893,D893,$E$10:E893,E893)=1),(M893-N893)*E893*L893,0)</f>
        <v/>
      </c>
      <c r="S893" s="19">
        <f>IF(D893="",0,N(E893)*L893)</f>
        <v/>
      </c>
    </row>
    <row r="894">
      <c r="A894" s="11" t="n"/>
      <c r="B894" s="12" t="n"/>
      <c r="C894" s="12" t="n"/>
      <c r="D894" s="12" t="n"/>
      <c r="E894" s="13" t="n"/>
      <c r="F894" s="12" t="n"/>
      <c r="G894" s="14" t="n"/>
      <c r="H894" s="15" t="n"/>
      <c r="I894" s="16">
        <f>IF(G894="","",G894*(1-N(H894)))</f>
        <v/>
      </c>
      <c r="J894" s="16">
        <f>IF(I894="","",E894*I894)</f>
        <v/>
      </c>
      <c r="K894">
        <f>IF(D894="","",IFERROR(VLOOKUP(D894,'Ürün Eşleştirme'!$A$6:$D$505,2,FALSE),D894))</f>
        <v/>
      </c>
      <c r="L894" s="17">
        <f>IF(D894="","",IFERROR(VLOOKUP(D894,'Ürün Eşleştirme'!$A$6:$D$505,4,FALSE),1))</f>
        <v/>
      </c>
      <c r="M894" s="16">
        <f>IF(I894="","",I894/L894)</f>
        <v/>
      </c>
      <c r="N894" s="16">
        <f>IF(M894="","",IFERROR(AVERAGEIFS($M$10:$M$1009,$K$10:$K$1009,K894,$A$10:$A$1009,"&lt;"&amp;A894,$A$10:$A$1009,"&gt;="&amp;(A894-$C$6)),""))</f>
        <v/>
      </c>
      <c r="O894" s="16">
        <f>IF(M894="","",_xlfn.MINIFS($M$10:$M$1009,$K$10:$K$1009,K894,$A$10:$A$1009,"&lt;="&amp;A894,$A$10:$A$1009,"&gt;="&amp;(A894-$C$6)))</f>
        <v/>
      </c>
      <c r="P894" s="18">
        <f>IF(OR(N894="",N894=0),"",M894/N894-1)</f>
        <v/>
      </c>
      <c r="Q894">
        <f>IF(D894="","",IF(COUNTIFS($B$10:$B$1009,B894,$C$10:$C$1009,C894,$D$10:$D$1009,D894,$E$10:$E$1009,E894)&gt;1,"MÜKERRER?",IF(P894="","",IF(P894&gt;=$C$5,"İNCELE",IF(P894&lt;=-$C$5,"Düşük",""))))</f>
        <v/>
      </c>
      <c r="R894" s="16">
        <f>IF(AND(P894&lt;&gt;"",N(P894)&gt;=$C$5,COUNTIFS($B$10:B894,B894,$C$10:C894,C894,$D$10:D894,D894,$E$10:E894,E894)=1),(M894-N894)*E894*L894,0)</f>
        <v/>
      </c>
      <c r="S894" s="19">
        <f>IF(D894="",0,N(E894)*L894)</f>
        <v/>
      </c>
    </row>
    <row r="895">
      <c r="A895" s="11" t="n"/>
      <c r="B895" s="12" t="n"/>
      <c r="C895" s="12" t="n"/>
      <c r="D895" s="12" t="n"/>
      <c r="E895" s="13" t="n"/>
      <c r="F895" s="12" t="n"/>
      <c r="G895" s="14" t="n"/>
      <c r="H895" s="15" t="n"/>
      <c r="I895" s="16">
        <f>IF(G895="","",G895*(1-N(H895)))</f>
        <v/>
      </c>
      <c r="J895" s="16">
        <f>IF(I895="","",E895*I895)</f>
        <v/>
      </c>
      <c r="K895">
        <f>IF(D895="","",IFERROR(VLOOKUP(D895,'Ürün Eşleştirme'!$A$6:$D$505,2,FALSE),D895))</f>
        <v/>
      </c>
      <c r="L895" s="17">
        <f>IF(D895="","",IFERROR(VLOOKUP(D895,'Ürün Eşleştirme'!$A$6:$D$505,4,FALSE),1))</f>
        <v/>
      </c>
      <c r="M895" s="16">
        <f>IF(I895="","",I895/L895)</f>
        <v/>
      </c>
      <c r="N895" s="16">
        <f>IF(M895="","",IFERROR(AVERAGEIFS($M$10:$M$1009,$K$10:$K$1009,K895,$A$10:$A$1009,"&lt;"&amp;A895,$A$10:$A$1009,"&gt;="&amp;(A895-$C$6)),""))</f>
        <v/>
      </c>
      <c r="O895" s="16">
        <f>IF(M895="","",_xlfn.MINIFS($M$10:$M$1009,$K$10:$K$1009,K895,$A$10:$A$1009,"&lt;="&amp;A895,$A$10:$A$1009,"&gt;="&amp;(A895-$C$6)))</f>
        <v/>
      </c>
      <c r="P895" s="18">
        <f>IF(OR(N895="",N895=0),"",M895/N895-1)</f>
        <v/>
      </c>
      <c r="Q895">
        <f>IF(D895="","",IF(COUNTIFS($B$10:$B$1009,B895,$C$10:$C$1009,C895,$D$10:$D$1009,D895,$E$10:$E$1009,E895)&gt;1,"MÜKERRER?",IF(P895="","",IF(P895&gt;=$C$5,"İNCELE",IF(P895&lt;=-$C$5,"Düşük",""))))</f>
        <v/>
      </c>
      <c r="R895" s="16">
        <f>IF(AND(P895&lt;&gt;"",N(P895)&gt;=$C$5,COUNTIFS($B$10:B895,B895,$C$10:C895,C895,$D$10:D895,D895,$E$10:E895,E895)=1),(M895-N895)*E895*L895,0)</f>
        <v/>
      </c>
      <c r="S895" s="19">
        <f>IF(D895="",0,N(E895)*L895)</f>
        <v/>
      </c>
    </row>
    <row r="896">
      <c r="A896" s="11" t="n"/>
      <c r="B896" s="12" t="n"/>
      <c r="C896" s="12" t="n"/>
      <c r="D896" s="12" t="n"/>
      <c r="E896" s="13" t="n"/>
      <c r="F896" s="12" t="n"/>
      <c r="G896" s="14" t="n"/>
      <c r="H896" s="15" t="n"/>
      <c r="I896" s="16">
        <f>IF(G896="","",G896*(1-N(H896)))</f>
        <v/>
      </c>
      <c r="J896" s="16">
        <f>IF(I896="","",E896*I896)</f>
        <v/>
      </c>
      <c r="K896">
        <f>IF(D896="","",IFERROR(VLOOKUP(D896,'Ürün Eşleştirme'!$A$6:$D$505,2,FALSE),D896))</f>
        <v/>
      </c>
      <c r="L896" s="17">
        <f>IF(D896="","",IFERROR(VLOOKUP(D896,'Ürün Eşleştirme'!$A$6:$D$505,4,FALSE),1))</f>
        <v/>
      </c>
      <c r="M896" s="16">
        <f>IF(I896="","",I896/L896)</f>
        <v/>
      </c>
      <c r="N896" s="16">
        <f>IF(M896="","",IFERROR(AVERAGEIFS($M$10:$M$1009,$K$10:$K$1009,K896,$A$10:$A$1009,"&lt;"&amp;A896,$A$10:$A$1009,"&gt;="&amp;(A896-$C$6)),""))</f>
        <v/>
      </c>
      <c r="O896" s="16">
        <f>IF(M896="","",_xlfn.MINIFS($M$10:$M$1009,$K$10:$K$1009,K896,$A$10:$A$1009,"&lt;="&amp;A896,$A$10:$A$1009,"&gt;="&amp;(A896-$C$6)))</f>
        <v/>
      </c>
      <c r="P896" s="18">
        <f>IF(OR(N896="",N896=0),"",M896/N896-1)</f>
        <v/>
      </c>
      <c r="Q896">
        <f>IF(D896="","",IF(COUNTIFS($B$10:$B$1009,B896,$C$10:$C$1009,C896,$D$10:$D$1009,D896,$E$10:$E$1009,E896)&gt;1,"MÜKERRER?",IF(P896="","",IF(P896&gt;=$C$5,"İNCELE",IF(P896&lt;=-$C$5,"Düşük",""))))</f>
        <v/>
      </c>
      <c r="R896" s="16">
        <f>IF(AND(P896&lt;&gt;"",N(P896)&gt;=$C$5,COUNTIFS($B$10:B896,B896,$C$10:C896,C896,$D$10:D896,D896,$E$10:E896,E896)=1),(M896-N896)*E896*L896,0)</f>
        <v/>
      </c>
      <c r="S896" s="19">
        <f>IF(D896="",0,N(E896)*L896)</f>
        <v/>
      </c>
    </row>
    <row r="897">
      <c r="A897" s="11" t="n"/>
      <c r="B897" s="12" t="n"/>
      <c r="C897" s="12" t="n"/>
      <c r="D897" s="12" t="n"/>
      <c r="E897" s="13" t="n"/>
      <c r="F897" s="12" t="n"/>
      <c r="G897" s="14" t="n"/>
      <c r="H897" s="15" t="n"/>
      <c r="I897" s="16">
        <f>IF(G897="","",G897*(1-N(H897)))</f>
        <v/>
      </c>
      <c r="J897" s="16">
        <f>IF(I897="","",E897*I897)</f>
        <v/>
      </c>
      <c r="K897">
        <f>IF(D897="","",IFERROR(VLOOKUP(D897,'Ürün Eşleştirme'!$A$6:$D$505,2,FALSE),D897))</f>
        <v/>
      </c>
      <c r="L897" s="17">
        <f>IF(D897="","",IFERROR(VLOOKUP(D897,'Ürün Eşleştirme'!$A$6:$D$505,4,FALSE),1))</f>
        <v/>
      </c>
      <c r="M897" s="16">
        <f>IF(I897="","",I897/L897)</f>
        <v/>
      </c>
      <c r="N897" s="16">
        <f>IF(M897="","",IFERROR(AVERAGEIFS($M$10:$M$1009,$K$10:$K$1009,K897,$A$10:$A$1009,"&lt;"&amp;A897,$A$10:$A$1009,"&gt;="&amp;(A897-$C$6)),""))</f>
        <v/>
      </c>
      <c r="O897" s="16">
        <f>IF(M897="","",_xlfn.MINIFS($M$10:$M$1009,$K$10:$K$1009,K897,$A$10:$A$1009,"&lt;="&amp;A897,$A$10:$A$1009,"&gt;="&amp;(A897-$C$6)))</f>
        <v/>
      </c>
      <c r="P897" s="18">
        <f>IF(OR(N897="",N897=0),"",M897/N897-1)</f>
        <v/>
      </c>
      <c r="Q897">
        <f>IF(D897="","",IF(COUNTIFS($B$10:$B$1009,B897,$C$10:$C$1009,C897,$D$10:$D$1009,D897,$E$10:$E$1009,E897)&gt;1,"MÜKERRER?",IF(P897="","",IF(P897&gt;=$C$5,"İNCELE",IF(P897&lt;=-$C$5,"Düşük",""))))</f>
        <v/>
      </c>
      <c r="R897" s="16">
        <f>IF(AND(P897&lt;&gt;"",N(P897)&gt;=$C$5,COUNTIFS($B$10:B897,B897,$C$10:C897,C897,$D$10:D897,D897,$E$10:E897,E897)=1),(M897-N897)*E897*L897,0)</f>
        <v/>
      </c>
      <c r="S897" s="19">
        <f>IF(D897="",0,N(E897)*L897)</f>
        <v/>
      </c>
    </row>
    <row r="898">
      <c r="A898" s="11" t="n"/>
      <c r="B898" s="12" t="n"/>
      <c r="C898" s="12" t="n"/>
      <c r="D898" s="12" t="n"/>
      <c r="E898" s="13" t="n"/>
      <c r="F898" s="12" t="n"/>
      <c r="G898" s="14" t="n"/>
      <c r="H898" s="15" t="n"/>
      <c r="I898" s="16">
        <f>IF(G898="","",G898*(1-N(H898)))</f>
        <v/>
      </c>
      <c r="J898" s="16">
        <f>IF(I898="","",E898*I898)</f>
        <v/>
      </c>
      <c r="K898">
        <f>IF(D898="","",IFERROR(VLOOKUP(D898,'Ürün Eşleştirme'!$A$6:$D$505,2,FALSE),D898))</f>
        <v/>
      </c>
      <c r="L898" s="17">
        <f>IF(D898="","",IFERROR(VLOOKUP(D898,'Ürün Eşleştirme'!$A$6:$D$505,4,FALSE),1))</f>
        <v/>
      </c>
      <c r="M898" s="16">
        <f>IF(I898="","",I898/L898)</f>
        <v/>
      </c>
      <c r="N898" s="16">
        <f>IF(M898="","",IFERROR(AVERAGEIFS($M$10:$M$1009,$K$10:$K$1009,K898,$A$10:$A$1009,"&lt;"&amp;A898,$A$10:$A$1009,"&gt;="&amp;(A898-$C$6)),""))</f>
        <v/>
      </c>
      <c r="O898" s="16">
        <f>IF(M898="","",_xlfn.MINIFS($M$10:$M$1009,$K$10:$K$1009,K898,$A$10:$A$1009,"&lt;="&amp;A898,$A$10:$A$1009,"&gt;="&amp;(A898-$C$6)))</f>
        <v/>
      </c>
      <c r="P898" s="18">
        <f>IF(OR(N898="",N898=0),"",M898/N898-1)</f>
        <v/>
      </c>
      <c r="Q898">
        <f>IF(D898="","",IF(COUNTIFS($B$10:$B$1009,B898,$C$10:$C$1009,C898,$D$10:$D$1009,D898,$E$10:$E$1009,E898)&gt;1,"MÜKERRER?",IF(P898="","",IF(P898&gt;=$C$5,"İNCELE",IF(P898&lt;=-$C$5,"Düşük",""))))</f>
        <v/>
      </c>
      <c r="R898" s="16">
        <f>IF(AND(P898&lt;&gt;"",N(P898)&gt;=$C$5,COUNTIFS($B$10:B898,B898,$C$10:C898,C898,$D$10:D898,D898,$E$10:E898,E898)=1),(M898-N898)*E898*L898,0)</f>
        <v/>
      </c>
      <c r="S898" s="19">
        <f>IF(D898="",0,N(E898)*L898)</f>
        <v/>
      </c>
    </row>
    <row r="899">
      <c r="A899" s="11" t="n"/>
      <c r="B899" s="12" t="n"/>
      <c r="C899" s="12" t="n"/>
      <c r="D899" s="12" t="n"/>
      <c r="E899" s="13" t="n"/>
      <c r="F899" s="12" t="n"/>
      <c r="G899" s="14" t="n"/>
      <c r="H899" s="15" t="n"/>
      <c r="I899" s="16">
        <f>IF(G899="","",G899*(1-N(H899)))</f>
        <v/>
      </c>
      <c r="J899" s="16">
        <f>IF(I899="","",E899*I899)</f>
        <v/>
      </c>
      <c r="K899">
        <f>IF(D899="","",IFERROR(VLOOKUP(D899,'Ürün Eşleştirme'!$A$6:$D$505,2,FALSE),D899))</f>
        <v/>
      </c>
      <c r="L899" s="17">
        <f>IF(D899="","",IFERROR(VLOOKUP(D899,'Ürün Eşleştirme'!$A$6:$D$505,4,FALSE),1))</f>
        <v/>
      </c>
      <c r="M899" s="16">
        <f>IF(I899="","",I899/L899)</f>
        <v/>
      </c>
      <c r="N899" s="16">
        <f>IF(M899="","",IFERROR(AVERAGEIFS($M$10:$M$1009,$K$10:$K$1009,K899,$A$10:$A$1009,"&lt;"&amp;A899,$A$10:$A$1009,"&gt;="&amp;(A899-$C$6)),""))</f>
        <v/>
      </c>
      <c r="O899" s="16">
        <f>IF(M899="","",_xlfn.MINIFS($M$10:$M$1009,$K$10:$K$1009,K899,$A$10:$A$1009,"&lt;="&amp;A899,$A$10:$A$1009,"&gt;="&amp;(A899-$C$6)))</f>
        <v/>
      </c>
      <c r="P899" s="18">
        <f>IF(OR(N899="",N899=0),"",M899/N899-1)</f>
        <v/>
      </c>
      <c r="Q899">
        <f>IF(D899="","",IF(COUNTIFS($B$10:$B$1009,B899,$C$10:$C$1009,C899,$D$10:$D$1009,D899,$E$10:$E$1009,E899)&gt;1,"MÜKERRER?",IF(P899="","",IF(P899&gt;=$C$5,"İNCELE",IF(P899&lt;=-$C$5,"Düşük",""))))</f>
        <v/>
      </c>
      <c r="R899" s="16">
        <f>IF(AND(P899&lt;&gt;"",N(P899)&gt;=$C$5,COUNTIFS($B$10:B899,B899,$C$10:C899,C899,$D$10:D899,D899,$E$10:E899,E899)=1),(M899-N899)*E899*L899,0)</f>
        <v/>
      </c>
      <c r="S899" s="19">
        <f>IF(D899="",0,N(E899)*L899)</f>
        <v/>
      </c>
    </row>
    <row r="900">
      <c r="A900" s="11" t="n"/>
      <c r="B900" s="12" t="n"/>
      <c r="C900" s="12" t="n"/>
      <c r="D900" s="12" t="n"/>
      <c r="E900" s="13" t="n"/>
      <c r="F900" s="12" t="n"/>
      <c r="G900" s="14" t="n"/>
      <c r="H900" s="15" t="n"/>
      <c r="I900" s="16">
        <f>IF(G900="","",G900*(1-N(H900)))</f>
        <v/>
      </c>
      <c r="J900" s="16">
        <f>IF(I900="","",E900*I900)</f>
        <v/>
      </c>
      <c r="K900">
        <f>IF(D900="","",IFERROR(VLOOKUP(D900,'Ürün Eşleştirme'!$A$6:$D$505,2,FALSE),D900))</f>
        <v/>
      </c>
      <c r="L900" s="17">
        <f>IF(D900="","",IFERROR(VLOOKUP(D900,'Ürün Eşleştirme'!$A$6:$D$505,4,FALSE),1))</f>
        <v/>
      </c>
      <c r="M900" s="16">
        <f>IF(I900="","",I900/L900)</f>
        <v/>
      </c>
      <c r="N900" s="16">
        <f>IF(M900="","",IFERROR(AVERAGEIFS($M$10:$M$1009,$K$10:$K$1009,K900,$A$10:$A$1009,"&lt;"&amp;A900,$A$10:$A$1009,"&gt;="&amp;(A900-$C$6)),""))</f>
        <v/>
      </c>
      <c r="O900" s="16">
        <f>IF(M900="","",_xlfn.MINIFS($M$10:$M$1009,$K$10:$K$1009,K900,$A$10:$A$1009,"&lt;="&amp;A900,$A$10:$A$1009,"&gt;="&amp;(A900-$C$6)))</f>
        <v/>
      </c>
      <c r="P900" s="18">
        <f>IF(OR(N900="",N900=0),"",M900/N900-1)</f>
        <v/>
      </c>
      <c r="Q900">
        <f>IF(D900="","",IF(COUNTIFS($B$10:$B$1009,B900,$C$10:$C$1009,C900,$D$10:$D$1009,D900,$E$10:$E$1009,E900)&gt;1,"MÜKERRER?",IF(P900="","",IF(P900&gt;=$C$5,"İNCELE",IF(P900&lt;=-$C$5,"Düşük",""))))</f>
        <v/>
      </c>
      <c r="R900" s="16">
        <f>IF(AND(P900&lt;&gt;"",N(P900)&gt;=$C$5,COUNTIFS($B$10:B900,B900,$C$10:C900,C900,$D$10:D900,D900,$E$10:E900,E900)=1),(M900-N900)*E900*L900,0)</f>
        <v/>
      </c>
      <c r="S900" s="19">
        <f>IF(D900="",0,N(E900)*L900)</f>
        <v/>
      </c>
    </row>
    <row r="901">
      <c r="A901" s="11" t="n"/>
      <c r="B901" s="12" t="n"/>
      <c r="C901" s="12" t="n"/>
      <c r="D901" s="12" t="n"/>
      <c r="E901" s="13" t="n"/>
      <c r="F901" s="12" t="n"/>
      <c r="G901" s="14" t="n"/>
      <c r="H901" s="15" t="n"/>
      <c r="I901" s="16">
        <f>IF(G901="","",G901*(1-N(H901)))</f>
        <v/>
      </c>
      <c r="J901" s="16">
        <f>IF(I901="","",E901*I901)</f>
        <v/>
      </c>
      <c r="K901">
        <f>IF(D901="","",IFERROR(VLOOKUP(D901,'Ürün Eşleştirme'!$A$6:$D$505,2,FALSE),D901))</f>
        <v/>
      </c>
      <c r="L901" s="17">
        <f>IF(D901="","",IFERROR(VLOOKUP(D901,'Ürün Eşleştirme'!$A$6:$D$505,4,FALSE),1))</f>
        <v/>
      </c>
      <c r="M901" s="16">
        <f>IF(I901="","",I901/L901)</f>
        <v/>
      </c>
      <c r="N901" s="16">
        <f>IF(M901="","",IFERROR(AVERAGEIFS($M$10:$M$1009,$K$10:$K$1009,K901,$A$10:$A$1009,"&lt;"&amp;A901,$A$10:$A$1009,"&gt;="&amp;(A901-$C$6)),""))</f>
        <v/>
      </c>
      <c r="O901" s="16">
        <f>IF(M901="","",_xlfn.MINIFS($M$10:$M$1009,$K$10:$K$1009,K901,$A$10:$A$1009,"&lt;="&amp;A901,$A$10:$A$1009,"&gt;="&amp;(A901-$C$6)))</f>
        <v/>
      </c>
      <c r="P901" s="18">
        <f>IF(OR(N901="",N901=0),"",M901/N901-1)</f>
        <v/>
      </c>
      <c r="Q901">
        <f>IF(D901="","",IF(COUNTIFS($B$10:$B$1009,B901,$C$10:$C$1009,C901,$D$10:$D$1009,D901,$E$10:$E$1009,E901)&gt;1,"MÜKERRER?",IF(P901="","",IF(P901&gt;=$C$5,"İNCELE",IF(P901&lt;=-$C$5,"Düşük",""))))</f>
        <v/>
      </c>
      <c r="R901" s="16">
        <f>IF(AND(P901&lt;&gt;"",N(P901)&gt;=$C$5,COUNTIFS($B$10:B901,B901,$C$10:C901,C901,$D$10:D901,D901,$E$10:E901,E901)=1),(M901-N901)*E901*L901,0)</f>
        <v/>
      </c>
      <c r="S901" s="19">
        <f>IF(D901="",0,N(E901)*L901)</f>
        <v/>
      </c>
    </row>
    <row r="902">
      <c r="A902" s="11" t="n"/>
      <c r="B902" s="12" t="n"/>
      <c r="C902" s="12" t="n"/>
      <c r="D902" s="12" t="n"/>
      <c r="E902" s="13" t="n"/>
      <c r="F902" s="12" t="n"/>
      <c r="G902" s="14" t="n"/>
      <c r="H902" s="15" t="n"/>
      <c r="I902" s="16">
        <f>IF(G902="","",G902*(1-N(H902)))</f>
        <v/>
      </c>
      <c r="J902" s="16">
        <f>IF(I902="","",E902*I902)</f>
        <v/>
      </c>
      <c r="K902">
        <f>IF(D902="","",IFERROR(VLOOKUP(D902,'Ürün Eşleştirme'!$A$6:$D$505,2,FALSE),D902))</f>
        <v/>
      </c>
      <c r="L902" s="17">
        <f>IF(D902="","",IFERROR(VLOOKUP(D902,'Ürün Eşleştirme'!$A$6:$D$505,4,FALSE),1))</f>
        <v/>
      </c>
      <c r="M902" s="16">
        <f>IF(I902="","",I902/L902)</f>
        <v/>
      </c>
      <c r="N902" s="16">
        <f>IF(M902="","",IFERROR(AVERAGEIFS($M$10:$M$1009,$K$10:$K$1009,K902,$A$10:$A$1009,"&lt;"&amp;A902,$A$10:$A$1009,"&gt;="&amp;(A902-$C$6)),""))</f>
        <v/>
      </c>
      <c r="O902" s="16">
        <f>IF(M902="","",_xlfn.MINIFS($M$10:$M$1009,$K$10:$K$1009,K902,$A$10:$A$1009,"&lt;="&amp;A902,$A$10:$A$1009,"&gt;="&amp;(A902-$C$6)))</f>
        <v/>
      </c>
      <c r="P902" s="18">
        <f>IF(OR(N902="",N902=0),"",M902/N902-1)</f>
        <v/>
      </c>
      <c r="Q902">
        <f>IF(D902="","",IF(COUNTIFS($B$10:$B$1009,B902,$C$10:$C$1009,C902,$D$10:$D$1009,D902,$E$10:$E$1009,E902)&gt;1,"MÜKERRER?",IF(P902="","",IF(P902&gt;=$C$5,"İNCELE",IF(P902&lt;=-$C$5,"Düşük",""))))</f>
        <v/>
      </c>
      <c r="R902" s="16">
        <f>IF(AND(P902&lt;&gt;"",N(P902)&gt;=$C$5,COUNTIFS($B$10:B902,B902,$C$10:C902,C902,$D$10:D902,D902,$E$10:E902,E902)=1),(M902-N902)*E902*L902,0)</f>
        <v/>
      </c>
      <c r="S902" s="19">
        <f>IF(D902="",0,N(E902)*L902)</f>
        <v/>
      </c>
    </row>
    <row r="903">
      <c r="A903" s="11" t="n"/>
      <c r="B903" s="12" t="n"/>
      <c r="C903" s="12" t="n"/>
      <c r="D903" s="12" t="n"/>
      <c r="E903" s="13" t="n"/>
      <c r="F903" s="12" t="n"/>
      <c r="G903" s="14" t="n"/>
      <c r="H903" s="15" t="n"/>
      <c r="I903" s="16">
        <f>IF(G903="","",G903*(1-N(H903)))</f>
        <v/>
      </c>
      <c r="J903" s="16">
        <f>IF(I903="","",E903*I903)</f>
        <v/>
      </c>
      <c r="K903">
        <f>IF(D903="","",IFERROR(VLOOKUP(D903,'Ürün Eşleştirme'!$A$6:$D$505,2,FALSE),D903))</f>
        <v/>
      </c>
      <c r="L903" s="17">
        <f>IF(D903="","",IFERROR(VLOOKUP(D903,'Ürün Eşleştirme'!$A$6:$D$505,4,FALSE),1))</f>
        <v/>
      </c>
      <c r="M903" s="16">
        <f>IF(I903="","",I903/L903)</f>
        <v/>
      </c>
      <c r="N903" s="16">
        <f>IF(M903="","",IFERROR(AVERAGEIFS($M$10:$M$1009,$K$10:$K$1009,K903,$A$10:$A$1009,"&lt;"&amp;A903,$A$10:$A$1009,"&gt;="&amp;(A903-$C$6)),""))</f>
        <v/>
      </c>
      <c r="O903" s="16">
        <f>IF(M903="","",_xlfn.MINIFS($M$10:$M$1009,$K$10:$K$1009,K903,$A$10:$A$1009,"&lt;="&amp;A903,$A$10:$A$1009,"&gt;="&amp;(A903-$C$6)))</f>
        <v/>
      </c>
      <c r="P903" s="18">
        <f>IF(OR(N903="",N903=0),"",M903/N903-1)</f>
        <v/>
      </c>
      <c r="Q903">
        <f>IF(D903="","",IF(COUNTIFS($B$10:$B$1009,B903,$C$10:$C$1009,C903,$D$10:$D$1009,D903,$E$10:$E$1009,E903)&gt;1,"MÜKERRER?",IF(P903="","",IF(P903&gt;=$C$5,"İNCELE",IF(P903&lt;=-$C$5,"Düşük",""))))</f>
        <v/>
      </c>
      <c r="R903" s="16">
        <f>IF(AND(P903&lt;&gt;"",N(P903)&gt;=$C$5,COUNTIFS($B$10:B903,B903,$C$10:C903,C903,$D$10:D903,D903,$E$10:E903,E903)=1),(M903-N903)*E903*L903,0)</f>
        <v/>
      </c>
      <c r="S903" s="19">
        <f>IF(D903="",0,N(E903)*L903)</f>
        <v/>
      </c>
    </row>
    <row r="904">
      <c r="A904" s="11" t="n"/>
      <c r="B904" s="12" t="n"/>
      <c r="C904" s="12" t="n"/>
      <c r="D904" s="12" t="n"/>
      <c r="E904" s="13" t="n"/>
      <c r="F904" s="12" t="n"/>
      <c r="G904" s="14" t="n"/>
      <c r="H904" s="15" t="n"/>
      <c r="I904" s="16">
        <f>IF(G904="","",G904*(1-N(H904)))</f>
        <v/>
      </c>
      <c r="J904" s="16">
        <f>IF(I904="","",E904*I904)</f>
        <v/>
      </c>
      <c r="K904">
        <f>IF(D904="","",IFERROR(VLOOKUP(D904,'Ürün Eşleştirme'!$A$6:$D$505,2,FALSE),D904))</f>
        <v/>
      </c>
      <c r="L904" s="17">
        <f>IF(D904="","",IFERROR(VLOOKUP(D904,'Ürün Eşleştirme'!$A$6:$D$505,4,FALSE),1))</f>
        <v/>
      </c>
      <c r="M904" s="16">
        <f>IF(I904="","",I904/L904)</f>
        <v/>
      </c>
      <c r="N904" s="16">
        <f>IF(M904="","",IFERROR(AVERAGEIFS($M$10:$M$1009,$K$10:$K$1009,K904,$A$10:$A$1009,"&lt;"&amp;A904,$A$10:$A$1009,"&gt;="&amp;(A904-$C$6)),""))</f>
        <v/>
      </c>
      <c r="O904" s="16">
        <f>IF(M904="","",_xlfn.MINIFS($M$10:$M$1009,$K$10:$K$1009,K904,$A$10:$A$1009,"&lt;="&amp;A904,$A$10:$A$1009,"&gt;="&amp;(A904-$C$6)))</f>
        <v/>
      </c>
      <c r="P904" s="18">
        <f>IF(OR(N904="",N904=0),"",M904/N904-1)</f>
        <v/>
      </c>
      <c r="Q904">
        <f>IF(D904="","",IF(COUNTIFS($B$10:$B$1009,B904,$C$10:$C$1009,C904,$D$10:$D$1009,D904,$E$10:$E$1009,E904)&gt;1,"MÜKERRER?",IF(P904="","",IF(P904&gt;=$C$5,"İNCELE",IF(P904&lt;=-$C$5,"Düşük",""))))</f>
        <v/>
      </c>
      <c r="R904" s="16">
        <f>IF(AND(P904&lt;&gt;"",N(P904)&gt;=$C$5,COUNTIFS($B$10:B904,B904,$C$10:C904,C904,$D$10:D904,D904,$E$10:E904,E904)=1),(M904-N904)*E904*L904,0)</f>
        <v/>
      </c>
      <c r="S904" s="19">
        <f>IF(D904="",0,N(E904)*L904)</f>
        <v/>
      </c>
    </row>
    <row r="905">
      <c r="A905" s="11" t="n"/>
      <c r="B905" s="12" t="n"/>
      <c r="C905" s="12" t="n"/>
      <c r="D905" s="12" t="n"/>
      <c r="E905" s="13" t="n"/>
      <c r="F905" s="12" t="n"/>
      <c r="G905" s="14" t="n"/>
      <c r="H905" s="15" t="n"/>
      <c r="I905" s="16">
        <f>IF(G905="","",G905*(1-N(H905)))</f>
        <v/>
      </c>
      <c r="J905" s="16">
        <f>IF(I905="","",E905*I905)</f>
        <v/>
      </c>
      <c r="K905">
        <f>IF(D905="","",IFERROR(VLOOKUP(D905,'Ürün Eşleştirme'!$A$6:$D$505,2,FALSE),D905))</f>
        <v/>
      </c>
      <c r="L905" s="17">
        <f>IF(D905="","",IFERROR(VLOOKUP(D905,'Ürün Eşleştirme'!$A$6:$D$505,4,FALSE),1))</f>
        <v/>
      </c>
      <c r="M905" s="16">
        <f>IF(I905="","",I905/L905)</f>
        <v/>
      </c>
      <c r="N905" s="16">
        <f>IF(M905="","",IFERROR(AVERAGEIFS($M$10:$M$1009,$K$10:$K$1009,K905,$A$10:$A$1009,"&lt;"&amp;A905,$A$10:$A$1009,"&gt;="&amp;(A905-$C$6)),""))</f>
        <v/>
      </c>
      <c r="O905" s="16">
        <f>IF(M905="","",_xlfn.MINIFS($M$10:$M$1009,$K$10:$K$1009,K905,$A$10:$A$1009,"&lt;="&amp;A905,$A$10:$A$1009,"&gt;="&amp;(A905-$C$6)))</f>
        <v/>
      </c>
      <c r="P905" s="18">
        <f>IF(OR(N905="",N905=0),"",M905/N905-1)</f>
        <v/>
      </c>
      <c r="Q905">
        <f>IF(D905="","",IF(COUNTIFS($B$10:$B$1009,B905,$C$10:$C$1009,C905,$D$10:$D$1009,D905,$E$10:$E$1009,E905)&gt;1,"MÜKERRER?",IF(P905="","",IF(P905&gt;=$C$5,"İNCELE",IF(P905&lt;=-$C$5,"Düşük",""))))</f>
        <v/>
      </c>
      <c r="R905" s="16">
        <f>IF(AND(P905&lt;&gt;"",N(P905)&gt;=$C$5,COUNTIFS($B$10:B905,B905,$C$10:C905,C905,$D$10:D905,D905,$E$10:E905,E905)=1),(M905-N905)*E905*L905,0)</f>
        <v/>
      </c>
      <c r="S905" s="19">
        <f>IF(D905="",0,N(E905)*L905)</f>
        <v/>
      </c>
    </row>
    <row r="906">
      <c r="A906" s="11" t="n"/>
      <c r="B906" s="12" t="n"/>
      <c r="C906" s="12" t="n"/>
      <c r="D906" s="12" t="n"/>
      <c r="E906" s="13" t="n"/>
      <c r="F906" s="12" t="n"/>
      <c r="G906" s="14" t="n"/>
      <c r="H906" s="15" t="n"/>
      <c r="I906" s="16">
        <f>IF(G906="","",G906*(1-N(H906)))</f>
        <v/>
      </c>
      <c r="J906" s="16">
        <f>IF(I906="","",E906*I906)</f>
        <v/>
      </c>
      <c r="K906">
        <f>IF(D906="","",IFERROR(VLOOKUP(D906,'Ürün Eşleştirme'!$A$6:$D$505,2,FALSE),D906))</f>
        <v/>
      </c>
      <c r="L906" s="17">
        <f>IF(D906="","",IFERROR(VLOOKUP(D906,'Ürün Eşleştirme'!$A$6:$D$505,4,FALSE),1))</f>
        <v/>
      </c>
      <c r="M906" s="16">
        <f>IF(I906="","",I906/L906)</f>
        <v/>
      </c>
      <c r="N906" s="16">
        <f>IF(M906="","",IFERROR(AVERAGEIFS($M$10:$M$1009,$K$10:$K$1009,K906,$A$10:$A$1009,"&lt;"&amp;A906,$A$10:$A$1009,"&gt;="&amp;(A906-$C$6)),""))</f>
        <v/>
      </c>
      <c r="O906" s="16">
        <f>IF(M906="","",_xlfn.MINIFS($M$10:$M$1009,$K$10:$K$1009,K906,$A$10:$A$1009,"&lt;="&amp;A906,$A$10:$A$1009,"&gt;="&amp;(A906-$C$6)))</f>
        <v/>
      </c>
      <c r="P906" s="18">
        <f>IF(OR(N906="",N906=0),"",M906/N906-1)</f>
        <v/>
      </c>
      <c r="Q906">
        <f>IF(D906="","",IF(COUNTIFS($B$10:$B$1009,B906,$C$10:$C$1009,C906,$D$10:$D$1009,D906,$E$10:$E$1009,E906)&gt;1,"MÜKERRER?",IF(P906="","",IF(P906&gt;=$C$5,"İNCELE",IF(P906&lt;=-$C$5,"Düşük",""))))</f>
        <v/>
      </c>
      <c r="R906" s="16">
        <f>IF(AND(P906&lt;&gt;"",N(P906)&gt;=$C$5,COUNTIFS($B$10:B906,B906,$C$10:C906,C906,$D$10:D906,D906,$E$10:E906,E906)=1),(M906-N906)*E906*L906,0)</f>
        <v/>
      </c>
      <c r="S906" s="19">
        <f>IF(D906="",0,N(E906)*L906)</f>
        <v/>
      </c>
    </row>
    <row r="907">
      <c r="A907" s="11" t="n"/>
      <c r="B907" s="12" t="n"/>
      <c r="C907" s="12" t="n"/>
      <c r="D907" s="12" t="n"/>
      <c r="E907" s="13" t="n"/>
      <c r="F907" s="12" t="n"/>
      <c r="G907" s="14" t="n"/>
      <c r="H907" s="15" t="n"/>
      <c r="I907" s="16">
        <f>IF(G907="","",G907*(1-N(H907)))</f>
        <v/>
      </c>
      <c r="J907" s="16">
        <f>IF(I907="","",E907*I907)</f>
        <v/>
      </c>
      <c r="K907">
        <f>IF(D907="","",IFERROR(VLOOKUP(D907,'Ürün Eşleştirme'!$A$6:$D$505,2,FALSE),D907))</f>
        <v/>
      </c>
      <c r="L907" s="17">
        <f>IF(D907="","",IFERROR(VLOOKUP(D907,'Ürün Eşleştirme'!$A$6:$D$505,4,FALSE),1))</f>
        <v/>
      </c>
      <c r="M907" s="16">
        <f>IF(I907="","",I907/L907)</f>
        <v/>
      </c>
      <c r="N907" s="16">
        <f>IF(M907="","",IFERROR(AVERAGEIFS($M$10:$M$1009,$K$10:$K$1009,K907,$A$10:$A$1009,"&lt;"&amp;A907,$A$10:$A$1009,"&gt;="&amp;(A907-$C$6)),""))</f>
        <v/>
      </c>
      <c r="O907" s="16">
        <f>IF(M907="","",_xlfn.MINIFS($M$10:$M$1009,$K$10:$K$1009,K907,$A$10:$A$1009,"&lt;="&amp;A907,$A$10:$A$1009,"&gt;="&amp;(A907-$C$6)))</f>
        <v/>
      </c>
      <c r="P907" s="18">
        <f>IF(OR(N907="",N907=0),"",M907/N907-1)</f>
        <v/>
      </c>
      <c r="Q907">
        <f>IF(D907="","",IF(COUNTIFS($B$10:$B$1009,B907,$C$10:$C$1009,C907,$D$10:$D$1009,D907,$E$10:$E$1009,E907)&gt;1,"MÜKERRER?",IF(P907="","",IF(P907&gt;=$C$5,"İNCELE",IF(P907&lt;=-$C$5,"Düşük",""))))</f>
        <v/>
      </c>
      <c r="R907" s="16">
        <f>IF(AND(P907&lt;&gt;"",N(P907)&gt;=$C$5,COUNTIFS($B$10:B907,B907,$C$10:C907,C907,$D$10:D907,D907,$E$10:E907,E907)=1),(M907-N907)*E907*L907,0)</f>
        <v/>
      </c>
      <c r="S907" s="19">
        <f>IF(D907="",0,N(E907)*L907)</f>
        <v/>
      </c>
    </row>
    <row r="908">
      <c r="A908" s="11" t="n"/>
      <c r="B908" s="12" t="n"/>
      <c r="C908" s="12" t="n"/>
      <c r="D908" s="12" t="n"/>
      <c r="E908" s="13" t="n"/>
      <c r="F908" s="12" t="n"/>
      <c r="G908" s="14" t="n"/>
      <c r="H908" s="15" t="n"/>
      <c r="I908" s="16">
        <f>IF(G908="","",G908*(1-N(H908)))</f>
        <v/>
      </c>
      <c r="J908" s="16">
        <f>IF(I908="","",E908*I908)</f>
        <v/>
      </c>
      <c r="K908">
        <f>IF(D908="","",IFERROR(VLOOKUP(D908,'Ürün Eşleştirme'!$A$6:$D$505,2,FALSE),D908))</f>
        <v/>
      </c>
      <c r="L908" s="17">
        <f>IF(D908="","",IFERROR(VLOOKUP(D908,'Ürün Eşleştirme'!$A$6:$D$505,4,FALSE),1))</f>
        <v/>
      </c>
      <c r="M908" s="16">
        <f>IF(I908="","",I908/L908)</f>
        <v/>
      </c>
      <c r="N908" s="16">
        <f>IF(M908="","",IFERROR(AVERAGEIFS($M$10:$M$1009,$K$10:$K$1009,K908,$A$10:$A$1009,"&lt;"&amp;A908,$A$10:$A$1009,"&gt;="&amp;(A908-$C$6)),""))</f>
        <v/>
      </c>
      <c r="O908" s="16">
        <f>IF(M908="","",_xlfn.MINIFS($M$10:$M$1009,$K$10:$K$1009,K908,$A$10:$A$1009,"&lt;="&amp;A908,$A$10:$A$1009,"&gt;="&amp;(A908-$C$6)))</f>
        <v/>
      </c>
      <c r="P908" s="18">
        <f>IF(OR(N908="",N908=0),"",M908/N908-1)</f>
        <v/>
      </c>
      <c r="Q908">
        <f>IF(D908="","",IF(COUNTIFS($B$10:$B$1009,B908,$C$10:$C$1009,C908,$D$10:$D$1009,D908,$E$10:$E$1009,E908)&gt;1,"MÜKERRER?",IF(P908="","",IF(P908&gt;=$C$5,"İNCELE",IF(P908&lt;=-$C$5,"Düşük",""))))</f>
        <v/>
      </c>
      <c r="R908" s="16">
        <f>IF(AND(P908&lt;&gt;"",N(P908)&gt;=$C$5,COUNTIFS($B$10:B908,B908,$C$10:C908,C908,$D$10:D908,D908,$E$10:E908,E908)=1),(M908-N908)*E908*L908,0)</f>
        <v/>
      </c>
      <c r="S908" s="19">
        <f>IF(D908="",0,N(E908)*L908)</f>
        <v/>
      </c>
    </row>
    <row r="909">
      <c r="A909" s="11" t="n"/>
      <c r="B909" s="12" t="n"/>
      <c r="C909" s="12" t="n"/>
      <c r="D909" s="12" t="n"/>
      <c r="E909" s="13" t="n"/>
      <c r="F909" s="12" t="n"/>
      <c r="G909" s="14" t="n"/>
      <c r="H909" s="15" t="n"/>
      <c r="I909" s="16">
        <f>IF(G909="","",G909*(1-N(H909)))</f>
        <v/>
      </c>
      <c r="J909" s="16">
        <f>IF(I909="","",E909*I909)</f>
        <v/>
      </c>
      <c r="K909">
        <f>IF(D909="","",IFERROR(VLOOKUP(D909,'Ürün Eşleştirme'!$A$6:$D$505,2,FALSE),D909))</f>
        <v/>
      </c>
      <c r="L909" s="17">
        <f>IF(D909="","",IFERROR(VLOOKUP(D909,'Ürün Eşleştirme'!$A$6:$D$505,4,FALSE),1))</f>
        <v/>
      </c>
      <c r="M909" s="16">
        <f>IF(I909="","",I909/L909)</f>
        <v/>
      </c>
      <c r="N909" s="16">
        <f>IF(M909="","",IFERROR(AVERAGEIFS($M$10:$M$1009,$K$10:$K$1009,K909,$A$10:$A$1009,"&lt;"&amp;A909,$A$10:$A$1009,"&gt;="&amp;(A909-$C$6)),""))</f>
        <v/>
      </c>
      <c r="O909" s="16">
        <f>IF(M909="","",_xlfn.MINIFS($M$10:$M$1009,$K$10:$K$1009,K909,$A$10:$A$1009,"&lt;="&amp;A909,$A$10:$A$1009,"&gt;="&amp;(A909-$C$6)))</f>
        <v/>
      </c>
      <c r="P909" s="18">
        <f>IF(OR(N909="",N909=0),"",M909/N909-1)</f>
        <v/>
      </c>
      <c r="Q909">
        <f>IF(D909="","",IF(COUNTIFS($B$10:$B$1009,B909,$C$10:$C$1009,C909,$D$10:$D$1009,D909,$E$10:$E$1009,E909)&gt;1,"MÜKERRER?",IF(P909="","",IF(P909&gt;=$C$5,"İNCELE",IF(P909&lt;=-$C$5,"Düşük",""))))</f>
        <v/>
      </c>
      <c r="R909" s="16">
        <f>IF(AND(P909&lt;&gt;"",N(P909)&gt;=$C$5,COUNTIFS($B$10:B909,B909,$C$10:C909,C909,$D$10:D909,D909,$E$10:E909,E909)=1),(M909-N909)*E909*L909,0)</f>
        <v/>
      </c>
      <c r="S909" s="19">
        <f>IF(D909="",0,N(E909)*L909)</f>
        <v/>
      </c>
    </row>
    <row r="910">
      <c r="A910" s="11" t="n"/>
      <c r="B910" s="12" t="n"/>
      <c r="C910" s="12" t="n"/>
      <c r="D910" s="12" t="n"/>
      <c r="E910" s="13" t="n"/>
      <c r="F910" s="12" t="n"/>
      <c r="G910" s="14" t="n"/>
      <c r="H910" s="15" t="n"/>
      <c r="I910" s="16">
        <f>IF(G910="","",G910*(1-N(H910)))</f>
        <v/>
      </c>
      <c r="J910" s="16">
        <f>IF(I910="","",E910*I910)</f>
        <v/>
      </c>
      <c r="K910">
        <f>IF(D910="","",IFERROR(VLOOKUP(D910,'Ürün Eşleştirme'!$A$6:$D$505,2,FALSE),D910))</f>
        <v/>
      </c>
      <c r="L910" s="17">
        <f>IF(D910="","",IFERROR(VLOOKUP(D910,'Ürün Eşleştirme'!$A$6:$D$505,4,FALSE),1))</f>
        <v/>
      </c>
      <c r="M910" s="16">
        <f>IF(I910="","",I910/L910)</f>
        <v/>
      </c>
      <c r="N910" s="16">
        <f>IF(M910="","",IFERROR(AVERAGEIFS($M$10:$M$1009,$K$10:$K$1009,K910,$A$10:$A$1009,"&lt;"&amp;A910,$A$10:$A$1009,"&gt;="&amp;(A910-$C$6)),""))</f>
        <v/>
      </c>
      <c r="O910" s="16">
        <f>IF(M910="","",_xlfn.MINIFS($M$10:$M$1009,$K$10:$K$1009,K910,$A$10:$A$1009,"&lt;="&amp;A910,$A$10:$A$1009,"&gt;="&amp;(A910-$C$6)))</f>
        <v/>
      </c>
      <c r="P910" s="18">
        <f>IF(OR(N910="",N910=0),"",M910/N910-1)</f>
        <v/>
      </c>
      <c r="Q910">
        <f>IF(D910="","",IF(COUNTIFS($B$10:$B$1009,B910,$C$10:$C$1009,C910,$D$10:$D$1009,D910,$E$10:$E$1009,E910)&gt;1,"MÜKERRER?",IF(P910="","",IF(P910&gt;=$C$5,"İNCELE",IF(P910&lt;=-$C$5,"Düşük",""))))</f>
        <v/>
      </c>
      <c r="R910" s="16">
        <f>IF(AND(P910&lt;&gt;"",N(P910)&gt;=$C$5,COUNTIFS($B$10:B910,B910,$C$10:C910,C910,$D$10:D910,D910,$E$10:E910,E910)=1),(M910-N910)*E910*L910,0)</f>
        <v/>
      </c>
      <c r="S910" s="19">
        <f>IF(D910="",0,N(E910)*L910)</f>
        <v/>
      </c>
    </row>
    <row r="911">
      <c r="A911" s="11" t="n"/>
      <c r="B911" s="12" t="n"/>
      <c r="C911" s="12" t="n"/>
      <c r="D911" s="12" t="n"/>
      <c r="E911" s="13" t="n"/>
      <c r="F911" s="12" t="n"/>
      <c r="G911" s="14" t="n"/>
      <c r="H911" s="15" t="n"/>
      <c r="I911" s="16">
        <f>IF(G911="","",G911*(1-N(H911)))</f>
        <v/>
      </c>
      <c r="J911" s="16">
        <f>IF(I911="","",E911*I911)</f>
        <v/>
      </c>
      <c r="K911">
        <f>IF(D911="","",IFERROR(VLOOKUP(D911,'Ürün Eşleştirme'!$A$6:$D$505,2,FALSE),D911))</f>
        <v/>
      </c>
      <c r="L911" s="17">
        <f>IF(D911="","",IFERROR(VLOOKUP(D911,'Ürün Eşleştirme'!$A$6:$D$505,4,FALSE),1))</f>
        <v/>
      </c>
      <c r="M911" s="16">
        <f>IF(I911="","",I911/L911)</f>
        <v/>
      </c>
      <c r="N911" s="16">
        <f>IF(M911="","",IFERROR(AVERAGEIFS($M$10:$M$1009,$K$10:$K$1009,K911,$A$10:$A$1009,"&lt;"&amp;A911,$A$10:$A$1009,"&gt;="&amp;(A911-$C$6)),""))</f>
        <v/>
      </c>
      <c r="O911" s="16">
        <f>IF(M911="","",_xlfn.MINIFS($M$10:$M$1009,$K$10:$K$1009,K911,$A$10:$A$1009,"&lt;="&amp;A911,$A$10:$A$1009,"&gt;="&amp;(A911-$C$6)))</f>
        <v/>
      </c>
      <c r="P911" s="18">
        <f>IF(OR(N911="",N911=0),"",M911/N911-1)</f>
        <v/>
      </c>
      <c r="Q911">
        <f>IF(D911="","",IF(COUNTIFS($B$10:$B$1009,B911,$C$10:$C$1009,C911,$D$10:$D$1009,D911,$E$10:$E$1009,E911)&gt;1,"MÜKERRER?",IF(P911="","",IF(P911&gt;=$C$5,"İNCELE",IF(P911&lt;=-$C$5,"Düşük",""))))</f>
        <v/>
      </c>
      <c r="R911" s="16">
        <f>IF(AND(P911&lt;&gt;"",N(P911)&gt;=$C$5,COUNTIFS($B$10:B911,B911,$C$10:C911,C911,$D$10:D911,D911,$E$10:E911,E911)=1),(M911-N911)*E911*L911,0)</f>
        <v/>
      </c>
      <c r="S911" s="19">
        <f>IF(D911="",0,N(E911)*L911)</f>
        <v/>
      </c>
    </row>
    <row r="912">
      <c r="A912" s="11" t="n"/>
      <c r="B912" s="12" t="n"/>
      <c r="C912" s="12" t="n"/>
      <c r="D912" s="12" t="n"/>
      <c r="E912" s="13" t="n"/>
      <c r="F912" s="12" t="n"/>
      <c r="G912" s="14" t="n"/>
      <c r="H912" s="15" t="n"/>
      <c r="I912" s="16">
        <f>IF(G912="","",G912*(1-N(H912)))</f>
        <v/>
      </c>
      <c r="J912" s="16">
        <f>IF(I912="","",E912*I912)</f>
        <v/>
      </c>
      <c r="K912">
        <f>IF(D912="","",IFERROR(VLOOKUP(D912,'Ürün Eşleştirme'!$A$6:$D$505,2,FALSE),D912))</f>
        <v/>
      </c>
      <c r="L912" s="17">
        <f>IF(D912="","",IFERROR(VLOOKUP(D912,'Ürün Eşleştirme'!$A$6:$D$505,4,FALSE),1))</f>
        <v/>
      </c>
      <c r="M912" s="16">
        <f>IF(I912="","",I912/L912)</f>
        <v/>
      </c>
      <c r="N912" s="16">
        <f>IF(M912="","",IFERROR(AVERAGEIFS($M$10:$M$1009,$K$10:$K$1009,K912,$A$10:$A$1009,"&lt;"&amp;A912,$A$10:$A$1009,"&gt;="&amp;(A912-$C$6)),""))</f>
        <v/>
      </c>
      <c r="O912" s="16">
        <f>IF(M912="","",_xlfn.MINIFS($M$10:$M$1009,$K$10:$K$1009,K912,$A$10:$A$1009,"&lt;="&amp;A912,$A$10:$A$1009,"&gt;="&amp;(A912-$C$6)))</f>
        <v/>
      </c>
      <c r="P912" s="18">
        <f>IF(OR(N912="",N912=0),"",M912/N912-1)</f>
        <v/>
      </c>
      <c r="Q912">
        <f>IF(D912="","",IF(COUNTIFS($B$10:$B$1009,B912,$C$10:$C$1009,C912,$D$10:$D$1009,D912,$E$10:$E$1009,E912)&gt;1,"MÜKERRER?",IF(P912="","",IF(P912&gt;=$C$5,"İNCELE",IF(P912&lt;=-$C$5,"Düşük",""))))</f>
        <v/>
      </c>
      <c r="R912" s="16">
        <f>IF(AND(P912&lt;&gt;"",N(P912)&gt;=$C$5,COUNTIFS($B$10:B912,B912,$C$10:C912,C912,$D$10:D912,D912,$E$10:E912,E912)=1),(M912-N912)*E912*L912,0)</f>
        <v/>
      </c>
      <c r="S912" s="19">
        <f>IF(D912="",0,N(E912)*L912)</f>
        <v/>
      </c>
    </row>
    <row r="913">
      <c r="A913" s="11" t="n"/>
      <c r="B913" s="12" t="n"/>
      <c r="C913" s="12" t="n"/>
      <c r="D913" s="12" t="n"/>
      <c r="E913" s="13" t="n"/>
      <c r="F913" s="12" t="n"/>
      <c r="G913" s="14" t="n"/>
      <c r="H913" s="15" t="n"/>
      <c r="I913" s="16">
        <f>IF(G913="","",G913*(1-N(H913)))</f>
        <v/>
      </c>
      <c r="J913" s="16">
        <f>IF(I913="","",E913*I913)</f>
        <v/>
      </c>
      <c r="K913">
        <f>IF(D913="","",IFERROR(VLOOKUP(D913,'Ürün Eşleştirme'!$A$6:$D$505,2,FALSE),D913))</f>
        <v/>
      </c>
      <c r="L913" s="17">
        <f>IF(D913="","",IFERROR(VLOOKUP(D913,'Ürün Eşleştirme'!$A$6:$D$505,4,FALSE),1))</f>
        <v/>
      </c>
      <c r="M913" s="16">
        <f>IF(I913="","",I913/L913)</f>
        <v/>
      </c>
      <c r="N913" s="16">
        <f>IF(M913="","",IFERROR(AVERAGEIFS($M$10:$M$1009,$K$10:$K$1009,K913,$A$10:$A$1009,"&lt;"&amp;A913,$A$10:$A$1009,"&gt;="&amp;(A913-$C$6)),""))</f>
        <v/>
      </c>
      <c r="O913" s="16">
        <f>IF(M913="","",_xlfn.MINIFS($M$10:$M$1009,$K$10:$K$1009,K913,$A$10:$A$1009,"&lt;="&amp;A913,$A$10:$A$1009,"&gt;="&amp;(A913-$C$6)))</f>
        <v/>
      </c>
      <c r="P913" s="18">
        <f>IF(OR(N913="",N913=0),"",M913/N913-1)</f>
        <v/>
      </c>
      <c r="Q913">
        <f>IF(D913="","",IF(COUNTIFS($B$10:$B$1009,B913,$C$10:$C$1009,C913,$D$10:$D$1009,D913,$E$10:$E$1009,E913)&gt;1,"MÜKERRER?",IF(P913="","",IF(P913&gt;=$C$5,"İNCELE",IF(P913&lt;=-$C$5,"Düşük",""))))</f>
        <v/>
      </c>
      <c r="R913" s="16">
        <f>IF(AND(P913&lt;&gt;"",N(P913)&gt;=$C$5,COUNTIFS($B$10:B913,B913,$C$10:C913,C913,$D$10:D913,D913,$E$10:E913,E913)=1),(M913-N913)*E913*L913,0)</f>
        <v/>
      </c>
      <c r="S913" s="19">
        <f>IF(D913="",0,N(E913)*L913)</f>
        <v/>
      </c>
    </row>
    <row r="914">
      <c r="A914" s="11" t="n"/>
      <c r="B914" s="12" t="n"/>
      <c r="C914" s="12" t="n"/>
      <c r="D914" s="12" t="n"/>
      <c r="E914" s="13" t="n"/>
      <c r="F914" s="12" t="n"/>
      <c r="G914" s="14" t="n"/>
      <c r="H914" s="15" t="n"/>
      <c r="I914" s="16">
        <f>IF(G914="","",G914*(1-N(H914)))</f>
        <v/>
      </c>
      <c r="J914" s="16">
        <f>IF(I914="","",E914*I914)</f>
        <v/>
      </c>
      <c r="K914">
        <f>IF(D914="","",IFERROR(VLOOKUP(D914,'Ürün Eşleştirme'!$A$6:$D$505,2,FALSE),D914))</f>
        <v/>
      </c>
      <c r="L914" s="17">
        <f>IF(D914="","",IFERROR(VLOOKUP(D914,'Ürün Eşleştirme'!$A$6:$D$505,4,FALSE),1))</f>
        <v/>
      </c>
      <c r="M914" s="16">
        <f>IF(I914="","",I914/L914)</f>
        <v/>
      </c>
      <c r="N914" s="16">
        <f>IF(M914="","",IFERROR(AVERAGEIFS($M$10:$M$1009,$K$10:$K$1009,K914,$A$10:$A$1009,"&lt;"&amp;A914,$A$10:$A$1009,"&gt;="&amp;(A914-$C$6)),""))</f>
        <v/>
      </c>
      <c r="O914" s="16">
        <f>IF(M914="","",_xlfn.MINIFS($M$10:$M$1009,$K$10:$K$1009,K914,$A$10:$A$1009,"&lt;="&amp;A914,$A$10:$A$1009,"&gt;="&amp;(A914-$C$6)))</f>
        <v/>
      </c>
      <c r="P914" s="18">
        <f>IF(OR(N914="",N914=0),"",M914/N914-1)</f>
        <v/>
      </c>
      <c r="Q914">
        <f>IF(D914="","",IF(COUNTIFS($B$10:$B$1009,B914,$C$10:$C$1009,C914,$D$10:$D$1009,D914,$E$10:$E$1009,E914)&gt;1,"MÜKERRER?",IF(P914="","",IF(P914&gt;=$C$5,"İNCELE",IF(P914&lt;=-$C$5,"Düşük",""))))</f>
        <v/>
      </c>
      <c r="R914" s="16">
        <f>IF(AND(P914&lt;&gt;"",N(P914)&gt;=$C$5,COUNTIFS($B$10:B914,B914,$C$10:C914,C914,$D$10:D914,D914,$E$10:E914,E914)=1),(M914-N914)*E914*L914,0)</f>
        <v/>
      </c>
      <c r="S914" s="19">
        <f>IF(D914="",0,N(E914)*L914)</f>
        <v/>
      </c>
    </row>
    <row r="915">
      <c r="A915" s="11" t="n"/>
      <c r="B915" s="12" t="n"/>
      <c r="C915" s="12" t="n"/>
      <c r="D915" s="12" t="n"/>
      <c r="E915" s="13" t="n"/>
      <c r="F915" s="12" t="n"/>
      <c r="G915" s="14" t="n"/>
      <c r="H915" s="15" t="n"/>
      <c r="I915" s="16">
        <f>IF(G915="","",G915*(1-N(H915)))</f>
        <v/>
      </c>
      <c r="J915" s="16">
        <f>IF(I915="","",E915*I915)</f>
        <v/>
      </c>
      <c r="K915">
        <f>IF(D915="","",IFERROR(VLOOKUP(D915,'Ürün Eşleştirme'!$A$6:$D$505,2,FALSE),D915))</f>
        <v/>
      </c>
      <c r="L915" s="17">
        <f>IF(D915="","",IFERROR(VLOOKUP(D915,'Ürün Eşleştirme'!$A$6:$D$505,4,FALSE),1))</f>
        <v/>
      </c>
      <c r="M915" s="16">
        <f>IF(I915="","",I915/L915)</f>
        <v/>
      </c>
      <c r="N915" s="16">
        <f>IF(M915="","",IFERROR(AVERAGEIFS($M$10:$M$1009,$K$10:$K$1009,K915,$A$10:$A$1009,"&lt;"&amp;A915,$A$10:$A$1009,"&gt;="&amp;(A915-$C$6)),""))</f>
        <v/>
      </c>
      <c r="O915" s="16">
        <f>IF(M915="","",_xlfn.MINIFS($M$10:$M$1009,$K$10:$K$1009,K915,$A$10:$A$1009,"&lt;="&amp;A915,$A$10:$A$1009,"&gt;="&amp;(A915-$C$6)))</f>
        <v/>
      </c>
      <c r="P915" s="18">
        <f>IF(OR(N915="",N915=0),"",M915/N915-1)</f>
        <v/>
      </c>
      <c r="Q915">
        <f>IF(D915="","",IF(COUNTIFS($B$10:$B$1009,B915,$C$10:$C$1009,C915,$D$10:$D$1009,D915,$E$10:$E$1009,E915)&gt;1,"MÜKERRER?",IF(P915="","",IF(P915&gt;=$C$5,"İNCELE",IF(P915&lt;=-$C$5,"Düşük",""))))</f>
        <v/>
      </c>
      <c r="R915" s="16">
        <f>IF(AND(P915&lt;&gt;"",N(P915)&gt;=$C$5,COUNTIFS($B$10:B915,B915,$C$10:C915,C915,$D$10:D915,D915,$E$10:E915,E915)=1),(M915-N915)*E915*L915,0)</f>
        <v/>
      </c>
      <c r="S915" s="19">
        <f>IF(D915="",0,N(E915)*L915)</f>
        <v/>
      </c>
    </row>
    <row r="916">
      <c r="A916" s="11" t="n"/>
      <c r="B916" s="12" t="n"/>
      <c r="C916" s="12" t="n"/>
      <c r="D916" s="12" t="n"/>
      <c r="E916" s="13" t="n"/>
      <c r="F916" s="12" t="n"/>
      <c r="G916" s="14" t="n"/>
      <c r="H916" s="15" t="n"/>
      <c r="I916" s="16">
        <f>IF(G916="","",G916*(1-N(H916)))</f>
        <v/>
      </c>
      <c r="J916" s="16">
        <f>IF(I916="","",E916*I916)</f>
        <v/>
      </c>
      <c r="K916">
        <f>IF(D916="","",IFERROR(VLOOKUP(D916,'Ürün Eşleştirme'!$A$6:$D$505,2,FALSE),D916))</f>
        <v/>
      </c>
      <c r="L916" s="17">
        <f>IF(D916="","",IFERROR(VLOOKUP(D916,'Ürün Eşleştirme'!$A$6:$D$505,4,FALSE),1))</f>
        <v/>
      </c>
      <c r="M916" s="16">
        <f>IF(I916="","",I916/L916)</f>
        <v/>
      </c>
      <c r="N916" s="16">
        <f>IF(M916="","",IFERROR(AVERAGEIFS($M$10:$M$1009,$K$10:$K$1009,K916,$A$10:$A$1009,"&lt;"&amp;A916,$A$10:$A$1009,"&gt;="&amp;(A916-$C$6)),""))</f>
        <v/>
      </c>
      <c r="O916" s="16">
        <f>IF(M916="","",_xlfn.MINIFS($M$10:$M$1009,$K$10:$K$1009,K916,$A$10:$A$1009,"&lt;="&amp;A916,$A$10:$A$1009,"&gt;="&amp;(A916-$C$6)))</f>
        <v/>
      </c>
      <c r="P916" s="18">
        <f>IF(OR(N916="",N916=0),"",M916/N916-1)</f>
        <v/>
      </c>
      <c r="Q916">
        <f>IF(D916="","",IF(COUNTIFS($B$10:$B$1009,B916,$C$10:$C$1009,C916,$D$10:$D$1009,D916,$E$10:$E$1009,E916)&gt;1,"MÜKERRER?",IF(P916="","",IF(P916&gt;=$C$5,"İNCELE",IF(P916&lt;=-$C$5,"Düşük",""))))</f>
        <v/>
      </c>
      <c r="R916" s="16">
        <f>IF(AND(P916&lt;&gt;"",N(P916)&gt;=$C$5,COUNTIFS($B$10:B916,B916,$C$10:C916,C916,$D$10:D916,D916,$E$10:E916,E916)=1),(M916-N916)*E916*L916,0)</f>
        <v/>
      </c>
      <c r="S916" s="19">
        <f>IF(D916="",0,N(E916)*L916)</f>
        <v/>
      </c>
    </row>
    <row r="917">
      <c r="A917" s="11" t="n"/>
      <c r="B917" s="12" t="n"/>
      <c r="C917" s="12" t="n"/>
      <c r="D917" s="12" t="n"/>
      <c r="E917" s="13" t="n"/>
      <c r="F917" s="12" t="n"/>
      <c r="G917" s="14" t="n"/>
      <c r="H917" s="15" t="n"/>
      <c r="I917" s="16">
        <f>IF(G917="","",G917*(1-N(H917)))</f>
        <v/>
      </c>
      <c r="J917" s="16">
        <f>IF(I917="","",E917*I917)</f>
        <v/>
      </c>
      <c r="K917">
        <f>IF(D917="","",IFERROR(VLOOKUP(D917,'Ürün Eşleştirme'!$A$6:$D$505,2,FALSE),D917))</f>
        <v/>
      </c>
      <c r="L917" s="17">
        <f>IF(D917="","",IFERROR(VLOOKUP(D917,'Ürün Eşleştirme'!$A$6:$D$505,4,FALSE),1))</f>
        <v/>
      </c>
      <c r="M917" s="16">
        <f>IF(I917="","",I917/L917)</f>
        <v/>
      </c>
      <c r="N917" s="16">
        <f>IF(M917="","",IFERROR(AVERAGEIFS($M$10:$M$1009,$K$10:$K$1009,K917,$A$10:$A$1009,"&lt;"&amp;A917,$A$10:$A$1009,"&gt;="&amp;(A917-$C$6)),""))</f>
        <v/>
      </c>
      <c r="O917" s="16">
        <f>IF(M917="","",_xlfn.MINIFS($M$10:$M$1009,$K$10:$K$1009,K917,$A$10:$A$1009,"&lt;="&amp;A917,$A$10:$A$1009,"&gt;="&amp;(A917-$C$6)))</f>
        <v/>
      </c>
      <c r="P917" s="18">
        <f>IF(OR(N917="",N917=0),"",M917/N917-1)</f>
        <v/>
      </c>
      <c r="Q917">
        <f>IF(D917="","",IF(COUNTIFS($B$10:$B$1009,B917,$C$10:$C$1009,C917,$D$10:$D$1009,D917,$E$10:$E$1009,E917)&gt;1,"MÜKERRER?",IF(P917="","",IF(P917&gt;=$C$5,"İNCELE",IF(P917&lt;=-$C$5,"Düşük",""))))</f>
        <v/>
      </c>
      <c r="R917" s="16">
        <f>IF(AND(P917&lt;&gt;"",N(P917)&gt;=$C$5,COUNTIFS($B$10:B917,B917,$C$10:C917,C917,$D$10:D917,D917,$E$10:E917,E917)=1),(M917-N917)*E917*L917,0)</f>
        <v/>
      </c>
      <c r="S917" s="19">
        <f>IF(D917="",0,N(E917)*L917)</f>
        <v/>
      </c>
    </row>
    <row r="918">
      <c r="A918" s="11" t="n"/>
      <c r="B918" s="12" t="n"/>
      <c r="C918" s="12" t="n"/>
      <c r="D918" s="12" t="n"/>
      <c r="E918" s="13" t="n"/>
      <c r="F918" s="12" t="n"/>
      <c r="G918" s="14" t="n"/>
      <c r="H918" s="15" t="n"/>
      <c r="I918" s="16">
        <f>IF(G918="","",G918*(1-N(H918)))</f>
        <v/>
      </c>
      <c r="J918" s="16">
        <f>IF(I918="","",E918*I918)</f>
        <v/>
      </c>
      <c r="K918">
        <f>IF(D918="","",IFERROR(VLOOKUP(D918,'Ürün Eşleştirme'!$A$6:$D$505,2,FALSE),D918))</f>
        <v/>
      </c>
      <c r="L918" s="17">
        <f>IF(D918="","",IFERROR(VLOOKUP(D918,'Ürün Eşleştirme'!$A$6:$D$505,4,FALSE),1))</f>
        <v/>
      </c>
      <c r="M918" s="16">
        <f>IF(I918="","",I918/L918)</f>
        <v/>
      </c>
      <c r="N918" s="16">
        <f>IF(M918="","",IFERROR(AVERAGEIFS($M$10:$M$1009,$K$10:$K$1009,K918,$A$10:$A$1009,"&lt;"&amp;A918,$A$10:$A$1009,"&gt;="&amp;(A918-$C$6)),""))</f>
        <v/>
      </c>
      <c r="O918" s="16">
        <f>IF(M918="","",_xlfn.MINIFS($M$10:$M$1009,$K$10:$K$1009,K918,$A$10:$A$1009,"&lt;="&amp;A918,$A$10:$A$1009,"&gt;="&amp;(A918-$C$6)))</f>
        <v/>
      </c>
      <c r="P918" s="18">
        <f>IF(OR(N918="",N918=0),"",M918/N918-1)</f>
        <v/>
      </c>
      <c r="Q918">
        <f>IF(D918="","",IF(COUNTIFS($B$10:$B$1009,B918,$C$10:$C$1009,C918,$D$10:$D$1009,D918,$E$10:$E$1009,E918)&gt;1,"MÜKERRER?",IF(P918="","",IF(P918&gt;=$C$5,"İNCELE",IF(P918&lt;=-$C$5,"Düşük",""))))</f>
        <v/>
      </c>
      <c r="R918" s="16">
        <f>IF(AND(P918&lt;&gt;"",N(P918)&gt;=$C$5,COUNTIFS($B$10:B918,B918,$C$10:C918,C918,$D$10:D918,D918,$E$10:E918,E918)=1),(M918-N918)*E918*L918,0)</f>
        <v/>
      </c>
      <c r="S918" s="19">
        <f>IF(D918="",0,N(E918)*L918)</f>
        <v/>
      </c>
    </row>
    <row r="919">
      <c r="A919" s="11" t="n"/>
      <c r="B919" s="12" t="n"/>
      <c r="C919" s="12" t="n"/>
      <c r="D919" s="12" t="n"/>
      <c r="E919" s="13" t="n"/>
      <c r="F919" s="12" t="n"/>
      <c r="G919" s="14" t="n"/>
      <c r="H919" s="15" t="n"/>
      <c r="I919" s="16">
        <f>IF(G919="","",G919*(1-N(H919)))</f>
        <v/>
      </c>
      <c r="J919" s="16">
        <f>IF(I919="","",E919*I919)</f>
        <v/>
      </c>
      <c r="K919">
        <f>IF(D919="","",IFERROR(VLOOKUP(D919,'Ürün Eşleştirme'!$A$6:$D$505,2,FALSE),D919))</f>
        <v/>
      </c>
      <c r="L919" s="17">
        <f>IF(D919="","",IFERROR(VLOOKUP(D919,'Ürün Eşleştirme'!$A$6:$D$505,4,FALSE),1))</f>
        <v/>
      </c>
      <c r="M919" s="16">
        <f>IF(I919="","",I919/L919)</f>
        <v/>
      </c>
      <c r="N919" s="16">
        <f>IF(M919="","",IFERROR(AVERAGEIFS($M$10:$M$1009,$K$10:$K$1009,K919,$A$10:$A$1009,"&lt;"&amp;A919,$A$10:$A$1009,"&gt;="&amp;(A919-$C$6)),""))</f>
        <v/>
      </c>
      <c r="O919" s="16">
        <f>IF(M919="","",_xlfn.MINIFS($M$10:$M$1009,$K$10:$K$1009,K919,$A$10:$A$1009,"&lt;="&amp;A919,$A$10:$A$1009,"&gt;="&amp;(A919-$C$6)))</f>
        <v/>
      </c>
      <c r="P919" s="18">
        <f>IF(OR(N919="",N919=0),"",M919/N919-1)</f>
        <v/>
      </c>
      <c r="Q919">
        <f>IF(D919="","",IF(COUNTIFS($B$10:$B$1009,B919,$C$10:$C$1009,C919,$D$10:$D$1009,D919,$E$10:$E$1009,E919)&gt;1,"MÜKERRER?",IF(P919="","",IF(P919&gt;=$C$5,"İNCELE",IF(P919&lt;=-$C$5,"Düşük",""))))</f>
        <v/>
      </c>
      <c r="R919" s="16">
        <f>IF(AND(P919&lt;&gt;"",N(P919)&gt;=$C$5,COUNTIFS($B$10:B919,B919,$C$10:C919,C919,$D$10:D919,D919,$E$10:E919,E919)=1),(M919-N919)*E919*L919,0)</f>
        <v/>
      </c>
      <c r="S919" s="19">
        <f>IF(D919="",0,N(E919)*L919)</f>
        <v/>
      </c>
    </row>
    <row r="920">
      <c r="A920" s="11" t="n"/>
      <c r="B920" s="12" t="n"/>
      <c r="C920" s="12" t="n"/>
      <c r="D920" s="12" t="n"/>
      <c r="E920" s="13" t="n"/>
      <c r="F920" s="12" t="n"/>
      <c r="G920" s="14" t="n"/>
      <c r="H920" s="15" t="n"/>
      <c r="I920" s="16">
        <f>IF(G920="","",G920*(1-N(H920)))</f>
        <v/>
      </c>
      <c r="J920" s="16">
        <f>IF(I920="","",E920*I920)</f>
        <v/>
      </c>
      <c r="K920">
        <f>IF(D920="","",IFERROR(VLOOKUP(D920,'Ürün Eşleştirme'!$A$6:$D$505,2,FALSE),D920))</f>
        <v/>
      </c>
      <c r="L920" s="17">
        <f>IF(D920="","",IFERROR(VLOOKUP(D920,'Ürün Eşleştirme'!$A$6:$D$505,4,FALSE),1))</f>
        <v/>
      </c>
      <c r="M920" s="16">
        <f>IF(I920="","",I920/L920)</f>
        <v/>
      </c>
      <c r="N920" s="16">
        <f>IF(M920="","",IFERROR(AVERAGEIFS($M$10:$M$1009,$K$10:$K$1009,K920,$A$10:$A$1009,"&lt;"&amp;A920,$A$10:$A$1009,"&gt;="&amp;(A920-$C$6)),""))</f>
        <v/>
      </c>
      <c r="O920" s="16">
        <f>IF(M920="","",_xlfn.MINIFS($M$10:$M$1009,$K$10:$K$1009,K920,$A$10:$A$1009,"&lt;="&amp;A920,$A$10:$A$1009,"&gt;="&amp;(A920-$C$6)))</f>
        <v/>
      </c>
      <c r="P920" s="18">
        <f>IF(OR(N920="",N920=0),"",M920/N920-1)</f>
        <v/>
      </c>
      <c r="Q920">
        <f>IF(D920="","",IF(COUNTIFS($B$10:$B$1009,B920,$C$10:$C$1009,C920,$D$10:$D$1009,D920,$E$10:$E$1009,E920)&gt;1,"MÜKERRER?",IF(P920="","",IF(P920&gt;=$C$5,"İNCELE",IF(P920&lt;=-$C$5,"Düşük",""))))</f>
        <v/>
      </c>
      <c r="R920" s="16">
        <f>IF(AND(P920&lt;&gt;"",N(P920)&gt;=$C$5,COUNTIFS($B$10:B920,B920,$C$10:C920,C920,$D$10:D920,D920,$E$10:E920,E920)=1),(M920-N920)*E920*L920,0)</f>
        <v/>
      </c>
      <c r="S920" s="19">
        <f>IF(D920="",0,N(E920)*L920)</f>
        <v/>
      </c>
    </row>
    <row r="921">
      <c r="A921" s="11" t="n"/>
      <c r="B921" s="12" t="n"/>
      <c r="C921" s="12" t="n"/>
      <c r="D921" s="12" t="n"/>
      <c r="E921" s="13" t="n"/>
      <c r="F921" s="12" t="n"/>
      <c r="G921" s="14" t="n"/>
      <c r="H921" s="15" t="n"/>
      <c r="I921" s="16">
        <f>IF(G921="","",G921*(1-N(H921)))</f>
        <v/>
      </c>
      <c r="J921" s="16">
        <f>IF(I921="","",E921*I921)</f>
        <v/>
      </c>
      <c r="K921">
        <f>IF(D921="","",IFERROR(VLOOKUP(D921,'Ürün Eşleştirme'!$A$6:$D$505,2,FALSE),D921))</f>
        <v/>
      </c>
      <c r="L921" s="17">
        <f>IF(D921="","",IFERROR(VLOOKUP(D921,'Ürün Eşleştirme'!$A$6:$D$505,4,FALSE),1))</f>
        <v/>
      </c>
      <c r="M921" s="16">
        <f>IF(I921="","",I921/L921)</f>
        <v/>
      </c>
      <c r="N921" s="16">
        <f>IF(M921="","",IFERROR(AVERAGEIFS($M$10:$M$1009,$K$10:$K$1009,K921,$A$10:$A$1009,"&lt;"&amp;A921,$A$10:$A$1009,"&gt;="&amp;(A921-$C$6)),""))</f>
        <v/>
      </c>
      <c r="O921" s="16">
        <f>IF(M921="","",_xlfn.MINIFS($M$10:$M$1009,$K$10:$K$1009,K921,$A$10:$A$1009,"&lt;="&amp;A921,$A$10:$A$1009,"&gt;="&amp;(A921-$C$6)))</f>
        <v/>
      </c>
      <c r="P921" s="18">
        <f>IF(OR(N921="",N921=0),"",M921/N921-1)</f>
        <v/>
      </c>
      <c r="Q921">
        <f>IF(D921="","",IF(COUNTIFS($B$10:$B$1009,B921,$C$10:$C$1009,C921,$D$10:$D$1009,D921,$E$10:$E$1009,E921)&gt;1,"MÜKERRER?",IF(P921="","",IF(P921&gt;=$C$5,"İNCELE",IF(P921&lt;=-$C$5,"Düşük",""))))</f>
        <v/>
      </c>
      <c r="R921" s="16">
        <f>IF(AND(P921&lt;&gt;"",N(P921)&gt;=$C$5,COUNTIFS($B$10:B921,B921,$C$10:C921,C921,$D$10:D921,D921,$E$10:E921,E921)=1),(M921-N921)*E921*L921,0)</f>
        <v/>
      </c>
      <c r="S921" s="19">
        <f>IF(D921="",0,N(E921)*L921)</f>
        <v/>
      </c>
    </row>
    <row r="922">
      <c r="A922" s="11" t="n"/>
      <c r="B922" s="12" t="n"/>
      <c r="C922" s="12" t="n"/>
      <c r="D922" s="12" t="n"/>
      <c r="E922" s="13" t="n"/>
      <c r="F922" s="12" t="n"/>
      <c r="G922" s="14" t="n"/>
      <c r="H922" s="15" t="n"/>
      <c r="I922" s="16">
        <f>IF(G922="","",G922*(1-N(H922)))</f>
        <v/>
      </c>
      <c r="J922" s="16">
        <f>IF(I922="","",E922*I922)</f>
        <v/>
      </c>
      <c r="K922">
        <f>IF(D922="","",IFERROR(VLOOKUP(D922,'Ürün Eşleştirme'!$A$6:$D$505,2,FALSE),D922))</f>
        <v/>
      </c>
      <c r="L922" s="17">
        <f>IF(D922="","",IFERROR(VLOOKUP(D922,'Ürün Eşleştirme'!$A$6:$D$505,4,FALSE),1))</f>
        <v/>
      </c>
      <c r="M922" s="16">
        <f>IF(I922="","",I922/L922)</f>
        <v/>
      </c>
      <c r="N922" s="16">
        <f>IF(M922="","",IFERROR(AVERAGEIFS($M$10:$M$1009,$K$10:$K$1009,K922,$A$10:$A$1009,"&lt;"&amp;A922,$A$10:$A$1009,"&gt;="&amp;(A922-$C$6)),""))</f>
        <v/>
      </c>
      <c r="O922" s="16">
        <f>IF(M922="","",_xlfn.MINIFS($M$10:$M$1009,$K$10:$K$1009,K922,$A$10:$A$1009,"&lt;="&amp;A922,$A$10:$A$1009,"&gt;="&amp;(A922-$C$6)))</f>
        <v/>
      </c>
      <c r="P922" s="18">
        <f>IF(OR(N922="",N922=0),"",M922/N922-1)</f>
        <v/>
      </c>
      <c r="Q922">
        <f>IF(D922="","",IF(COUNTIFS($B$10:$B$1009,B922,$C$10:$C$1009,C922,$D$10:$D$1009,D922,$E$10:$E$1009,E922)&gt;1,"MÜKERRER?",IF(P922="","",IF(P922&gt;=$C$5,"İNCELE",IF(P922&lt;=-$C$5,"Düşük",""))))</f>
        <v/>
      </c>
      <c r="R922" s="16">
        <f>IF(AND(P922&lt;&gt;"",N(P922)&gt;=$C$5,COUNTIFS($B$10:B922,B922,$C$10:C922,C922,$D$10:D922,D922,$E$10:E922,E922)=1),(M922-N922)*E922*L922,0)</f>
        <v/>
      </c>
      <c r="S922" s="19">
        <f>IF(D922="",0,N(E922)*L922)</f>
        <v/>
      </c>
    </row>
    <row r="923">
      <c r="A923" s="11" t="n"/>
      <c r="B923" s="12" t="n"/>
      <c r="C923" s="12" t="n"/>
      <c r="D923" s="12" t="n"/>
      <c r="E923" s="13" t="n"/>
      <c r="F923" s="12" t="n"/>
      <c r="G923" s="14" t="n"/>
      <c r="H923" s="15" t="n"/>
      <c r="I923" s="16">
        <f>IF(G923="","",G923*(1-N(H923)))</f>
        <v/>
      </c>
      <c r="J923" s="16">
        <f>IF(I923="","",E923*I923)</f>
        <v/>
      </c>
      <c r="K923">
        <f>IF(D923="","",IFERROR(VLOOKUP(D923,'Ürün Eşleştirme'!$A$6:$D$505,2,FALSE),D923))</f>
        <v/>
      </c>
      <c r="L923" s="17">
        <f>IF(D923="","",IFERROR(VLOOKUP(D923,'Ürün Eşleştirme'!$A$6:$D$505,4,FALSE),1))</f>
        <v/>
      </c>
      <c r="M923" s="16">
        <f>IF(I923="","",I923/L923)</f>
        <v/>
      </c>
      <c r="N923" s="16">
        <f>IF(M923="","",IFERROR(AVERAGEIFS($M$10:$M$1009,$K$10:$K$1009,K923,$A$10:$A$1009,"&lt;"&amp;A923,$A$10:$A$1009,"&gt;="&amp;(A923-$C$6)),""))</f>
        <v/>
      </c>
      <c r="O923" s="16">
        <f>IF(M923="","",_xlfn.MINIFS($M$10:$M$1009,$K$10:$K$1009,K923,$A$10:$A$1009,"&lt;="&amp;A923,$A$10:$A$1009,"&gt;="&amp;(A923-$C$6)))</f>
        <v/>
      </c>
      <c r="P923" s="18">
        <f>IF(OR(N923="",N923=0),"",M923/N923-1)</f>
        <v/>
      </c>
      <c r="Q923">
        <f>IF(D923="","",IF(COUNTIFS($B$10:$B$1009,B923,$C$10:$C$1009,C923,$D$10:$D$1009,D923,$E$10:$E$1009,E923)&gt;1,"MÜKERRER?",IF(P923="","",IF(P923&gt;=$C$5,"İNCELE",IF(P923&lt;=-$C$5,"Düşük",""))))</f>
        <v/>
      </c>
      <c r="R923" s="16">
        <f>IF(AND(P923&lt;&gt;"",N(P923)&gt;=$C$5,COUNTIFS($B$10:B923,B923,$C$10:C923,C923,$D$10:D923,D923,$E$10:E923,E923)=1),(M923-N923)*E923*L923,0)</f>
        <v/>
      </c>
      <c r="S923" s="19">
        <f>IF(D923="",0,N(E923)*L923)</f>
        <v/>
      </c>
    </row>
    <row r="924">
      <c r="A924" s="11" t="n"/>
      <c r="B924" s="12" t="n"/>
      <c r="C924" s="12" t="n"/>
      <c r="D924" s="12" t="n"/>
      <c r="E924" s="13" t="n"/>
      <c r="F924" s="12" t="n"/>
      <c r="G924" s="14" t="n"/>
      <c r="H924" s="15" t="n"/>
      <c r="I924" s="16">
        <f>IF(G924="","",G924*(1-N(H924)))</f>
        <v/>
      </c>
      <c r="J924" s="16">
        <f>IF(I924="","",E924*I924)</f>
        <v/>
      </c>
      <c r="K924">
        <f>IF(D924="","",IFERROR(VLOOKUP(D924,'Ürün Eşleştirme'!$A$6:$D$505,2,FALSE),D924))</f>
        <v/>
      </c>
      <c r="L924" s="17">
        <f>IF(D924="","",IFERROR(VLOOKUP(D924,'Ürün Eşleştirme'!$A$6:$D$505,4,FALSE),1))</f>
        <v/>
      </c>
      <c r="M924" s="16">
        <f>IF(I924="","",I924/L924)</f>
        <v/>
      </c>
      <c r="N924" s="16">
        <f>IF(M924="","",IFERROR(AVERAGEIFS($M$10:$M$1009,$K$10:$K$1009,K924,$A$10:$A$1009,"&lt;"&amp;A924,$A$10:$A$1009,"&gt;="&amp;(A924-$C$6)),""))</f>
        <v/>
      </c>
      <c r="O924" s="16">
        <f>IF(M924="","",_xlfn.MINIFS($M$10:$M$1009,$K$10:$K$1009,K924,$A$10:$A$1009,"&lt;="&amp;A924,$A$10:$A$1009,"&gt;="&amp;(A924-$C$6)))</f>
        <v/>
      </c>
      <c r="P924" s="18">
        <f>IF(OR(N924="",N924=0),"",M924/N924-1)</f>
        <v/>
      </c>
      <c r="Q924">
        <f>IF(D924="","",IF(COUNTIFS($B$10:$B$1009,B924,$C$10:$C$1009,C924,$D$10:$D$1009,D924,$E$10:$E$1009,E924)&gt;1,"MÜKERRER?",IF(P924="","",IF(P924&gt;=$C$5,"İNCELE",IF(P924&lt;=-$C$5,"Düşük",""))))</f>
        <v/>
      </c>
      <c r="R924" s="16">
        <f>IF(AND(P924&lt;&gt;"",N(P924)&gt;=$C$5,COUNTIFS($B$10:B924,B924,$C$10:C924,C924,$D$10:D924,D924,$E$10:E924,E924)=1),(M924-N924)*E924*L924,0)</f>
        <v/>
      </c>
      <c r="S924" s="19">
        <f>IF(D924="",0,N(E924)*L924)</f>
        <v/>
      </c>
    </row>
    <row r="925">
      <c r="A925" s="11" t="n"/>
      <c r="B925" s="12" t="n"/>
      <c r="C925" s="12" t="n"/>
      <c r="D925" s="12" t="n"/>
      <c r="E925" s="13" t="n"/>
      <c r="F925" s="12" t="n"/>
      <c r="G925" s="14" t="n"/>
      <c r="H925" s="15" t="n"/>
      <c r="I925" s="16">
        <f>IF(G925="","",G925*(1-N(H925)))</f>
        <v/>
      </c>
      <c r="J925" s="16">
        <f>IF(I925="","",E925*I925)</f>
        <v/>
      </c>
      <c r="K925">
        <f>IF(D925="","",IFERROR(VLOOKUP(D925,'Ürün Eşleştirme'!$A$6:$D$505,2,FALSE),D925))</f>
        <v/>
      </c>
      <c r="L925" s="17">
        <f>IF(D925="","",IFERROR(VLOOKUP(D925,'Ürün Eşleştirme'!$A$6:$D$505,4,FALSE),1))</f>
        <v/>
      </c>
      <c r="M925" s="16">
        <f>IF(I925="","",I925/L925)</f>
        <v/>
      </c>
      <c r="N925" s="16">
        <f>IF(M925="","",IFERROR(AVERAGEIFS($M$10:$M$1009,$K$10:$K$1009,K925,$A$10:$A$1009,"&lt;"&amp;A925,$A$10:$A$1009,"&gt;="&amp;(A925-$C$6)),""))</f>
        <v/>
      </c>
      <c r="O925" s="16">
        <f>IF(M925="","",_xlfn.MINIFS($M$10:$M$1009,$K$10:$K$1009,K925,$A$10:$A$1009,"&lt;="&amp;A925,$A$10:$A$1009,"&gt;="&amp;(A925-$C$6)))</f>
        <v/>
      </c>
      <c r="P925" s="18">
        <f>IF(OR(N925="",N925=0),"",M925/N925-1)</f>
        <v/>
      </c>
      <c r="Q925">
        <f>IF(D925="","",IF(COUNTIFS($B$10:$B$1009,B925,$C$10:$C$1009,C925,$D$10:$D$1009,D925,$E$10:$E$1009,E925)&gt;1,"MÜKERRER?",IF(P925="","",IF(P925&gt;=$C$5,"İNCELE",IF(P925&lt;=-$C$5,"Düşük",""))))</f>
        <v/>
      </c>
      <c r="R925" s="16">
        <f>IF(AND(P925&lt;&gt;"",N(P925)&gt;=$C$5,COUNTIFS($B$10:B925,B925,$C$10:C925,C925,$D$10:D925,D925,$E$10:E925,E925)=1),(M925-N925)*E925*L925,0)</f>
        <v/>
      </c>
      <c r="S925" s="19">
        <f>IF(D925="",0,N(E925)*L925)</f>
        <v/>
      </c>
    </row>
    <row r="926">
      <c r="A926" s="11" t="n"/>
      <c r="B926" s="12" t="n"/>
      <c r="C926" s="12" t="n"/>
      <c r="D926" s="12" t="n"/>
      <c r="E926" s="13" t="n"/>
      <c r="F926" s="12" t="n"/>
      <c r="G926" s="14" t="n"/>
      <c r="H926" s="15" t="n"/>
      <c r="I926" s="16">
        <f>IF(G926="","",G926*(1-N(H926)))</f>
        <v/>
      </c>
      <c r="J926" s="16">
        <f>IF(I926="","",E926*I926)</f>
        <v/>
      </c>
      <c r="K926">
        <f>IF(D926="","",IFERROR(VLOOKUP(D926,'Ürün Eşleştirme'!$A$6:$D$505,2,FALSE),D926))</f>
        <v/>
      </c>
      <c r="L926" s="17">
        <f>IF(D926="","",IFERROR(VLOOKUP(D926,'Ürün Eşleştirme'!$A$6:$D$505,4,FALSE),1))</f>
        <v/>
      </c>
      <c r="M926" s="16">
        <f>IF(I926="","",I926/L926)</f>
        <v/>
      </c>
      <c r="N926" s="16">
        <f>IF(M926="","",IFERROR(AVERAGEIFS($M$10:$M$1009,$K$10:$K$1009,K926,$A$10:$A$1009,"&lt;"&amp;A926,$A$10:$A$1009,"&gt;="&amp;(A926-$C$6)),""))</f>
        <v/>
      </c>
      <c r="O926" s="16">
        <f>IF(M926="","",_xlfn.MINIFS($M$10:$M$1009,$K$10:$K$1009,K926,$A$10:$A$1009,"&lt;="&amp;A926,$A$10:$A$1009,"&gt;="&amp;(A926-$C$6)))</f>
        <v/>
      </c>
      <c r="P926" s="18">
        <f>IF(OR(N926="",N926=0),"",M926/N926-1)</f>
        <v/>
      </c>
      <c r="Q926">
        <f>IF(D926="","",IF(COUNTIFS($B$10:$B$1009,B926,$C$10:$C$1009,C926,$D$10:$D$1009,D926,$E$10:$E$1009,E926)&gt;1,"MÜKERRER?",IF(P926="","",IF(P926&gt;=$C$5,"İNCELE",IF(P926&lt;=-$C$5,"Düşük",""))))</f>
        <v/>
      </c>
      <c r="R926" s="16">
        <f>IF(AND(P926&lt;&gt;"",N(P926)&gt;=$C$5,COUNTIFS($B$10:B926,B926,$C$10:C926,C926,$D$10:D926,D926,$E$10:E926,E926)=1),(M926-N926)*E926*L926,0)</f>
        <v/>
      </c>
      <c r="S926" s="19">
        <f>IF(D926="",0,N(E926)*L926)</f>
        <v/>
      </c>
    </row>
    <row r="927">
      <c r="A927" s="11" t="n"/>
      <c r="B927" s="12" t="n"/>
      <c r="C927" s="12" t="n"/>
      <c r="D927" s="12" t="n"/>
      <c r="E927" s="13" t="n"/>
      <c r="F927" s="12" t="n"/>
      <c r="G927" s="14" t="n"/>
      <c r="H927" s="15" t="n"/>
      <c r="I927" s="16">
        <f>IF(G927="","",G927*(1-N(H927)))</f>
        <v/>
      </c>
      <c r="J927" s="16">
        <f>IF(I927="","",E927*I927)</f>
        <v/>
      </c>
      <c r="K927">
        <f>IF(D927="","",IFERROR(VLOOKUP(D927,'Ürün Eşleştirme'!$A$6:$D$505,2,FALSE),D927))</f>
        <v/>
      </c>
      <c r="L927" s="17">
        <f>IF(D927="","",IFERROR(VLOOKUP(D927,'Ürün Eşleştirme'!$A$6:$D$505,4,FALSE),1))</f>
        <v/>
      </c>
      <c r="M927" s="16">
        <f>IF(I927="","",I927/L927)</f>
        <v/>
      </c>
      <c r="N927" s="16">
        <f>IF(M927="","",IFERROR(AVERAGEIFS($M$10:$M$1009,$K$10:$K$1009,K927,$A$10:$A$1009,"&lt;"&amp;A927,$A$10:$A$1009,"&gt;="&amp;(A927-$C$6)),""))</f>
        <v/>
      </c>
      <c r="O927" s="16">
        <f>IF(M927="","",_xlfn.MINIFS($M$10:$M$1009,$K$10:$K$1009,K927,$A$10:$A$1009,"&lt;="&amp;A927,$A$10:$A$1009,"&gt;="&amp;(A927-$C$6)))</f>
        <v/>
      </c>
      <c r="P927" s="18">
        <f>IF(OR(N927="",N927=0),"",M927/N927-1)</f>
        <v/>
      </c>
      <c r="Q927">
        <f>IF(D927="","",IF(COUNTIFS($B$10:$B$1009,B927,$C$10:$C$1009,C927,$D$10:$D$1009,D927,$E$10:$E$1009,E927)&gt;1,"MÜKERRER?",IF(P927="","",IF(P927&gt;=$C$5,"İNCELE",IF(P927&lt;=-$C$5,"Düşük",""))))</f>
        <v/>
      </c>
      <c r="R927" s="16">
        <f>IF(AND(P927&lt;&gt;"",N(P927)&gt;=$C$5,COUNTIFS($B$10:B927,B927,$C$10:C927,C927,$D$10:D927,D927,$E$10:E927,E927)=1),(M927-N927)*E927*L927,0)</f>
        <v/>
      </c>
      <c r="S927" s="19">
        <f>IF(D927="",0,N(E927)*L927)</f>
        <v/>
      </c>
    </row>
    <row r="928">
      <c r="A928" s="11" t="n"/>
      <c r="B928" s="12" t="n"/>
      <c r="C928" s="12" t="n"/>
      <c r="D928" s="12" t="n"/>
      <c r="E928" s="13" t="n"/>
      <c r="F928" s="12" t="n"/>
      <c r="G928" s="14" t="n"/>
      <c r="H928" s="15" t="n"/>
      <c r="I928" s="16">
        <f>IF(G928="","",G928*(1-N(H928)))</f>
        <v/>
      </c>
      <c r="J928" s="16">
        <f>IF(I928="","",E928*I928)</f>
        <v/>
      </c>
      <c r="K928">
        <f>IF(D928="","",IFERROR(VLOOKUP(D928,'Ürün Eşleştirme'!$A$6:$D$505,2,FALSE),D928))</f>
        <v/>
      </c>
      <c r="L928" s="17">
        <f>IF(D928="","",IFERROR(VLOOKUP(D928,'Ürün Eşleştirme'!$A$6:$D$505,4,FALSE),1))</f>
        <v/>
      </c>
      <c r="M928" s="16">
        <f>IF(I928="","",I928/L928)</f>
        <v/>
      </c>
      <c r="N928" s="16">
        <f>IF(M928="","",IFERROR(AVERAGEIFS($M$10:$M$1009,$K$10:$K$1009,K928,$A$10:$A$1009,"&lt;"&amp;A928,$A$10:$A$1009,"&gt;="&amp;(A928-$C$6)),""))</f>
        <v/>
      </c>
      <c r="O928" s="16">
        <f>IF(M928="","",_xlfn.MINIFS($M$10:$M$1009,$K$10:$K$1009,K928,$A$10:$A$1009,"&lt;="&amp;A928,$A$10:$A$1009,"&gt;="&amp;(A928-$C$6)))</f>
        <v/>
      </c>
      <c r="P928" s="18">
        <f>IF(OR(N928="",N928=0),"",M928/N928-1)</f>
        <v/>
      </c>
      <c r="Q928">
        <f>IF(D928="","",IF(COUNTIFS($B$10:$B$1009,B928,$C$10:$C$1009,C928,$D$10:$D$1009,D928,$E$10:$E$1009,E928)&gt;1,"MÜKERRER?",IF(P928="","",IF(P928&gt;=$C$5,"İNCELE",IF(P928&lt;=-$C$5,"Düşük",""))))</f>
        <v/>
      </c>
      <c r="R928" s="16">
        <f>IF(AND(P928&lt;&gt;"",N(P928)&gt;=$C$5,COUNTIFS($B$10:B928,B928,$C$10:C928,C928,$D$10:D928,D928,$E$10:E928,E928)=1),(M928-N928)*E928*L928,0)</f>
        <v/>
      </c>
      <c r="S928" s="19">
        <f>IF(D928="",0,N(E928)*L928)</f>
        <v/>
      </c>
    </row>
    <row r="929">
      <c r="A929" s="11" t="n"/>
      <c r="B929" s="12" t="n"/>
      <c r="C929" s="12" t="n"/>
      <c r="D929" s="12" t="n"/>
      <c r="E929" s="13" t="n"/>
      <c r="F929" s="12" t="n"/>
      <c r="G929" s="14" t="n"/>
      <c r="H929" s="15" t="n"/>
      <c r="I929" s="16">
        <f>IF(G929="","",G929*(1-N(H929)))</f>
        <v/>
      </c>
      <c r="J929" s="16">
        <f>IF(I929="","",E929*I929)</f>
        <v/>
      </c>
      <c r="K929">
        <f>IF(D929="","",IFERROR(VLOOKUP(D929,'Ürün Eşleştirme'!$A$6:$D$505,2,FALSE),D929))</f>
        <v/>
      </c>
      <c r="L929" s="17">
        <f>IF(D929="","",IFERROR(VLOOKUP(D929,'Ürün Eşleştirme'!$A$6:$D$505,4,FALSE),1))</f>
        <v/>
      </c>
      <c r="M929" s="16">
        <f>IF(I929="","",I929/L929)</f>
        <v/>
      </c>
      <c r="N929" s="16">
        <f>IF(M929="","",IFERROR(AVERAGEIFS($M$10:$M$1009,$K$10:$K$1009,K929,$A$10:$A$1009,"&lt;"&amp;A929,$A$10:$A$1009,"&gt;="&amp;(A929-$C$6)),""))</f>
        <v/>
      </c>
      <c r="O929" s="16">
        <f>IF(M929="","",_xlfn.MINIFS($M$10:$M$1009,$K$10:$K$1009,K929,$A$10:$A$1009,"&lt;="&amp;A929,$A$10:$A$1009,"&gt;="&amp;(A929-$C$6)))</f>
        <v/>
      </c>
      <c r="P929" s="18">
        <f>IF(OR(N929="",N929=0),"",M929/N929-1)</f>
        <v/>
      </c>
      <c r="Q929">
        <f>IF(D929="","",IF(COUNTIFS($B$10:$B$1009,B929,$C$10:$C$1009,C929,$D$10:$D$1009,D929,$E$10:$E$1009,E929)&gt;1,"MÜKERRER?",IF(P929="","",IF(P929&gt;=$C$5,"İNCELE",IF(P929&lt;=-$C$5,"Düşük",""))))</f>
        <v/>
      </c>
      <c r="R929" s="16">
        <f>IF(AND(P929&lt;&gt;"",N(P929)&gt;=$C$5,COUNTIFS($B$10:B929,B929,$C$10:C929,C929,$D$10:D929,D929,$E$10:E929,E929)=1),(M929-N929)*E929*L929,0)</f>
        <v/>
      </c>
      <c r="S929" s="19">
        <f>IF(D929="",0,N(E929)*L929)</f>
        <v/>
      </c>
    </row>
    <row r="930">
      <c r="A930" s="11" t="n"/>
      <c r="B930" s="12" t="n"/>
      <c r="C930" s="12" t="n"/>
      <c r="D930" s="12" t="n"/>
      <c r="E930" s="13" t="n"/>
      <c r="F930" s="12" t="n"/>
      <c r="G930" s="14" t="n"/>
      <c r="H930" s="15" t="n"/>
      <c r="I930" s="16">
        <f>IF(G930="","",G930*(1-N(H930)))</f>
        <v/>
      </c>
      <c r="J930" s="16">
        <f>IF(I930="","",E930*I930)</f>
        <v/>
      </c>
      <c r="K930">
        <f>IF(D930="","",IFERROR(VLOOKUP(D930,'Ürün Eşleştirme'!$A$6:$D$505,2,FALSE),D930))</f>
        <v/>
      </c>
      <c r="L930" s="17">
        <f>IF(D930="","",IFERROR(VLOOKUP(D930,'Ürün Eşleştirme'!$A$6:$D$505,4,FALSE),1))</f>
        <v/>
      </c>
      <c r="M930" s="16">
        <f>IF(I930="","",I930/L930)</f>
        <v/>
      </c>
      <c r="N930" s="16">
        <f>IF(M930="","",IFERROR(AVERAGEIFS($M$10:$M$1009,$K$10:$K$1009,K930,$A$10:$A$1009,"&lt;"&amp;A930,$A$10:$A$1009,"&gt;="&amp;(A930-$C$6)),""))</f>
        <v/>
      </c>
      <c r="O930" s="16">
        <f>IF(M930="","",_xlfn.MINIFS($M$10:$M$1009,$K$10:$K$1009,K930,$A$10:$A$1009,"&lt;="&amp;A930,$A$10:$A$1009,"&gt;="&amp;(A930-$C$6)))</f>
        <v/>
      </c>
      <c r="P930" s="18">
        <f>IF(OR(N930="",N930=0),"",M930/N930-1)</f>
        <v/>
      </c>
      <c r="Q930">
        <f>IF(D930="","",IF(COUNTIFS($B$10:$B$1009,B930,$C$10:$C$1009,C930,$D$10:$D$1009,D930,$E$10:$E$1009,E930)&gt;1,"MÜKERRER?",IF(P930="","",IF(P930&gt;=$C$5,"İNCELE",IF(P930&lt;=-$C$5,"Düşük",""))))</f>
        <v/>
      </c>
      <c r="R930" s="16">
        <f>IF(AND(P930&lt;&gt;"",N(P930)&gt;=$C$5,COUNTIFS($B$10:B930,B930,$C$10:C930,C930,$D$10:D930,D930,$E$10:E930,E930)=1),(M930-N930)*E930*L930,0)</f>
        <v/>
      </c>
      <c r="S930" s="19">
        <f>IF(D930="",0,N(E930)*L930)</f>
        <v/>
      </c>
    </row>
    <row r="931">
      <c r="A931" s="11" t="n"/>
      <c r="B931" s="12" t="n"/>
      <c r="C931" s="12" t="n"/>
      <c r="D931" s="12" t="n"/>
      <c r="E931" s="13" t="n"/>
      <c r="F931" s="12" t="n"/>
      <c r="G931" s="14" t="n"/>
      <c r="H931" s="15" t="n"/>
      <c r="I931" s="16">
        <f>IF(G931="","",G931*(1-N(H931)))</f>
        <v/>
      </c>
      <c r="J931" s="16">
        <f>IF(I931="","",E931*I931)</f>
        <v/>
      </c>
      <c r="K931">
        <f>IF(D931="","",IFERROR(VLOOKUP(D931,'Ürün Eşleştirme'!$A$6:$D$505,2,FALSE),D931))</f>
        <v/>
      </c>
      <c r="L931" s="17">
        <f>IF(D931="","",IFERROR(VLOOKUP(D931,'Ürün Eşleştirme'!$A$6:$D$505,4,FALSE),1))</f>
        <v/>
      </c>
      <c r="M931" s="16">
        <f>IF(I931="","",I931/L931)</f>
        <v/>
      </c>
      <c r="N931" s="16">
        <f>IF(M931="","",IFERROR(AVERAGEIFS($M$10:$M$1009,$K$10:$K$1009,K931,$A$10:$A$1009,"&lt;"&amp;A931,$A$10:$A$1009,"&gt;="&amp;(A931-$C$6)),""))</f>
        <v/>
      </c>
      <c r="O931" s="16">
        <f>IF(M931="","",_xlfn.MINIFS($M$10:$M$1009,$K$10:$K$1009,K931,$A$10:$A$1009,"&lt;="&amp;A931,$A$10:$A$1009,"&gt;="&amp;(A931-$C$6)))</f>
        <v/>
      </c>
      <c r="P931" s="18">
        <f>IF(OR(N931="",N931=0),"",M931/N931-1)</f>
        <v/>
      </c>
      <c r="Q931">
        <f>IF(D931="","",IF(COUNTIFS($B$10:$B$1009,B931,$C$10:$C$1009,C931,$D$10:$D$1009,D931,$E$10:$E$1009,E931)&gt;1,"MÜKERRER?",IF(P931="","",IF(P931&gt;=$C$5,"İNCELE",IF(P931&lt;=-$C$5,"Düşük",""))))</f>
        <v/>
      </c>
      <c r="R931" s="16">
        <f>IF(AND(P931&lt;&gt;"",N(P931)&gt;=$C$5,COUNTIFS($B$10:B931,B931,$C$10:C931,C931,$D$10:D931,D931,$E$10:E931,E931)=1),(M931-N931)*E931*L931,0)</f>
        <v/>
      </c>
      <c r="S931" s="19">
        <f>IF(D931="",0,N(E931)*L931)</f>
        <v/>
      </c>
    </row>
    <row r="932">
      <c r="A932" s="11" t="n"/>
      <c r="B932" s="12" t="n"/>
      <c r="C932" s="12" t="n"/>
      <c r="D932" s="12" t="n"/>
      <c r="E932" s="13" t="n"/>
      <c r="F932" s="12" t="n"/>
      <c r="G932" s="14" t="n"/>
      <c r="H932" s="15" t="n"/>
      <c r="I932" s="16">
        <f>IF(G932="","",G932*(1-N(H932)))</f>
        <v/>
      </c>
      <c r="J932" s="16">
        <f>IF(I932="","",E932*I932)</f>
        <v/>
      </c>
      <c r="K932">
        <f>IF(D932="","",IFERROR(VLOOKUP(D932,'Ürün Eşleştirme'!$A$6:$D$505,2,FALSE),D932))</f>
        <v/>
      </c>
      <c r="L932" s="17">
        <f>IF(D932="","",IFERROR(VLOOKUP(D932,'Ürün Eşleştirme'!$A$6:$D$505,4,FALSE),1))</f>
        <v/>
      </c>
      <c r="M932" s="16">
        <f>IF(I932="","",I932/L932)</f>
        <v/>
      </c>
      <c r="N932" s="16">
        <f>IF(M932="","",IFERROR(AVERAGEIFS($M$10:$M$1009,$K$10:$K$1009,K932,$A$10:$A$1009,"&lt;"&amp;A932,$A$10:$A$1009,"&gt;="&amp;(A932-$C$6)),""))</f>
        <v/>
      </c>
      <c r="O932" s="16">
        <f>IF(M932="","",_xlfn.MINIFS($M$10:$M$1009,$K$10:$K$1009,K932,$A$10:$A$1009,"&lt;="&amp;A932,$A$10:$A$1009,"&gt;="&amp;(A932-$C$6)))</f>
        <v/>
      </c>
      <c r="P932" s="18">
        <f>IF(OR(N932="",N932=0),"",M932/N932-1)</f>
        <v/>
      </c>
      <c r="Q932">
        <f>IF(D932="","",IF(COUNTIFS($B$10:$B$1009,B932,$C$10:$C$1009,C932,$D$10:$D$1009,D932,$E$10:$E$1009,E932)&gt;1,"MÜKERRER?",IF(P932="","",IF(P932&gt;=$C$5,"İNCELE",IF(P932&lt;=-$C$5,"Düşük",""))))</f>
        <v/>
      </c>
      <c r="R932" s="16">
        <f>IF(AND(P932&lt;&gt;"",N(P932)&gt;=$C$5,COUNTIFS($B$10:B932,B932,$C$10:C932,C932,$D$10:D932,D932,$E$10:E932,E932)=1),(M932-N932)*E932*L932,0)</f>
        <v/>
      </c>
      <c r="S932" s="19">
        <f>IF(D932="",0,N(E932)*L932)</f>
        <v/>
      </c>
    </row>
    <row r="933">
      <c r="A933" s="11" t="n"/>
      <c r="B933" s="12" t="n"/>
      <c r="C933" s="12" t="n"/>
      <c r="D933" s="12" t="n"/>
      <c r="E933" s="13" t="n"/>
      <c r="F933" s="12" t="n"/>
      <c r="G933" s="14" t="n"/>
      <c r="H933" s="15" t="n"/>
      <c r="I933" s="16">
        <f>IF(G933="","",G933*(1-N(H933)))</f>
        <v/>
      </c>
      <c r="J933" s="16">
        <f>IF(I933="","",E933*I933)</f>
        <v/>
      </c>
      <c r="K933">
        <f>IF(D933="","",IFERROR(VLOOKUP(D933,'Ürün Eşleştirme'!$A$6:$D$505,2,FALSE),D933))</f>
        <v/>
      </c>
      <c r="L933" s="17">
        <f>IF(D933="","",IFERROR(VLOOKUP(D933,'Ürün Eşleştirme'!$A$6:$D$505,4,FALSE),1))</f>
        <v/>
      </c>
      <c r="M933" s="16">
        <f>IF(I933="","",I933/L933)</f>
        <v/>
      </c>
      <c r="N933" s="16">
        <f>IF(M933="","",IFERROR(AVERAGEIFS($M$10:$M$1009,$K$10:$K$1009,K933,$A$10:$A$1009,"&lt;"&amp;A933,$A$10:$A$1009,"&gt;="&amp;(A933-$C$6)),""))</f>
        <v/>
      </c>
      <c r="O933" s="16">
        <f>IF(M933="","",_xlfn.MINIFS($M$10:$M$1009,$K$10:$K$1009,K933,$A$10:$A$1009,"&lt;="&amp;A933,$A$10:$A$1009,"&gt;="&amp;(A933-$C$6)))</f>
        <v/>
      </c>
      <c r="P933" s="18">
        <f>IF(OR(N933="",N933=0),"",M933/N933-1)</f>
        <v/>
      </c>
      <c r="Q933">
        <f>IF(D933="","",IF(COUNTIFS($B$10:$B$1009,B933,$C$10:$C$1009,C933,$D$10:$D$1009,D933,$E$10:$E$1009,E933)&gt;1,"MÜKERRER?",IF(P933="","",IF(P933&gt;=$C$5,"İNCELE",IF(P933&lt;=-$C$5,"Düşük",""))))</f>
        <v/>
      </c>
      <c r="R933" s="16">
        <f>IF(AND(P933&lt;&gt;"",N(P933)&gt;=$C$5,COUNTIFS($B$10:B933,B933,$C$10:C933,C933,$D$10:D933,D933,$E$10:E933,E933)=1),(M933-N933)*E933*L933,0)</f>
        <v/>
      </c>
      <c r="S933" s="19">
        <f>IF(D933="",0,N(E933)*L933)</f>
        <v/>
      </c>
    </row>
    <row r="934">
      <c r="A934" s="11" t="n"/>
      <c r="B934" s="12" t="n"/>
      <c r="C934" s="12" t="n"/>
      <c r="D934" s="12" t="n"/>
      <c r="E934" s="13" t="n"/>
      <c r="F934" s="12" t="n"/>
      <c r="G934" s="14" t="n"/>
      <c r="H934" s="15" t="n"/>
      <c r="I934" s="16">
        <f>IF(G934="","",G934*(1-N(H934)))</f>
        <v/>
      </c>
      <c r="J934" s="16">
        <f>IF(I934="","",E934*I934)</f>
        <v/>
      </c>
      <c r="K934">
        <f>IF(D934="","",IFERROR(VLOOKUP(D934,'Ürün Eşleştirme'!$A$6:$D$505,2,FALSE),D934))</f>
        <v/>
      </c>
      <c r="L934" s="17">
        <f>IF(D934="","",IFERROR(VLOOKUP(D934,'Ürün Eşleştirme'!$A$6:$D$505,4,FALSE),1))</f>
        <v/>
      </c>
      <c r="M934" s="16">
        <f>IF(I934="","",I934/L934)</f>
        <v/>
      </c>
      <c r="N934" s="16">
        <f>IF(M934="","",IFERROR(AVERAGEIFS($M$10:$M$1009,$K$10:$K$1009,K934,$A$10:$A$1009,"&lt;"&amp;A934,$A$10:$A$1009,"&gt;="&amp;(A934-$C$6)),""))</f>
        <v/>
      </c>
      <c r="O934" s="16">
        <f>IF(M934="","",_xlfn.MINIFS($M$10:$M$1009,$K$10:$K$1009,K934,$A$10:$A$1009,"&lt;="&amp;A934,$A$10:$A$1009,"&gt;="&amp;(A934-$C$6)))</f>
        <v/>
      </c>
      <c r="P934" s="18">
        <f>IF(OR(N934="",N934=0),"",M934/N934-1)</f>
        <v/>
      </c>
      <c r="Q934">
        <f>IF(D934="","",IF(COUNTIFS($B$10:$B$1009,B934,$C$10:$C$1009,C934,$D$10:$D$1009,D934,$E$10:$E$1009,E934)&gt;1,"MÜKERRER?",IF(P934="","",IF(P934&gt;=$C$5,"İNCELE",IF(P934&lt;=-$C$5,"Düşük",""))))</f>
        <v/>
      </c>
      <c r="R934" s="16">
        <f>IF(AND(P934&lt;&gt;"",N(P934)&gt;=$C$5,COUNTIFS($B$10:B934,B934,$C$10:C934,C934,$D$10:D934,D934,$E$10:E934,E934)=1),(M934-N934)*E934*L934,0)</f>
        <v/>
      </c>
      <c r="S934" s="19">
        <f>IF(D934="",0,N(E934)*L934)</f>
        <v/>
      </c>
    </row>
    <row r="935">
      <c r="A935" s="11" t="n"/>
      <c r="B935" s="12" t="n"/>
      <c r="C935" s="12" t="n"/>
      <c r="D935" s="12" t="n"/>
      <c r="E935" s="13" t="n"/>
      <c r="F935" s="12" t="n"/>
      <c r="G935" s="14" t="n"/>
      <c r="H935" s="15" t="n"/>
      <c r="I935" s="16">
        <f>IF(G935="","",G935*(1-N(H935)))</f>
        <v/>
      </c>
      <c r="J935" s="16">
        <f>IF(I935="","",E935*I935)</f>
        <v/>
      </c>
      <c r="K935">
        <f>IF(D935="","",IFERROR(VLOOKUP(D935,'Ürün Eşleştirme'!$A$6:$D$505,2,FALSE),D935))</f>
        <v/>
      </c>
      <c r="L935" s="17">
        <f>IF(D935="","",IFERROR(VLOOKUP(D935,'Ürün Eşleştirme'!$A$6:$D$505,4,FALSE),1))</f>
        <v/>
      </c>
      <c r="M935" s="16">
        <f>IF(I935="","",I935/L935)</f>
        <v/>
      </c>
      <c r="N935" s="16">
        <f>IF(M935="","",IFERROR(AVERAGEIFS($M$10:$M$1009,$K$10:$K$1009,K935,$A$10:$A$1009,"&lt;"&amp;A935,$A$10:$A$1009,"&gt;="&amp;(A935-$C$6)),""))</f>
        <v/>
      </c>
      <c r="O935" s="16">
        <f>IF(M935="","",_xlfn.MINIFS($M$10:$M$1009,$K$10:$K$1009,K935,$A$10:$A$1009,"&lt;="&amp;A935,$A$10:$A$1009,"&gt;="&amp;(A935-$C$6)))</f>
        <v/>
      </c>
      <c r="P935" s="18">
        <f>IF(OR(N935="",N935=0),"",M935/N935-1)</f>
        <v/>
      </c>
      <c r="Q935">
        <f>IF(D935="","",IF(COUNTIFS($B$10:$B$1009,B935,$C$10:$C$1009,C935,$D$10:$D$1009,D935,$E$10:$E$1009,E935)&gt;1,"MÜKERRER?",IF(P935="","",IF(P935&gt;=$C$5,"İNCELE",IF(P935&lt;=-$C$5,"Düşük",""))))</f>
        <v/>
      </c>
      <c r="R935" s="16">
        <f>IF(AND(P935&lt;&gt;"",N(P935)&gt;=$C$5,COUNTIFS($B$10:B935,B935,$C$10:C935,C935,$D$10:D935,D935,$E$10:E935,E935)=1),(M935-N935)*E935*L935,0)</f>
        <v/>
      </c>
      <c r="S935" s="19">
        <f>IF(D935="",0,N(E935)*L935)</f>
        <v/>
      </c>
    </row>
    <row r="936">
      <c r="A936" s="11" t="n"/>
      <c r="B936" s="12" t="n"/>
      <c r="C936" s="12" t="n"/>
      <c r="D936" s="12" t="n"/>
      <c r="E936" s="13" t="n"/>
      <c r="F936" s="12" t="n"/>
      <c r="G936" s="14" t="n"/>
      <c r="H936" s="15" t="n"/>
      <c r="I936" s="16">
        <f>IF(G936="","",G936*(1-N(H936)))</f>
        <v/>
      </c>
      <c r="J936" s="16">
        <f>IF(I936="","",E936*I936)</f>
        <v/>
      </c>
      <c r="K936">
        <f>IF(D936="","",IFERROR(VLOOKUP(D936,'Ürün Eşleştirme'!$A$6:$D$505,2,FALSE),D936))</f>
        <v/>
      </c>
      <c r="L936" s="17">
        <f>IF(D936="","",IFERROR(VLOOKUP(D936,'Ürün Eşleştirme'!$A$6:$D$505,4,FALSE),1))</f>
        <v/>
      </c>
      <c r="M936" s="16">
        <f>IF(I936="","",I936/L936)</f>
        <v/>
      </c>
      <c r="N936" s="16">
        <f>IF(M936="","",IFERROR(AVERAGEIFS($M$10:$M$1009,$K$10:$K$1009,K936,$A$10:$A$1009,"&lt;"&amp;A936,$A$10:$A$1009,"&gt;="&amp;(A936-$C$6)),""))</f>
        <v/>
      </c>
      <c r="O936" s="16">
        <f>IF(M936="","",_xlfn.MINIFS($M$10:$M$1009,$K$10:$K$1009,K936,$A$10:$A$1009,"&lt;="&amp;A936,$A$10:$A$1009,"&gt;="&amp;(A936-$C$6)))</f>
        <v/>
      </c>
      <c r="P936" s="18">
        <f>IF(OR(N936="",N936=0),"",M936/N936-1)</f>
        <v/>
      </c>
      <c r="Q936">
        <f>IF(D936="","",IF(COUNTIFS($B$10:$B$1009,B936,$C$10:$C$1009,C936,$D$10:$D$1009,D936,$E$10:$E$1009,E936)&gt;1,"MÜKERRER?",IF(P936="","",IF(P936&gt;=$C$5,"İNCELE",IF(P936&lt;=-$C$5,"Düşük",""))))</f>
        <v/>
      </c>
      <c r="R936" s="16">
        <f>IF(AND(P936&lt;&gt;"",N(P936)&gt;=$C$5,COUNTIFS($B$10:B936,B936,$C$10:C936,C936,$D$10:D936,D936,$E$10:E936,E936)=1),(M936-N936)*E936*L936,0)</f>
        <v/>
      </c>
      <c r="S936" s="19">
        <f>IF(D936="",0,N(E936)*L936)</f>
        <v/>
      </c>
    </row>
    <row r="937">
      <c r="A937" s="11" t="n"/>
      <c r="B937" s="12" t="n"/>
      <c r="C937" s="12" t="n"/>
      <c r="D937" s="12" t="n"/>
      <c r="E937" s="13" t="n"/>
      <c r="F937" s="12" t="n"/>
      <c r="G937" s="14" t="n"/>
      <c r="H937" s="15" t="n"/>
      <c r="I937" s="16">
        <f>IF(G937="","",G937*(1-N(H937)))</f>
        <v/>
      </c>
      <c r="J937" s="16">
        <f>IF(I937="","",E937*I937)</f>
        <v/>
      </c>
      <c r="K937">
        <f>IF(D937="","",IFERROR(VLOOKUP(D937,'Ürün Eşleştirme'!$A$6:$D$505,2,FALSE),D937))</f>
        <v/>
      </c>
      <c r="L937" s="17">
        <f>IF(D937="","",IFERROR(VLOOKUP(D937,'Ürün Eşleştirme'!$A$6:$D$505,4,FALSE),1))</f>
        <v/>
      </c>
      <c r="M937" s="16">
        <f>IF(I937="","",I937/L937)</f>
        <v/>
      </c>
      <c r="N937" s="16">
        <f>IF(M937="","",IFERROR(AVERAGEIFS($M$10:$M$1009,$K$10:$K$1009,K937,$A$10:$A$1009,"&lt;"&amp;A937,$A$10:$A$1009,"&gt;="&amp;(A937-$C$6)),""))</f>
        <v/>
      </c>
      <c r="O937" s="16">
        <f>IF(M937="","",_xlfn.MINIFS($M$10:$M$1009,$K$10:$K$1009,K937,$A$10:$A$1009,"&lt;="&amp;A937,$A$10:$A$1009,"&gt;="&amp;(A937-$C$6)))</f>
        <v/>
      </c>
      <c r="P937" s="18">
        <f>IF(OR(N937="",N937=0),"",M937/N937-1)</f>
        <v/>
      </c>
      <c r="Q937">
        <f>IF(D937="","",IF(COUNTIFS($B$10:$B$1009,B937,$C$10:$C$1009,C937,$D$10:$D$1009,D937,$E$10:$E$1009,E937)&gt;1,"MÜKERRER?",IF(P937="","",IF(P937&gt;=$C$5,"İNCELE",IF(P937&lt;=-$C$5,"Düşük",""))))</f>
        <v/>
      </c>
      <c r="R937" s="16">
        <f>IF(AND(P937&lt;&gt;"",N(P937)&gt;=$C$5,COUNTIFS($B$10:B937,B937,$C$10:C937,C937,$D$10:D937,D937,$E$10:E937,E937)=1),(M937-N937)*E937*L937,0)</f>
        <v/>
      </c>
      <c r="S937" s="19">
        <f>IF(D937="",0,N(E937)*L937)</f>
        <v/>
      </c>
    </row>
    <row r="938">
      <c r="A938" s="11" t="n"/>
      <c r="B938" s="12" t="n"/>
      <c r="C938" s="12" t="n"/>
      <c r="D938" s="12" t="n"/>
      <c r="E938" s="13" t="n"/>
      <c r="F938" s="12" t="n"/>
      <c r="G938" s="14" t="n"/>
      <c r="H938" s="15" t="n"/>
      <c r="I938" s="16">
        <f>IF(G938="","",G938*(1-N(H938)))</f>
        <v/>
      </c>
      <c r="J938" s="16">
        <f>IF(I938="","",E938*I938)</f>
        <v/>
      </c>
      <c r="K938">
        <f>IF(D938="","",IFERROR(VLOOKUP(D938,'Ürün Eşleştirme'!$A$6:$D$505,2,FALSE),D938))</f>
        <v/>
      </c>
      <c r="L938" s="17">
        <f>IF(D938="","",IFERROR(VLOOKUP(D938,'Ürün Eşleştirme'!$A$6:$D$505,4,FALSE),1))</f>
        <v/>
      </c>
      <c r="M938" s="16">
        <f>IF(I938="","",I938/L938)</f>
        <v/>
      </c>
      <c r="N938" s="16">
        <f>IF(M938="","",IFERROR(AVERAGEIFS($M$10:$M$1009,$K$10:$K$1009,K938,$A$10:$A$1009,"&lt;"&amp;A938,$A$10:$A$1009,"&gt;="&amp;(A938-$C$6)),""))</f>
        <v/>
      </c>
      <c r="O938" s="16">
        <f>IF(M938="","",_xlfn.MINIFS($M$10:$M$1009,$K$10:$K$1009,K938,$A$10:$A$1009,"&lt;="&amp;A938,$A$10:$A$1009,"&gt;="&amp;(A938-$C$6)))</f>
        <v/>
      </c>
      <c r="P938" s="18">
        <f>IF(OR(N938="",N938=0),"",M938/N938-1)</f>
        <v/>
      </c>
      <c r="Q938">
        <f>IF(D938="","",IF(COUNTIFS($B$10:$B$1009,B938,$C$10:$C$1009,C938,$D$10:$D$1009,D938,$E$10:$E$1009,E938)&gt;1,"MÜKERRER?",IF(P938="","",IF(P938&gt;=$C$5,"İNCELE",IF(P938&lt;=-$C$5,"Düşük",""))))</f>
        <v/>
      </c>
      <c r="R938" s="16">
        <f>IF(AND(P938&lt;&gt;"",N(P938)&gt;=$C$5,COUNTIFS($B$10:B938,B938,$C$10:C938,C938,$D$10:D938,D938,$E$10:E938,E938)=1),(M938-N938)*E938*L938,0)</f>
        <v/>
      </c>
      <c r="S938" s="19">
        <f>IF(D938="",0,N(E938)*L938)</f>
        <v/>
      </c>
    </row>
    <row r="939">
      <c r="A939" s="11" t="n"/>
      <c r="B939" s="12" t="n"/>
      <c r="C939" s="12" t="n"/>
      <c r="D939" s="12" t="n"/>
      <c r="E939" s="13" t="n"/>
      <c r="F939" s="12" t="n"/>
      <c r="G939" s="14" t="n"/>
      <c r="H939" s="15" t="n"/>
      <c r="I939" s="16">
        <f>IF(G939="","",G939*(1-N(H939)))</f>
        <v/>
      </c>
      <c r="J939" s="16">
        <f>IF(I939="","",E939*I939)</f>
        <v/>
      </c>
      <c r="K939">
        <f>IF(D939="","",IFERROR(VLOOKUP(D939,'Ürün Eşleştirme'!$A$6:$D$505,2,FALSE),D939))</f>
        <v/>
      </c>
      <c r="L939" s="17">
        <f>IF(D939="","",IFERROR(VLOOKUP(D939,'Ürün Eşleştirme'!$A$6:$D$505,4,FALSE),1))</f>
        <v/>
      </c>
      <c r="M939" s="16">
        <f>IF(I939="","",I939/L939)</f>
        <v/>
      </c>
      <c r="N939" s="16">
        <f>IF(M939="","",IFERROR(AVERAGEIFS($M$10:$M$1009,$K$10:$K$1009,K939,$A$10:$A$1009,"&lt;"&amp;A939,$A$10:$A$1009,"&gt;="&amp;(A939-$C$6)),""))</f>
        <v/>
      </c>
      <c r="O939" s="16">
        <f>IF(M939="","",_xlfn.MINIFS($M$10:$M$1009,$K$10:$K$1009,K939,$A$10:$A$1009,"&lt;="&amp;A939,$A$10:$A$1009,"&gt;="&amp;(A939-$C$6)))</f>
        <v/>
      </c>
      <c r="P939" s="18">
        <f>IF(OR(N939="",N939=0),"",M939/N939-1)</f>
        <v/>
      </c>
      <c r="Q939">
        <f>IF(D939="","",IF(COUNTIFS($B$10:$B$1009,B939,$C$10:$C$1009,C939,$D$10:$D$1009,D939,$E$10:$E$1009,E939)&gt;1,"MÜKERRER?",IF(P939="","",IF(P939&gt;=$C$5,"İNCELE",IF(P939&lt;=-$C$5,"Düşük",""))))</f>
        <v/>
      </c>
      <c r="R939" s="16">
        <f>IF(AND(P939&lt;&gt;"",N(P939)&gt;=$C$5,COUNTIFS($B$10:B939,B939,$C$10:C939,C939,$D$10:D939,D939,$E$10:E939,E939)=1),(M939-N939)*E939*L939,0)</f>
        <v/>
      </c>
      <c r="S939" s="19">
        <f>IF(D939="",0,N(E939)*L939)</f>
        <v/>
      </c>
    </row>
    <row r="940">
      <c r="A940" s="11" t="n"/>
      <c r="B940" s="12" t="n"/>
      <c r="C940" s="12" t="n"/>
      <c r="D940" s="12" t="n"/>
      <c r="E940" s="13" t="n"/>
      <c r="F940" s="12" t="n"/>
      <c r="G940" s="14" t="n"/>
      <c r="H940" s="15" t="n"/>
      <c r="I940" s="16">
        <f>IF(G940="","",G940*(1-N(H940)))</f>
        <v/>
      </c>
      <c r="J940" s="16">
        <f>IF(I940="","",E940*I940)</f>
        <v/>
      </c>
      <c r="K940">
        <f>IF(D940="","",IFERROR(VLOOKUP(D940,'Ürün Eşleştirme'!$A$6:$D$505,2,FALSE),D940))</f>
        <v/>
      </c>
      <c r="L940" s="17">
        <f>IF(D940="","",IFERROR(VLOOKUP(D940,'Ürün Eşleştirme'!$A$6:$D$505,4,FALSE),1))</f>
        <v/>
      </c>
      <c r="M940" s="16">
        <f>IF(I940="","",I940/L940)</f>
        <v/>
      </c>
      <c r="N940" s="16">
        <f>IF(M940="","",IFERROR(AVERAGEIFS($M$10:$M$1009,$K$10:$K$1009,K940,$A$10:$A$1009,"&lt;"&amp;A940,$A$10:$A$1009,"&gt;="&amp;(A940-$C$6)),""))</f>
        <v/>
      </c>
      <c r="O940" s="16">
        <f>IF(M940="","",_xlfn.MINIFS($M$10:$M$1009,$K$10:$K$1009,K940,$A$10:$A$1009,"&lt;="&amp;A940,$A$10:$A$1009,"&gt;="&amp;(A940-$C$6)))</f>
        <v/>
      </c>
      <c r="P940" s="18">
        <f>IF(OR(N940="",N940=0),"",M940/N940-1)</f>
        <v/>
      </c>
      <c r="Q940">
        <f>IF(D940="","",IF(COUNTIFS($B$10:$B$1009,B940,$C$10:$C$1009,C940,$D$10:$D$1009,D940,$E$10:$E$1009,E940)&gt;1,"MÜKERRER?",IF(P940="","",IF(P940&gt;=$C$5,"İNCELE",IF(P940&lt;=-$C$5,"Düşük",""))))</f>
        <v/>
      </c>
      <c r="R940" s="16">
        <f>IF(AND(P940&lt;&gt;"",N(P940)&gt;=$C$5,COUNTIFS($B$10:B940,B940,$C$10:C940,C940,$D$10:D940,D940,$E$10:E940,E940)=1),(M940-N940)*E940*L940,0)</f>
        <v/>
      </c>
      <c r="S940" s="19">
        <f>IF(D940="",0,N(E940)*L940)</f>
        <v/>
      </c>
    </row>
    <row r="941">
      <c r="A941" s="11" t="n"/>
      <c r="B941" s="12" t="n"/>
      <c r="C941" s="12" t="n"/>
      <c r="D941" s="12" t="n"/>
      <c r="E941" s="13" t="n"/>
      <c r="F941" s="12" t="n"/>
      <c r="G941" s="14" t="n"/>
      <c r="H941" s="15" t="n"/>
      <c r="I941" s="16">
        <f>IF(G941="","",G941*(1-N(H941)))</f>
        <v/>
      </c>
      <c r="J941" s="16">
        <f>IF(I941="","",E941*I941)</f>
        <v/>
      </c>
      <c r="K941">
        <f>IF(D941="","",IFERROR(VLOOKUP(D941,'Ürün Eşleştirme'!$A$6:$D$505,2,FALSE),D941))</f>
        <v/>
      </c>
      <c r="L941" s="17">
        <f>IF(D941="","",IFERROR(VLOOKUP(D941,'Ürün Eşleştirme'!$A$6:$D$505,4,FALSE),1))</f>
        <v/>
      </c>
      <c r="M941" s="16">
        <f>IF(I941="","",I941/L941)</f>
        <v/>
      </c>
      <c r="N941" s="16">
        <f>IF(M941="","",IFERROR(AVERAGEIFS($M$10:$M$1009,$K$10:$K$1009,K941,$A$10:$A$1009,"&lt;"&amp;A941,$A$10:$A$1009,"&gt;="&amp;(A941-$C$6)),""))</f>
        <v/>
      </c>
      <c r="O941" s="16">
        <f>IF(M941="","",_xlfn.MINIFS($M$10:$M$1009,$K$10:$K$1009,K941,$A$10:$A$1009,"&lt;="&amp;A941,$A$10:$A$1009,"&gt;="&amp;(A941-$C$6)))</f>
        <v/>
      </c>
      <c r="P941" s="18">
        <f>IF(OR(N941="",N941=0),"",M941/N941-1)</f>
        <v/>
      </c>
      <c r="Q941">
        <f>IF(D941="","",IF(COUNTIFS($B$10:$B$1009,B941,$C$10:$C$1009,C941,$D$10:$D$1009,D941,$E$10:$E$1009,E941)&gt;1,"MÜKERRER?",IF(P941="","",IF(P941&gt;=$C$5,"İNCELE",IF(P941&lt;=-$C$5,"Düşük",""))))</f>
        <v/>
      </c>
      <c r="R941" s="16">
        <f>IF(AND(P941&lt;&gt;"",N(P941)&gt;=$C$5,COUNTIFS($B$10:B941,B941,$C$10:C941,C941,$D$10:D941,D941,$E$10:E941,E941)=1),(M941-N941)*E941*L941,0)</f>
        <v/>
      </c>
      <c r="S941" s="19">
        <f>IF(D941="",0,N(E941)*L941)</f>
        <v/>
      </c>
    </row>
    <row r="942">
      <c r="A942" s="11" t="n"/>
      <c r="B942" s="12" t="n"/>
      <c r="C942" s="12" t="n"/>
      <c r="D942" s="12" t="n"/>
      <c r="E942" s="13" t="n"/>
      <c r="F942" s="12" t="n"/>
      <c r="G942" s="14" t="n"/>
      <c r="H942" s="15" t="n"/>
      <c r="I942" s="16">
        <f>IF(G942="","",G942*(1-N(H942)))</f>
        <v/>
      </c>
      <c r="J942" s="16">
        <f>IF(I942="","",E942*I942)</f>
        <v/>
      </c>
      <c r="K942">
        <f>IF(D942="","",IFERROR(VLOOKUP(D942,'Ürün Eşleştirme'!$A$6:$D$505,2,FALSE),D942))</f>
        <v/>
      </c>
      <c r="L942" s="17">
        <f>IF(D942="","",IFERROR(VLOOKUP(D942,'Ürün Eşleştirme'!$A$6:$D$505,4,FALSE),1))</f>
        <v/>
      </c>
      <c r="M942" s="16">
        <f>IF(I942="","",I942/L942)</f>
        <v/>
      </c>
      <c r="N942" s="16">
        <f>IF(M942="","",IFERROR(AVERAGEIFS($M$10:$M$1009,$K$10:$K$1009,K942,$A$10:$A$1009,"&lt;"&amp;A942,$A$10:$A$1009,"&gt;="&amp;(A942-$C$6)),""))</f>
        <v/>
      </c>
      <c r="O942" s="16">
        <f>IF(M942="","",_xlfn.MINIFS($M$10:$M$1009,$K$10:$K$1009,K942,$A$10:$A$1009,"&lt;="&amp;A942,$A$10:$A$1009,"&gt;="&amp;(A942-$C$6)))</f>
        <v/>
      </c>
      <c r="P942" s="18">
        <f>IF(OR(N942="",N942=0),"",M942/N942-1)</f>
        <v/>
      </c>
      <c r="Q942">
        <f>IF(D942="","",IF(COUNTIFS($B$10:$B$1009,B942,$C$10:$C$1009,C942,$D$10:$D$1009,D942,$E$10:$E$1009,E942)&gt;1,"MÜKERRER?",IF(P942="","",IF(P942&gt;=$C$5,"İNCELE",IF(P942&lt;=-$C$5,"Düşük",""))))</f>
        <v/>
      </c>
      <c r="R942" s="16">
        <f>IF(AND(P942&lt;&gt;"",N(P942)&gt;=$C$5,COUNTIFS($B$10:B942,B942,$C$10:C942,C942,$D$10:D942,D942,$E$10:E942,E942)=1),(M942-N942)*E942*L942,0)</f>
        <v/>
      </c>
      <c r="S942" s="19">
        <f>IF(D942="",0,N(E942)*L942)</f>
        <v/>
      </c>
    </row>
    <row r="943">
      <c r="A943" s="11" t="n"/>
      <c r="B943" s="12" t="n"/>
      <c r="C943" s="12" t="n"/>
      <c r="D943" s="12" t="n"/>
      <c r="E943" s="13" t="n"/>
      <c r="F943" s="12" t="n"/>
      <c r="G943" s="14" t="n"/>
      <c r="H943" s="15" t="n"/>
      <c r="I943" s="16">
        <f>IF(G943="","",G943*(1-N(H943)))</f>
        <v/>
      </c>
      <c r="J943" s="16">
        <f>IF(I943="","",E943*I943)</f>
        <v/>
      </c>
      <c r="K943">
        <f>IF(D943="","",IFERROR(VLOOKUP(D943,'Ürün Eşleştirme'!$A$6:$D$505,2,FALSE),D943))</f>
        <v/>
      </c>
      <c r="L943" s="17">
        <f>IF(D943="","",IFERROR(VLOOKUP(D943,'Ürün Eşleştirme'!$A$6:$D$505,4,FALSE),1))</f>
        <v/>
      </c>
      <c r="M943" s="16">
        <f>IF(I943="","",I943/L943)</f>
        <v/>
      </c>
      <c r="N943" s="16">
        <f>IF(M943="","",IFERROR(AVERAGEIFS($M$10:$M$1009,$K$10:$K$1009,K943,$A$10:$A$1009,"&lt;"&amp;A943,$A$10:$A$1009,"&gt;="&amp;(A943-$C$6)),""))</f>
        <v/>
      </c>
      <c r="O943" s="16">
        <f>IF(M943="","",_xlfn.MINIFS($M$10:$M$1009,$K$10:$K$1009,K943,$A$10:$A$1009,"&lt;="&amp;A943,$A$10:$A$1009,"&gt;="&amp;(A943-$C$6)))</f>
        <v/>
      </c>
      <c r="P943" s="18">
        <f>IF(OR(N943="",N943=0),"",M943/N943-1)</f>
        <v/>
      </c>
      <c r="Q943">
        <f>IF(D943="","",IF(COUNTIFS($B$10:$B$1009,B943,$C$10:$C$1009,C943,$D$10:$D$1009,D943,$E$10:$E$1009,E943)&gt;1,"MÜKERRER?",IF(P943="","",IF(P943&gt;=$C$5,"İNCELE",IF(P943&lt;=-$C$5,"Düşük",""))))</f>
        <v/>
      </c>
      <c r="R943" s="16">
        <f>IF(AND(P943&lt;&gt;"",N(P943)&gt;=$C$5,COUNTIFS($B$10:B943,B943,$C$10:C943,C943,$D$10:D943,D943,$E$10:E943,E943)=1),(M943-N943)*E943*L943,0)</f>
        <v/>
      </c>
      <c r="S943" s="19">
        <f>IF(D943="",0,N(E943)*L943)</f>
        <v/>
      </c>
    </row>
    <row r="944">
      <c r="A944" s="11" t="n"/>
      <c r="B944" s="12" t="n"/>
      <c r="C944" s="12" t="n"/>
      <c r="D944" s="12" t="n"/>
      <c r="E944" s="13" t="n"/>
      <c r="F944" s="12" t="n"/>
      <c r="G944" s="14" t="n"/>
      <c r="H944" s="15" t="n"/>
      <c r="I944" s="16">
        <f>IF(G944="","",G944*(1-N(H944)))</f>
        <v/>
      </c>
      <c r="J944" s="16">
        <f>IF(I944="","",E944*I944)</f>
        <v/>
      </c>
      <c r="K944">
        <f>IF(D944="","",IFERROR(VLOOKUP(D944,'Ürün Eşleştirme'!$A$6:$D$505,2,FALSE),D944))</f>
        <v/>
      </c>
      <c r="L944" s="17">
        <f>IF(D944="","",IFERROR(VLOOKUP(D944,'Ürün Eşleştirme'!$A$6:$D$505,4,FALSE),1))</f>
        <v/>
      </c>
      <c r="M944" s="16">
        <f>IF(I944="","",I944/L944)</f>
        <v/>
      </c>
      <c r="N944" s="16">
        <f>IF(M944="","",IFERROR(AVERAGEIFS($M$10:$M$1009,$K$10:$K$1009,K944,$A$10:$A$1009,"&lt;"&amp;A944,$A$10:$A$1009,"&gt;="&amp;(A944-$C$6)),""))</f>
        <v/>
      </c>
      <c r="O944" s="16">
        <f>IF(M944="","",_xlfn.MINIFS($M$10:$M$1009,$K$10:$K$1009,K944,$A$10:$A$1009,"&lt;="&amp;A944,$A$10:$A$1009,"&gt;="&amp;(A944-$C$6)))</f>
        <v/>
      </c>
      <c r="P944" s="18">
        <f>IF(OR(N944="",N944=0),"",M944/N944-1)</f>
        <v/>
      </c>
      <c r="Q944">
        <f>IF(D944="","",IF(COUNTIFS($B$10:$B$1009,B944,$C$10:$C$1009,C944,$D$10:$D$1009,D944,$E$10:$E$1009,E944)&gt;1,"MÜKERRER?",IF(P944="","",IF(P944&gt;=$C$5,"İNCELE",IF(P944&lt;=-$C$5,"Düşük",""))))</f>
        <v/>
      </c>
      <c r="R944" s="16">
        <f>IF(AND(P944&lt;&gt;"",N(P944)&gt;=$C$5,COUNTIFS($B$10:B944,B944,$C$10:C944,C944,$D$10:D944,D944,$E$10:E944,E944)=1),(M944-N944)*E944*L944,0)</f>
        <v/>
      </c>
      <c r="S944" s="19">
        <f>IF(D944="",0,N(E944)*L944)</f>
        <v/>
      </c>
    </row>
    <row r="945">
      <c r="A945" s="11" t="n"/>
      <c r="B945" s="12" t="n"/>
      <c r="C945" s="12" t="n"/>
      <c r="D945" s="12" t="n"/>
      <c r="E945" s="13" t="n"/>
      <c r="F945" s="12" t="n"/>
      <c r="G945" s="14" t="n"/>
      <c r="H945" s="15" t="n"/>
      <c r="I945" s="16">
        <f>IF(G945="","",G945*(1-N(H945)))</f>
        <v/>
      </c>
      <c r="J945" s="16">
        <f>IF(I945="","",E945*I945)</f>
        <v/>
      </c>
      <c r="K945">
        <f>IF(D945="","",IFERROR(VLOOKUP(D945,'Ürün Eşleştirme'!$A$6:$D$505,2,FALSE),D945))</f>
        <v/>
      </c>
      <c r="L945" s="17">
        <f>IF(D945="","",IFERROR(VLOOKUP(D945,'Ürün Eşleştirme'!$A$6:$D$505,4,FALSE),1))</f>
        <v/>
      </c>
      <c r="M945" s="16">
        <f>IF(I945="","",I945/L945)</f>
        <v/>
      </c>
      <c r="N945" s="16">
        <f>IF(M945="","",IFERROR(AVERAGEIFS($M$10:$M$1009,$K$10:$K$1009,K945,$A$10:$A$1009,"&lt;"&amp;A945,$A$10:$A$1009,"&gt;="&amp;(A945-$C$6)),""))</f>
        <v/>
      </c>
      <c r="O945" s="16">
        <f>IF(M945="","",_xlfn.MINIFS($M$10:$M$1009,$K$10:$K$1009,K945,$A$10:$A$1009,"&lt;="&amp;A945,$A$10:$A$1009,"&gt;="&amp;(A945-$C$6)))</f>
        <v/>
      </c>
      <c r="P945" s="18">
        <f>IF(OR(N945="",N945=0),"",M945/N945-1)</f>
        <v/>
      </c>
      <c r="Q945">
        <f>IF(D945="","",IF(COUNTIFS($B$10:$B$1009,B945,$C$10:$C$1009,C945,$D$10:$D$1009,D945,$E$10:$E$1009,E945)&gt;1,"MÜKERRER?",IF(P945="","",IF(P945&gt;=$C$5,"İNCELE",IF(P945&lt;=-$C$5,"Düşük",""))))</f>
        <v/>
      </c>
      <c r="R945" s="16">
        <f>IF(AND(P945&lt;&gt;"",N(P945)&gt;=$C$5,COUNTIFS($B$10:B945,B945,$C$10:C945,C945,$D$10:D945,D945,$E$10:E945,E945)=1),(M945-N945)*E945*L945,0)</f>
        <v/>
      </c>
      <c r="S945" s="19">
        <f>IF(D945="",0,N(E945)*L945)</f>
        <v/>
      </c>
    </row>
    <row r="946">
      <c r="A946" s="11" t="n"/>
      <c r="B946" s="12" t="n"/>
      <c r="C946" s="12" t="n"/>
      <c r="D946" s="12" t="n"/>
      <c r="E946" s="13" t="n"/>
      <c r="F946" s="12" t="n"/>
      <c r="G946" s="14" t="n"/>
      <c r="H946" s="15" t="n"/>
      <c r="I946" s="16">
        <f>IF(G946="","",G946*(1-N(H946)))</f>
        <v/>
      </c>
      <c r="J946" s="16">
        <f>IF(I946="","",E946*I946)</f>
        <v/>
      </c>
      <c r="K946">
        <f>IF(D946="","",IFERROR(VLOOKUP(D946,'Ürün Eşleştirme'!$A$6:$D$505,2,FALSE),D946))</f>
        <v/>
      </c>
      <c r="L946" s="17">
        <f>IF(D946="","",IFERROR(VLOOKUP(D946,'Ürün Eşleştirme'!$A$6:$D$505,4,FALSE),1))</f>
        <v/>
      </c>
      <c r="M946" s="16">
        <f>IF(I946="","",I946/L946)</f>
        <v/>
      </c>
      <c r="N946" s="16">
        <f>IF(M946="","",IFERROR(AVERAGEIFS($M$10:$M$1009,$K$10:$K$1009,K946,$A$10:$A$1009,"&lt;"&amp;A946,$A$10:$A$1009,"&gt;="&amp;(A946-$C$6)),""))</f>
        <v/>
      </c>
      <c r="O946" s="16">
        <f>IF(M946="","",_xlfn.MINIFS($M$10:$M$1009,$K$10:$K$1009,K946,$A$10:$A$1009,"&lt;="&amp;A946,$A$10:$A$1009,"&gt;="&amp;(A946-$C$6)))</f>
        <v/>
      </c>
      <c r="P946" s="18">
        <f>IF(OR(N946="",N946=0),"",M946/N946-1)</f>
        <v/>
      </c>
      <c r="Q946">
        <f>IF(D946="","",IF(COUNTIFS($B$10:$B$1009,B946,$C$10:$C$1009,C946,$D$10:$D$1009,D946,$E$10:$E$1009,E946)&gt;1,"MÜKERRER?",IF(P946="","",IF(P946&gt;=$C$5,"İNCELE",IF(P946&lt;=-$C$5,"Düşük",""))))</f>
        <v/>
      </c>
      <c r="R946" s="16">
        <f>IF(AND(P946&lt;&gt;"",N(P946)&gt;=$C$5,COUNTIFS($B$10:B946,B946,$C$10:C946,C946,$D$10:D946,D946,$E$10:E946,E946)=1),(M946-N946)*E946*L946,0)</f>
        <v/>
      </c>
      <c r="S946" s="19">
        <f>IF(D946="",0,N(E946)*L946)</f>
        <v/>
      </c>
    </row>
    <row r="947">
      <c r="A947" s="11" t="n"/>
      <c r="B947" s="12" t="n"/>
      <c r="C947" s="12" t="n"/>
      <c r="D947" s="12" t="n"/>
      <c r="E947" s="13" t="n"/>
      <c r="F947" s="12" t="n"/>
      <c r="G947" s="14" t="n"/>
      <c r="H947" s="15" t="n"/>
      <c r="I947" s="16">
        <f>IF(G947="","",G947*(1-N(H947)))</f>
        <v/>
      </c>
      <c r="J947" s="16">
        <f>IF(I947="","",E947*I947)</f>
        <v/>
      </c>
      <c r="K947">
        <f>IF(D947="","",IFERROR(VLOOKUP(D947,'Ürün Eşleştirme'!$A$6:$D$505,2,FALSE),D947))</f>
        <v/>
      </c>
      <c r="L947" s="17">
        <f>IF(D947="","",IFERROR(VLOOKUP(D947,'Ürün Eşleştirme'!$A$6:$D$505,4,FALSE),1))</f>
        <v/>
      </c>
      <c r="M947" s="16">
        <f>IF(I947="","",I947/L947)</f>
        <v/>
      </c>
      <c r="N947" s="16">
        <f>IF(M947="","",IFERROR(AVERAGEIFS($M$10:$M$1009,$K$10:$K$1009,K947,$A$10:$A$1009,"&lt;"&amp;A947,$A$10:$A$1009,"&gt;="&amp;(A947-$C$6)),""))</f>
        <v/>
      </c>
      <c r="O947" s="16">
        <f>IF(M947="","",_xlfn.MINIFS($M$10:$M$1009,$K$10:$K$1009,K947,$A$10:$A$1009,"&lt;="&amp;A947,$A$10:$A$1009,"&gt;="&amp;(A947-$C$6)))</f>
        <v/>
      </c>
      <c r="P947" s="18">
        <f>IF(OR(N947="",N947=0),"",M947/N947-1)</f>
        <v/>
      </c>
      <c r="Q947">
        <f>IF(D947="","",IF(COUNTIFS($B$10:$B$1009,B947,$C$10:$C$1009,C947,$D$10:$D$1009,D947,$E$10:$E$1009,E947)&gt;1,"MÜKERRER?",IF(P947="","",IF(P947&gt;=$C$5,"İNCELE",IF(P947&lt;=-$C$5,"Düşük",""))))</f>
        <v/>
      </c>
      <c r="R947" s="16">
        <f>IF(AND(P947&lt;&gt;"",N(P947)&gt;=$C$5,COUNTIFS($B$10:B947,B947,$C$10:C947,C947,$D$10:D947,D947,$E$10:E947,E947)=1),(M947-N947)*E947*L947,0)</f>
        <v/>
      </c>
      <c r="S947" s="19">
        <f>IF(D947="",0,N(E947)*L947)</f>
        <v/>
      </c>
    </row>
    <row r="948">
      <c r="A948" s="11" t="n"/>
      <c r="B948" s="12" t="n"/>
      <c r="C948" s="12" t="n"/>
      <c r="D948" s="12" t="n"/>
      <c r="E948" s="13" t="n"/>
      <c r="F948" s="12" t="n"/>
      <c r="G948" s="14" t="n"/>
      <c r="H948" s="15" t="n"/>
      <c r="I948" s="16">
        <f>IF(G948="","",G948*(1-N(H948)))</f>
        <v/>
      </c>
      <c r="J948" s="16">
        <f>IF(I948="","",E948*I948)</f>
        <v/>
      </c>
      <c r="K948">
        <f>IF(D948="","",IFERROR(VLOOKUP(D948,'Ürün Eşleştirme'!$A$6:$D$505,2,FALSE),D948))</f>
        <v/>
      </c>
      <c r="L948" s="17">
        <f>IF(D948="","",IFERROR(VLOOKUP(D948,'Ürün Eşleştirme'!$A$6:$D$505,4,FALSE),1))</f>
        <v/>
      </c>
      <c r="M948" s="16">
        <f>IF(I948="","",I948/L948)</f>
        <v/>
      </c>
      <c r="N948" s="16">
        <f>IF(M948="","",IFERROR(AVERAGEIFS($M$10:$M$1009,$K$10:$K$1009,K948,$A$10:$A$1009,"&lt;"&amp;A948,$A$10:$A$1009,"&gt;="&amp;(A948-$C$6)),""))</f>
        <v/>
      </c>
      <c r="O948" s="16">
        <f>IF(M948="","",_xlfn.MINIFS($M$10:$M$1009,$K$10:$K$1009,K948,$A$10:$A$1009,"&lt;="&amp;A948,$A$10:$A$1009,"&gt;="&amp;(A948-$C$6)))</f>
        <v/>
      </c>
      <c r="P948" s="18">
        <f>IF(OR(N948="",N948=0),"",M948/N948-1)</f>
        <v/>
      </c>
      <c r="Q948">
        <f>IF(D948="","",IF(COUNTIFS($B$10:$B$1009,B948,$C$10:$C$1009,C948,$D$10:$D$1009,D948,$E$10:$E$1009,E948)&gt;1,"MÜKERRER?",IF(P948="","",IF(P948&gt;=$C$5,"İNCELE",IF(P948&lt;=-$C$5,"Düşük",""))))</f>
        <v/>
      </c>
      <c r="R948" s="16">
        <f>IF(AND(P948&lt;&gt;"",N(P948)&gt;=$C$5,COUNTIFS($B$10:B948,B948,$C$10:C948,C948,$D$10:D948,D948,$E$10:E948,E948)=1),(M948-N948)*E948*L948,0)</f>
        <v/>
      </c>
      <c r="S948" s="19">
        <f>IF(D948="",0,N(E948)*L948)</f>
        <v/>
      </c>
    </row>
    <row r="949">
      <c r="A949" s="11" t="n"/>
      <c r="B949" s="12" t="n"/>
      <c r="C949" s="12" t="n"/>
      <c r="D949" s="12" t="n"/>
      <c r="E949" s="13" t="n"/>
      <c r="F949" s="12" t="n"/>
      <c r="G949" s="14" t="n"/>
      <c r="H949" s="15" t="n"/>
      <c r="I949" s="16">
        <f>IF(G949="","",G949*(1-N(H949)))</f>
        <v/>
      </c>
      <c r="J949" s="16">
        <f>IF(I949="","",E949*I949)</f>
        <v/>
      </c>
      <c r="K949">
        <f>IF(D949="","",IFERROR(VLOOKUP(D949,'Ürün Eşleştirme'!$A$6:$D$505,2,FALSE),D949))</f>
        <v/>
      </c>
      <c r="L949" s="17">
        <f>IF(D949="","",IFERROR(VLOOKUP(D949,'Ürün Eşleştirme'!$A$6:$D$505,4,FALSE),1))</f>
        <v/>
      </c>
      <c r="M949" s="16">
        <f>IF(I949="","",I949/L949)</f>
        <v/>
      </c>
      <c r="N949" s="16">
        <f>IF(M949="","",IFERROR(AVERAGEIFS($M$10:$M$1009,$K$10:$K$1009,K949,$A$10:$A$1009,"&lt;"&amp;A949,$A$10:$A$1009,"&gt;="&amp;(A949-$C$6)),""))</f>
        <v/>
      </c>
      <c r="O949" s="16">
        <f>IF(M949="","",_xlfn.MINIFS($M$10:$M$1009,$K$10:$K$1009,K949,$A$10:$A$1009,"&lt;="&amp;A949,$A$10:$A$1009,"&gt;="&amp;(A949-$C$6)))</f>
        <v/>
      </c>
      <c r="P949" s="18">
        <f>IF(OR(N949="",N949=0),"",M949/N949-1)</f>
        <v/>
      </c>
      <c r="Q949">
        <f>IF(D949="","",IF(COUNTIFS($B$10:$B$1009,B949,$C$10:$C$1009,C949,$D$10:$D$1009,D949,$E$10:$E$1009,E949)&gt;1,"MÜKERRER?",IF(P949="","",IF(P949&gt;=$C$5,"İNCELE",IF(P949&lt;=-$C$5,"Düşük",""))))</f>
        <v/>
      </c>
      <c r="R949" s="16">
        <f>IF(AND(P949&lt;&gt;"",N(P949)&gt;=$C$5,COUNTIFS($B$10:B949,B949,$C$10:C949,C949,$D$10:D949,D949,$E$10:E949,E949)=1),(M949-N949)*E949*L949,0)</f>
        <v/>
      </c>
      <c r="S949" s="19">
        <f>IF(D949="",0,N(E949)*L949)</f>
        <v/>
      </c>
    </row>
    <row r="950">
      <c r="A950" s="11" t="n"/>
      <c r="B950" s="12" t="n"/>
      <c r="C950" s="12" t="n"/>
      <c r="D950" s="12" t="n"/>
      <c r="E950" s="13" t="n"/>
      <c r="F950" s="12" t="n"/>
      <c r="G950" s="14" t="n"/>
      <c r="H950" s="15" t="n"/>
      <c r="I950" s="16">
        <f>IF(G950="","",G950*(1-N(H950)))</f>
        <v/>
      </c>
      <c r="J950" s="16">
        <f>IF(I950="","",E950*I950)</f>
        <v/>
      </c>
      <c r="K950">
        <f>IF(D950="","",IFERROR(VLOOKUP(D950,'Ürün Eşleştirme'!$A$6:$D$505,2,FALSE),D950))</f>
        <v/>
      </c>
      <c r="L950" s="17">
        <f>IF(D950="","",IFERROR(VLOOKUP(D950,'Ürün Eşleştirme'!$A$6:$D$505,4,FALSE),1))</f>
        <v/>
      </c>
      <c r="M950" s="16">
        <f>IF(I950="","",I950/L950)</f>
        <v/>
      </c>
      <c r="N950" s="16">
        <f>IF(M950="","",IFERROR(AVERAGEIFS($M$10:$M$1009,$K$10:$K$1009,K950,$A$10:$A$1009,"&lt;"&amp;A950,$A$10:$A$1009,"&gt;="&amp;(A950-$C$6)),""))</f>
        <v/>
      </c>
      <c r="O950" s="16">
        <f>IF(M950="","",_xlfn.MINIFS($M$10:$M$1009,$K$10:$K$1009,K950,$A$10:$A$1009,"&lt;="&amp;A950,$A$10:$A$1009,"&gt;="&amp;(A950-$C$6)))</f>
        <v/>
      </c>
      <c r="P950" s="18">
        <f>IF(OR(N950="",N950=0),"",M950/N950-1)</f>
        <v/>
      </c>
      <c r="Q950">
        <f>IF(D950="","",IF(COUNTIFS($B$10:$B$1009,B950,$C$10:$C$1009,C950,$D$10:$D$1009,D950,$E$10:$E$1009,E950)&gt;1,"MÜKERRER?",IF(P950="","",IF(P950&gt;=$C$5,"İNCELE",IF(P950&lt;=-$C$5,"Düşük",""))))</f>
        <v/>
      </c>
      <c r="R950" s="16">
        <f>IF(AND(P950&lt;&gt;"",N(P950)&gt;=$C$5,COUNTIFS($B$10:B950,B950,$C$10:C950,C950,$D$10:D950,D950,$E$10:E950,E950)=1),(M950-N950)*E950*L950,0)</f>
        <v/>
      </c>
      <c r="S950" s="19">
        <f>IF(D950="",0,N(E950)*L950)</f>
        <v/>
      </c>
    </row>
    <row r="951">
      <c r="A951" s="11" t="n"/>
      <c r="B951" s="12" t="n"/>
      <c r="C951" s="12" t="n"/>
      <c r="D951" s="12" t="n"/>
      <c r="E951" s="13" t="n"/>
      <c r="F951" s="12" t="n"/>
      <c r="G951" s="14" t="n"/>
      <c r="H951" s="15" t="n"/>
      <c r="I951" s="16">
        <f>IF(G951="","",G951*(1-N(H951)))</f>
        <v/>
      </c>
      <c r="J951" s="16">
        <f>IF(I951="","",E951*I951)</f>
        <v/>
      </c>
      <c r="K951">
        <f>IF(D951="","",IFERROR(VLOOKUP(D951,'Ürün Eşleştirme'!$A$6:$D$505,2,FALSE),D951))</f>
        <v/>
      </c>
      <c r="L951" s="17">
        <f>IF(D951="","",IFERROR(VLOOKUP(D951,'Ürün Eşleştirme'!$A$6:$D$505,4,FALSE),1))</f>
        <v/>
      </c>
      <c r="M951" s="16">
        <f>IF(I951="","",I951/L951)</f>
        <v/>
      </c>
      <c r="N951" s="16">
        <f>IF(M951="","",IFERROR(AVERAGEIFS($M$10:$M$1009,$K$10:$K$1009,K951,$A$10:$A$1009,"&lt;"&amp;A951,$A$10:$A$1009,"&gt;="&amp;(A951-$C$6)),""))</f>
        <v/>
      </c>
      <c r="O951" s="16">
        <f>IF(M951="","",_xlfn.MINIFS($M$10:$M$1009,$K$10:$K$1009,K951,$A$10:$A$1009,"&lt;="&amp;A951,$A$10:$A$1009,"&gt;="&amp;(A951-$C$6)))</f>
        <v/>
      </c>
      <c r="P951" s="18">
        <f>IF(OR(N951="",N951=0),"",M951/N951-1)</f>
        <v/>
      </c>
      <c r="Q951">
        <f>IF(D951="","",IF(COUNTIFS($B$10:$B$1009,B951,$C$10:$C$1009,C951,$D$10:$D$1009,D951,$E$10:$E$1009,E951)&gt;1,"MÜKERRER?",IF(P951="","",IF(P951&gt;=$C$5,"İNCELE",IF(P951&lt;=-$C$5,"Düşük",""))))</f>
        <v/>
      </c>
      <c r="R951" s="16">
        <f>IF(AND(P951&lt;&gt;"",N(P951)&gt;=$C$5,COUNTIFS($B$10:B951,B951,$C$10:C951,C951,$D$10:D951,D951,$E$10:E951,E951)=1),(M951-N951)*E951*L951,0)</f>
        <v/>
      </c>
      <c r="S951" s="19">
        <f>IF(D951="",0,N(E951)*L951)</f>
        <v/>
      </c>
    </row>
    <row r="952">
      <c r="A952" s="11" t="n"/>
      <c r="B952" s="12" t="n"/>
      <c r="C952" s="12" t="n"/>
      <c r="D952" s="12" t="n"/>
      <c r="E952" s="13" t="n"/>
      <c r="F952" s="12" t="n"/>
      <c r="G952" s="14" t="n"/>
      <c r="H952" s="15" t="n"/>
      <c r="I952" s="16">
        <f>IF(G952="","",G952*(1-N(H952)))</f>
        <v/>
      </c>
      <c r="J952" s="16">
        <f>IF(I952="","",E952*I952)</f>
        <v/>
      </c>
      <c r="K952">
        <f>IF(D952="","",IFERROR(VLOOKUP(D952,'Ürün Eşleştirme'!$A$6:$D$505,2,FALSE),D952))</f>
        <v/>
      </c>
      <c r="L952" s="17">
        <f>IF(D952="","",IFERROR(VLOOKUP(D952,'Ürün Eşleştirme'!$A$6:$D$505,4,FALSE),1))</f>
        <v/>
      </c>
      <c r="M952" s="16">
        <f>IF(I952="","",I952/L952)</f>
        <v/>
      </c>
      <c r="N952" s="16">
        <f>IF(M952="","",IFERROR(AVERAGEIFS($M$10:$M$1009,$K$10:$K$1009,K952,$A$10:$A$1009,"&lt;"&amp;A952,$A$10:$A$1009,"&gt;="&amp;(A952-$C$6)),""))</f>
        <v/>
      </c>
      <c r="O952" s="16">
        <f>IF(M952="","",_xlfn.MINIFS($M$10:$M$1009,$K$10:$K$1009,K952,$A$10:$A$1009,"&lt;="&amp;A952,$A$10:$A$1009,"&gt;="&amp;(A952-$C$6)))</f>
        <v/>
      </c>
      <c r="P952" s="18">
        <f>IF(OR(N952="",N952=0),"",M952/N952-1)</f>
        <v/>
      </c>
      <c r="Q952">
        <f>IF(D952="","",IF(COUNTIFS($B$10:$B$1009,B952,$C$10:$C$1009,C952,$D$10:$D$1009,D952,$E$10:$E$1009,E952)&gt;1,"MÜKERRER?",IF(P952="","",IF(P952&gt;=$C$5,"İNCELE",IF(P952&lt;=-$C$5,"Düşük",""))))</f>
        <v/>
      </c>
      <c r="R952" s="16">
        <f>IF(AND(P952&lt;&gt;"",N(P952)&gt;=$C$5,COUNTIFS($B$10:B952,B952,$C$10:C952,C952,$D$10:D952,D952,$E$10:E952,E952)=1),(M952-N952)*E952*L952,0)</f>
        <v/>
      </c>
      <c r="S952" s="19">
        <f>IF(D952="",0,N(E952)*L952)</f>
        <v/>
      </c>
    </row>
    <row r="953">
      <c r="A953" s="11" t="n"/>
      <c r="B953" s="12" t="n"/>
      <c r="C953" s="12" t="n"/>
      <c r="D953" s="12" t="n"/>
      <c r="E953" s="13" t="n"/>
      <c r="F953" s="12" t="n"/>
      <c r="G953" s="14" t="n"/>
      <c r="H953" s="15" t="n"/>
      <c r="I953" s="16">
        <f>IF(G953="","",G953*(1-N(H953)))</f>
        <v/>
      </c>
      <c r="J953" s="16">
        <f>IF(I953="","",E953*I953)</f>
        <v/>
      </c>
      <c r="K953">
        <f>IF(D953="","",IFERROR(VLOOKUP(D953,'Ürün Eşleştirme'!$A$6:$D$505,2,FALSE),D953))</f>
        <v/>
      </c>
      <c r="L953" s="17">
        <f>IF(D953="","",IFERROR(VLOOKUP(D953,'Ürün Eşleştirme'!$A$6:$D$505,4,FALSE),1))</f>
        <v/>
      </c>
      <c r="M953" s="16">
        <f>IF(I953="","",I953/L953)</f>
        <v/>
      </c>
      <c r="N953" s="16">
        <f>IF(M953="","",IFERROR(AVERAGEIFS($M$10:$M$1009,$K$10:$K$1009,K953,$A$10:$A$1009,"&lt;"&amp;A953,$A$10:$A$1009,"&gt;="&amp;(A953-$C$6)),""))</f>
        <v/>
      </c>
      <c r="O953" s="16">
        <f>IF(M953="","",_xlfn.MINIFS($M$10:$M$1009,$K$10:$K$1009,K953,$A$10:$A$1009,"&lt;="&amp;A953,$A$10:$A$1009,"&gt;="&amp;(A953-$C$6)))</f>
        <v/>
      </c>
      <c r="P953" s="18">
        <f>IF(OR(N953="",N953=0),"",M953/N953-1)</f>
        <v/>
      </c>
      <c r="Q953">
        <f>IF(D953="","",IF(COUNTIFS($B$10:$B$1009,B953,$C$10:$C$1009,C953,$D$10:$D$1009,D953,$E$10:$E$1009,E953)&gt;1,"MÜKERRER?",IF(P953="","",IF(P953&gt;=$C$5,"İNCELE",IF(P953&lt;=-$C$5,"Düşük",""))))</f>
        <v/>
      </c>
      <c r="R953" s="16">
        <f>IF(AND(P953&lt;&gt;"",N(P953)&gt;=$C$5,COUNTIFS($B$10:B953,B953,$C$10:C953,C953,$D$10:D953,D953,$E$10:E953,E953)=1),(M953-N953)*E953*L953,0)</f>
        <v/>
      </c>
      <c r="S953" s="19">
        <f>IF(D953="",0,N(E953)*L953)</f>
        <v/>
      </c>
    </row>
    <row r="954">
      <c r="A954" s="11" t="n"/>
      <c r="B954" s="12" t="n"/>
      <c r="C954" s="12" t="n"/>
      <c r="D954" s="12" t="n"/>
      <c r="E954" s="13" t="n"/>
      <c r="F954" s="12" t="n"/>
      <c r="G954" s="14" t="n"/>
      <c r="H954" s="15" t="n"/>
      <c r="I954" s="16">
        <f>IF(G954="","",G954*(1-N(H954)))</f>
        <v/>
      </c>
      <c r="J954" s="16">
        <f>IF(I954="","",E954*I954)</f>
        <v/>
      </c>
      <c r="K954">
        <f>IF(D954="","",IFERROR(VLOOKUP(D954,'Ürün Eşleştirme'!$A$6:$D$505,2,FALSE),D954))</f>
        <v/>
      </c>
      <c r="L954" s="17">
        <f>IF(D954="","",IFERROR(VLOOKUP(D954,'Ürün Eşleştirme'!$A$6:$D$505,4,FALSE),1))</f>
        <v/>
      </c>
      <c r="M954" s="16">
        <f>IF(I954="","",I954/L954)</f>
        <v/>
      </c>
      <c r="N954" s="16">
        <f>IF(M954="","",IFERROR(AVERAGEIFS($M$10:$M$1009,$K$10:$K$1009,K954,$A$10:$A$1009,"&lt;"&amp;A954,$A$10:$A$1009,"&gt;="&amp;(A954-$C$6)),""))</f>
        <v/>
      </c>
      <c r="O954" s="16">
        <f>IF(M954="","",_xlfn.MINIFS($M$10:$M$1009,$K$10:$K$1009,K954,$A$10:$A$1009,"&lt;="&amp;A954,$A$10:$A$1009,"&gt;="&amp;(A954-$C$6)))</f>
        <v/>
      </c>
      <c r="P954" s="18">
        <f>IF(OR(N954="",N954=0),"",M954/N954-1)</f>
        <v/>
      </c>
      <c r="Q954">
        <f>IF(D954="","",IF(COUNTIFS($B$10:$B$1009,B954,$C$10:$C$1009,C954,$D$10:$D$1009,D954,$E$10:$E$1009,E954)&gt;1,"MÜKERRER?",IF(P954="","",IF(P954&gt;=$C$5,"İNCELE",IF(P954&lt;=-$C$5,"Düşük",""))))</f>
        <v/>
      </c>
      <c r="R954" s="16">
        <f>IF(AND(P954&lt;&gt;"",N(P954)&gt;=$C$5,COUNTIFS($B$10:B954,B954,$C$10:C954,C954,$D$10:D954,D954,$E$10:E954,E954)=1),(M954-N954)*E954*L954,0)</f>
        <v/>
      </c>
      <c r="S954" s="19">
        <f>IF(D954="",0,N(E954)*L954)</f>
        <v/>
      </c>
    </row>
    <row r="955">
      <c r="A955" s="11" t="n"/>
      <c r="B955" s="12" t="n"/>
      <c r="C955" s="12" t="n"/>
      <c r="D955" s="12" t="n"/>
      <c r="E955" s="13" t="n"/>
      <c r="F955" s="12" t="n"/>
      <c r="G955" s="14" t="n"/>
      <c r="H955" s="15" t="n"/>
      <c r="I955" s="16">
        <f>IF(G955="","",G955*(1-N(H955)))</f>
        <v/>
      </c>
      <c r="J955" s="16">
        <f>IF(I955="","",E955*I955)</f>
        <v/>
      </c>
      <c r="K955">
        <f>IF(D955="","",IFERROR(VLOOKUP(D955,'Ürün Eşleştirme'!$A$6:$D$505,2,FALSE),D955))</f>
        <v/>
      </c>
      <c r="L955" s="17">
        <f>IF(D955="","",IFERROR(VLOOKUP(D955,'Ürün Eşleştirme'!$A$6:$D$505,4,FALSE),1))</f>
        <v/>
      </c>
      <c r="M955" s="16">
        <f>IF(I955="","",I955/L955)</f>
        <v/>
      </c>
      <c r="N955" s="16">
        <f>IF(M955="","",IFERROR(AVERAGEIFS($M$10:$M$1009,$K$10:$K$1009,K955,$A$10:$A$1009,"&lt;"&amp;A955,$A$10:$A$1009,"&gt;="&amp;(A955-$C$6)),""))</f>
        <v/>
      </c>
      <c r="O955" s="16">
        <f>IF(M955="","",_xlfn.MINIFS($M$10:$M$1009,$K$10:$K$1009,K955,$A$10:$A$1009,"&lt;="&amp;A955,$A$10:$A$1009,"&gt;="&amp;(A955-$C$6)))</f>
        <v/>
      </c>
      <c r="P955" s="18">
        <f>IF(OR(N955="",N955=0),"",M955/N955-1)</f>
        <v/>
      </c>
      <c r="Q955">
        <f>IF(D955="","",IF(COUNTIFS($B$10:$B$1009,B955,$C$10:$C$1009,C955,$D$10:$D$1009,D955,$E$10:$E$1009,E955)&gt;1,"MÜKERRER?",IF(P955="","",IF(P955&gt;=$C$5,"İNCELE",IF(P955&lt;=-$C$5,"Düşük",""))))</f>
        <v/>
      </c>
      <c r="R955" s="16">
        <f>IF(AND(P955&lt;&gt;"",N(P955)&gt;=$C$5,COUNTIFS($B$10:B955,B955,$C$10:C955,C955,$D$10:D955,D955,$E$10:E955,E955)=1),(M955-N955)*E955*L955,0)</f>
        <v/>
      </c>
      <c r="S955" s="19">
        <f>IF(D955="",0,N(E955)*L955)</f>
        <v/>
      </c>
    </row>
    <row r="956">
      <c r="A956" s="11" t="n"/>
      <c r="B956" s="12" t="n"/>
      <c r="C956" s="12" t="n"/>
      <c r="D956" s="12" t="n"/>
      <c r="E956" s="13" t="n"/>
      <c r="F956" s="12" t="n"/>
      <c r="G956" s="14" t="n"/>
      <c r="H956" s="15" t="n"/>
      <c r="I956" s="16">
        <f>IF(G956="","",G956*(1-N(H956)))</f>
        <v/>
      </c>
      <c r="J956" s="16">
        <f>IF(I956="","",E956*I956)</f>
        <v/>
      </c>
      <c r="K956">
        <f>IF(D956="","",IFERROR(VLOOKUP(D956,'Ürün Eşleştirme'!$A$6:$D$505,2,FALSE),D956))</f>
        <v/>
      </c>
      <c r="L956" s="17">
        <f>IF(D956="","",IFERROR(VLOOKUP(D956,'Ürün Eşleştirme'!$A$6:$D$505,4,FALSE),1))</f>
        <v/>
      </c>
      <c r="M956" s="16">
        <f>IF(I956="","",I956/L956)</f>
        <v/>
      </c>
      <c r="N956" s="16">
        <f>IF(M956="","",IFERROR(AVERAGEIFS($M$10:$M$1009,$K$10:$K$1009,K956,$A$10:$A$1009,"&lt;"&amp;A956,$A$10:$A$1009,"&gt;="&amp;(A956-$C$6)),""))</f>
        <v/>
      </c>
      <c r="O956" s="16">
        <f>IF(M956="","",_xlfn.MINIFS($M$10:$M$1009,$K$10:$K$1009,K956,$A$10:$A$1009,"&lt;="&amp;A956,$A$10:$A$1009,"&gt;="&amp;(A956-$C$6)))</f>
        <v/>
      </c>
      <c r="P956" s="18">
        <f>IF(OR(N956="",N956=0),"",M956/N956-1)</f>
        <v/>
      </c>
      <c r="Q956">
        <f>IF(D956="","",IF(COUNTIFS($B$10:$B$1009,B956,$C$10:$C$1009,C956,$D$10:$D$1009,D956,$E$10:$E$1009,E956)&gt;1,"MÜKERRER?",IF(P956="","",IF(P956&gt;=$C$5,"İNCELE",IF(P956&lt;=-$C$5,"Düşük",""))))</f>
        <v/>
      </c>
      <c r="R956" s="16">
        <f>IF(AND(P956&lt;&gt;"",N(P956)&gt;=$C$5,COUNTIFS($B$10:B956,B956,$C$10:C956,C956,$D$10:D956,D956,$E$10:E956,E956)=1),(M956-N956)*E956*L956,0)</f>
        <v/>
      </c>
      <c r="S956" s="19">
        <f>IF(D956="",0,N(E956)*L956)</f>
        <v/>
      </c>
    </row>
    <row r="957">
      <c r="A957" s="11" t="n"/>
      <c r="B957" s="12" t="n"/>
      <c r="C957" s="12" t="n"/>
      <c r="D957" s="12" t="n"/>
      <c r="E957" s="13" t="n"/>
      <c r="F957" s="12" t="n"/>
      <c r="G957" s="14" t="n"/>
      <c r="H957" s="15" t="n"/>
      <c r="I957" s="16">
        <f>IF(G957="","",G957*(1-N(H957)))</f>
        <v/>
      </c>
      <c r="J957" s="16">
        <f>IF(I957="","",E957*I957)</f>
        <v/>
      </c>
      <c r="K957">
        <f>IF(D957="","",IFERROR(VLOOKUP(D957,'Ürün Eşleştirme'!$A$6:$D$505,2,FALSE),D957))</f>
        <v/>
      </c>
      <c r="L957" s="17">
        <f>IF(D957="","",IFERROR(VLOOKUP(D957,'Ürün Eşleştirme'!$A$6:$D$505,4,FALSE),1))</f>
        <v/>
      </c>
      <c r="M957" s="16">
        <f>IF(I957="","",I957/L957)</f>
        <v/>
      </c>
      <c r="N957" s="16">
        <f>IF(M957="","",IFERROR(AVERAGEIFS($M$10:$M$1009,$K$10:$K$1009,K957,$A$10:$A$1009,"&lt;"&amp;A957,$A$10:$A$1009,"&gt;="&amp;(A957-$C$6)),""))</f>
        <v/>
      </c>
      <c r="O957" s="16">
        <f>IF(M957="","",_xlfn.MINIFS($M$10:$M$1009,$K$10:$K$1009,K957,$A$10:$A$1009,"&lt;="&amp;A957,$A$10:$A$1009,"&gt;="&amp;(A957-$C$6)))</f>
        <v/>
      </c>
      <c r="P957" s="18">
        <f>IF(OR(N957="",N957=0),"",M957/N957-1)</f>
        <v/>
      </c>
      <c r="Q957">
        <f>IF(D957="","",IF(COUNTIFS($B$10:$B$1009,B957,$C$10:$C$1009,C957,$D$10:$D$1009,D957,$E$10:$E$1009,E957)&gt;1,"MÜKERRER?",IF(P957="","",IF(P957&gt;=$C$5,"İNCELE",IF(P957&lt;=-$C$5,"Düşük",""))))</f>
        <v/>
      </c>
      <c r="R957" s="16">
        <f>IF(AND(P957&lt;&gt;"",N(P957)&gt;=$C$5,COUNTIFS($B$10:B957,B957,$C$10:C957,C957,$D$10:D957,D957,$E$10:E957,E957)=1),(M957-N957)*E957*L957,0)</f>
        <v/>
      </c>
      <c r="S957" s="19">
        <f>IF(D957="",0,N(E957)*L957)</f>
        <v/>
      </c>
    </row>
    <row r="958">
      <c r="A958" s="11" t="n"/>
      <c r="B958" s="12" t="n"/>
      <c r="C958" s="12" t="n"/>
      <c r="D958" s="12" t="n"/>
      <c r="E958" s="13" t="n"/>
      <c r="F958" s="12" t="n"/>
      <c r="G958" s="14" t="n"/>
      <c r="H958" s="15" t="n"/>
      <c r="I958" s="16">
        <f>IF(G958="","",G958*(1-N(H958)))</f>
        <v/>
      </c>
      <c r="J958" s="16">
        <f>IF(I958="","",E958*I958)</f>
        <v/>
      </c>
      <c r="K958">
        <f>IF(D958="","",IFERROR(VLOOKUP(D958,'Ürün Eşleştirme'!$A$6:$D$505,2,FALSE),D958))</f>
        <v/>
      </c>
      <c r="L958" s="17">
        <f>IF(D958="","",IFERROR(VLOOKUP(D958,'Ürün Eşleştirme'!$A$6:$D$505,4,FALSE),1))</f>
        <v/>
      </c>
      <c r="M958" s="16">
        <f>IF(I958="","",I958/L958)</f>
        <v/>
      </c>
      <c r="N958" s="16">
        <f>IF(M958="","",IFERROR(AVERAGEIFS($M$10:$M$1009,$K$10:$K$1009,K958,$A$10:$A$1009,"&lt;"&amp;A958,$A$10:$A$1009,"&gt;="&amp;(A958-$C$6)),""))</f>
        <v/>
      </c>
      <c r="O958" s="16">
        <f>IF(M958="","",_xlfn.MINIFS($M$10:$M$1009,$K$10:$K$1009,K958,$A$10:$A$1009,"&lt;="&amp;A958,$A$10:$A$1009,"&gt;="&amp;(A958-$C$6)))</f>
        <v/>
      </c>
      <c r="P958" s="18">
        <f>IF(OR(N958="",N958=0),"",M958/N958-1)</f>
        <v/>
      </c>
      <c r="Q958">
        <f>IF(D958="","",IF(COUNTIFS($B$10:$B$1009,B958,$C$10:$C$1009,C958,$D$10:$D$1009,D958,$E$10:$E$1009,E958)&gt;1,"MÜKERRER?",IF(P958="","",IF(P958&gt;=$C$5,"İNCELE",IF(P958&lt;=-$C$5,"Düşük",""))))</f>
        <v/>
      </c>
      <c r="R958" s="16">
        <f>IF(AND(P958&lt;&gt;"",N(P958)&gt;=$C$5,COUNTIFS($B$10:B958,B958,$C$10:C958,C958,$D$10:D958,D958,$E$10:E958,E958)=1),(M958-N958)*E958*L958,0)</f>
        <v/>
      </c>
      <c r="S958" s="19">
        <f>IF(D958="",0,N(E958)*L958)</f>
        <v/>
      </c>
    </row>
    <row r="959">
      <c r="A959" s="11" t="n"/>
      <c r="B959" s="12" t="n"/>
      <c r="C959" s="12" t="n"/>
      <c r="D959" s="12" t="n"/>
      <c r="E959" s="13" t="n"/>
      <c r="F959" s="12" t="n"/>
      <c r="G959" s="14" t="n"/>
      <c r="H959" s="15" t="n"/>
      <c r="I959" s="16">
        <f>IF(G959="","",G959*(1-N(H959)))</f>
        <v/>
      </c>
      <c r="J959" s="16">
        <f>IF(I959="","",E959*I959)</f>
        <v/>
      </c>
      <c r="K959">
        <f>IF(D959="","",IFERROR(VLOOKUP(D959,'Ürün Eşleştirme'!$A$6:$D$505,2,FALSE),D959))</f>
        <v/>
      </c>
      <c r="L959" s="17">
        <f>IF(D959="","",IFERROR(VLOOKUP(D959,'Ürün Eşleştirme'!$A$6:$D$505,4,FALSE),1))</f>
        <v/>
      </c>
      <c r="M959" s="16">
        <f>IF(I959="","",I959/L959)</f>
        <v/>
      </c>
      <c r="N959" s="16">
        <f>IF(M959="","",IFERROR(AVERAGEIFS($M$10:$M$1009,$K$10:$K$1009,K959,$A$10:$A$1009,"&lt;"&amp;A959,$A$10:$A$1009,"&gt;="&amp;(A959-$C$6)),""))</f>
        <v/>
      </c>
      <c r="O959" s="16">
        <f>IF(M959="","",_xlfn.MINIFS($M$10:$M$1009,$K$10:$K$1009,K959,$A$10:$A$1009,"&lt;="&amp;A959,$A$10:$A$1009,"&gt;="&amp;(A959-$C$6)))</f>
        <v/>
      </c>
      <c r="P959" s="18">
        <f>IF(OR(N959="",N959=0),"",M959/N959-1)</f>
        <v/>
      </c>
      <c r="Q959">
        <f>IF(D959="","",IF(COUNTIFS($B$10:$B$1009,B959,$C$10:$C$1009,C959,$D$10:$D$1009,D959,$E$10:$E$1009,E959)&gt;1,"MÜKERRER?",IF(P959="","",IF(P959&gt;=$C$5,"İNCELE",IF(P959&lt;=-$C$5,"Düşük",""))))</f>
        <v/>
      </c>
      <c r="R959" s="16">
        <f>IF(AND(P959&lt;&gt;"",N(P959)&gt;=$C$5,COUNTIFS($B$10:B959,B959,$C$10:C959,C959,$D$10:D959,D959,$E$10:E959,E959)=1),(M959-N959)*E959*L959,0)</f>
        <v/>
      </c>
      <c r="S959" s="19">
        <f>IF(D959="",0,N(E959)*L959)</f>
        <v/>
      </c>
    </row>
    <row r="960">
      <c r="A960" s="11" t="n"/>
      <c r="B960" s="12" t="n"/>
      <c r="C960" s="12" t="n"/>
      <c r="D960" s="12" t="n"/>
      <c r="E960" s="13" t="n"/>
      <c r="F960" s="12" t="n"/>
      <c r="G960" s="14" t="n"/>
      <c r="H960" s="15" t="n"/>
      <c r="I960" s="16">
        <f>IF(G960="","",G960*(1-N(H960)))</f>
        <v/>
      </c>
      <c r="J960" s="16">
        <f>IF(I960="","",E960*I960)</f>
        <v/>
      </c>
      <c r="K960">
        <f>IF(D960="","",IFERROR(VLOOKUP(D960,'Ürün Eşleştirme'!$A$6:$D$505,2,FALSE),D960))</f>
        <v/>
      </c>
      <c r="L960" s="17">
        <f>IF(D960="","",IFERROR(VLOOKUP(D960,'Ürün Eşleştirme'!$A$6:$D$505,4,FALSE),1))</f>
        <v/>
      </c>
      <c r="M960" s="16">
        <f>IF(I960="","",I960/L960)</f>
        <v/>
      </c>
      <c r="N960" s="16">
        <f>IF(M960="","",IFERROR(AVERAGEIFS($M$10:$M$1009,$K$10:$K$1009,K960,$A$10:$A$1009,"&lt;"&amp;A960,$A$10:$A$1009,"&gt;="&amp;(A960-$C$6)),""))</f>
        <v/>
      </c>
      <c r="O960" s="16">
        <f>IF(M960="","",_xlfn.MINIFS($M$10:$M$1009,$K$10:$K$1009,K960,$A$10:$A$1009,"&lt;="&amp;A960,$A$10:$A$1009,"&gt;="&amp;(A960-$C$6)))</f>
        <v/>
      </c>
      <c r="P960" s="18">
        <f>IF(OR(N960="",N960=0),"",M960/N960-1)</f>
        <v/>
      </c>
      <c r="Q960">
        <f>IF(D960="","",IF(COUNTIFS($B$10:$B$1009,B960,$C$10:$C$1009,C960,$D$10:$D$1009,D960,$E$10:$E$1009,E960)&gt;1,"MÜKERRER?",IF(P960="","",IF(P960&gt;=$C$5,"İNCELE",IF(P960&lt;=-$C$5,"Düşük",""))))</f>
        <v/>
      </c>
      <c r="R960" s="16">
        <f>IF(AND(P960&lt;&gt;"",N(P960)&gt;=$C$5,COUNTIFS($B$10:B960,B960,$C$10:C960,C960,$D$10:D960,D960,$E$10:E960,E960)=1),(M960-N960)*E960*L960,0)</f>
        <v/>
      </c>
      <c r="S960" s="19">
        <f>IF(D960="",0,N(E960)*L960)</f>
        <v/>
      </c>
    </row>
    <row r="961">
      <c r="A961" s="11" t="n"/>
      <c r="B961" s="12" t="n"/>
      <c r="C961" s="12" t="n"/>
      <c r="D961" s="12" t="n"/>
      <c r="E961" s="13" t="n"/>
      <c r="F961" s="12" t="n"/>
      <c r="G961" s="14" t="n"/>
      <c r="H961" s="15" t="n"/>
      <c r="I961" s="16">
        <f>IF(G961="","",G961*(1-N(H961)))</f>
        <v/>
      </c>
      <c r="J961" s="16">
        <f>IF(I961="","",E961*I961)</f>
        <v/>
      </c>
      <c r="K961">
        <f>IF(D961="","",IFERROR(VLOOKUP(D961,'Ürün Eşleştirme'!$A$6:$D$505,2,FALSE),D961))</f>
        <v/>
      </c>
      <c r="L961" s="17">
        <f>IF(D961="","",IFERROR(VLOOKUP(D961,'Ürün Eşleştirme'!$A$6:$D$505,4,FALSE),1))</f>
        <v/>
      </c>
      <c r="M961" s="16">
        <f>IF(I961="","",I961/L961)</f>
        <v/>
      </c>
      <c r="N961" s="16">
        <f>IF(M961="","",IFERROR(AVERAGEIFS($M$10:$M$1009,$K$10:$K$1009,K961,$A$10:$A$1009,"&lt;"&amp;A961,$A$10:$A$1009,"&gt;="&amp;(A961-$C$6)),""))</f>
        <v/>
      </c>
      <c r="O961" s="16">
        <f>IF(M961="","",_xlfn.MINIFS($M$10:$M$1009,$K$10:$K$1009,K961,$A$10:$A$1009,"&lt;="&amp;A961,$A$10:$A$1009,"&gt;="&amp;(A961-$C$6)))</f>
        <v/>
      </c>
      <c r="P961" s="18">
        <f>IF(OR(N961="",N961=0),"",M961/N961-1)</f>
        <v/>
      </c>
      <c r="Q961">
        <f>IF(D961="","",IF(COUNTIFS($B$10:$B$1009,B961,$C$10:$C$1009,C961,$D$10:$D$1009,D961,$E$10:$E$1009,E961)&gt;1,"MÜKERRER?",IF(P961="","",IF(P961&gt;=$C$5,"İNCELE",IF(P961&lt;=-$C$5,"Düşük",""))))</f>
        <v/>
      </c>
      <c r="R961" s="16">
        <f>IF(AND(P961&lt;&gt;"",N(P961)&gt;=$C$5,COUNTIFS($B$10:B961,B961,$C$10:C961,C961,$D$10:D961,D961,$E$10:E961,E961)=1),(M961-N961)*E961*L961,0)</f>
        <v/>
      </c>
      <c r="S961" s="19">
        <f>IF(D961="",0,N(E961)*L961)</f>
        <v/>
      </c>
    </row>
    <row r="962">
      <c r="A962" s="11" t="n"/>
      <c r="B962" s="12" t="n"/>
      <c r="C962" s="12" t="n"/>
      <c r="D962" s="12" t="n"/>
      <c r="E962" s="13" t="n"/>
      <c r="F962" s="12" t="n"/>
      <c r="G962" s="14" t="n"/>
      <c r="H962" s="15" t="n"/>
      <c r="I962" s="16">
        <f>IF(G962="","",G962*(1-N(H962)))</f>
        <v/>
      </c>
      <c r="J962" s="16">
        <f>IF(I962="","",E962*I962)</f>
        <v/>
      </c>
      <c r="K962">
        <f>IF(D962="","",IFERROR(VLOOKUP(D962,'Ürün Eşleştirme'!$A$6:$D$505,2,FALSE),D962))</f>
        <v/>
      </c>
      <c r="L962" s="17">
        <f>IF(D962="","",IFERROR(VLOOKUP(D962,'Ürün Eşleştirme'!$A$6:$D$505,4,FALSE),1))</f>
        <v/>
      </c>
      <c r="M962" s="16">
        <f>IF(I962="","",I962/L962)</f>
        <v/>
      </c>
      <c r="N962" s="16">
        <f>IF(M962="","",IFERROR(AVERAGEIFS($M$10:$M$1009,$K$10:$K$1009,K962,$A$10:$A$1009,"&lt;"&amp;A962,$A$10:$A$1009,"&gt;="&amp;(A962-$C$6)),""))</f>
        <v/>
      </c>
      <c r="O962" s="16">
        <f>IF(M962="","",_xlfn.MINIFS($M$10:$M$1009,$K$10:$K$1009,K962,$A$10:$A$1009,"&lt;="&amp;A962,$A$10:$A$1009,"&gt;="&amp;(A962-$C$6)))</f>
        <v/>
      </c>
      <c r="P962" s="18">
        <f>IF(OR(N962="",N962=0),"",M962/N962-1)</f>
        <v/>
      </c>
      <c r="Q962">
        <f>IF(D962="","",IF(COUNTIFS($B$10:$B$1009,B962,$C$10:$C$1009,C962,$D$10:$D$1009,D962,$E$10:$E$1009,E962)&gt;1,"MÜKERRER?",IF(P962="","",IF(P962&gt;=$C$5,"İNCELE",IF(P962&lt;=-$C$5,"Düşük",""))))</f>
        <v/>
      </c>
      <c r="R962" s="16">
        <f>IF(AND(P962&lt;&gt;"",N(P962)&gt;=$C$5,COUNTIFS($B$10:B962,B962,$C$10:C962,C962,$D$10:D962,D962,$E$10:E962,E962)=1),(M962-N962)*E962*L962,0)</f>
        <v/>
      </c>
      <c r="S962" s="19">
        <f>IF(D962="",0,N(E962)*L962)</f>
        <v/>
      </c>
    </row>
    <row r="963">
      <c r="A963" s="11" t="n"/>
      <c r="B963" s="12" t="n"/>
      <c r="C963" s="12" t="n"/>
      <c r="D963" s="12" t="n"/>
      <c r="E963" s="13" t="n"/>
      <c r="F963" s="12" t="n"/>
      <c r="G963" s="14" t="n"/>
      <c r="H963" s="15" t="n"/>
      <c r="I963" s="16">
        <f>IF(G963="","",G963*(1-N(H963)))</f>
        <v/>
      </c>
      <c r="J963" s="16">
        <f>IF(I963="","",E963*I963)</f>
        <v/>
      </c>
      <c r="K963">
        <f>IF(D963="","",IFERROR(VLOOKUP(D963,'Ürün Eşleştirme'!$A$6:$D$505,2,FALSE),D963))</f>
        <v/>
      </c>
      <c r="L963" s="17">
        <f>IF(D963="","",IFERROR(VLOOKUP(D963,'Ürün Eşleştirme'!$A$6:$D$505,4,FALSE),1))</f>
        <v/>
      </c>
      <c r="M963" s="16">
        <f>IF(I963="","",I963/L963)</f>
        <v/>
      </c>
      <c r="N963" s="16">
        <f>IF(M963="","",IFERROR(AVERAGEIFS($M$10:$M$1009,$K$10:$K$1009,K963,$A$10:$A$1009,"&lt;"&amp;A963,$A$10:$A$1009,"&gt;="&amp;(A963-$C$6)),""))</f>
        <v/>
      </c>
      <c r="O963" s="16">
        <f>IF(M963="","",_xlfn.MINIFS($M$10:$M$1009,$K$10:$K$1009,K963,$A$10:$A$1009,"&lt;="&amp;A963,$A$10:$A$1009,"&gt;="&amp;(A963-$C$6)))</f>
        <v/>
      </c>
      <c r="P963" s="18">
        <f>IF(OR(N963="",N963=0),"",M963/N963-1)</f>
        <v/>
      </c>
      <c r="Q963">
        <f>IF(D963="","",IF(COUNTIFS($B$10:$B$1009,B963,$C$10:$C$1009,C963,$D$10:$D$1009,D963,$E$10:$E$1009,E963)&gt;1,"MÜKERRER?",IF(P963="","",IF(P963&gt;=$C$5,"İNCELE",IF(P963&lt;=-$C$5,"Düşük",""))))</f>
        <v/>
      </c>
      <c r="R963" s="16">
        <f>IF(AND(P963&lt;&gt;"",N(P963)&gt;=$C$5,COUNTIFS($B$10:B963,B963,$C$10:C963,C963,$D$10:D963,D963,$E$10:E963,E963)=1),(M963-N963)*E963*L963,0)</f>
        <v/>
      </c>
      <c r="S963" s="19">
        <f>IF(D963="",0,N(E963)*L963)</f>
        <v/>
      </c>
    </row>
    <row r="964">
      <c r="A964" s="11" t="n"/>
      <c r="B964" s="12" t="n"/>
      <c r="C964" s="12" t="n"/>
      <c r="D964" s="12" t="n"/>
      <c r="E964" s="13" t="n"/>
      <c r="F964" s="12" t="n"/>
      <c r="G964" s="14" t="n"/>
      <c r="H964" s="15" t="n"/>
      <c r="I964" s="16">
        <f>IF(G964="","",G964*(1-N(H964)))</f>
        <v/>
      </c>
      <c r="J964" s="16">
        <f>IF(I964="","",E964*I964)</f>
        <v/>
      </c>
      <c r="K964">
        <f>IF(D964="","",IFERROR(VLOOKUP(D964,'Ürün Eşleştirme'!$A$6:$D$505,2,FALSE),D964))</f>
        <v/>
      </c>
      <c r="L964" s="17">
        <f>IF(D964="","",IFERROR(VLOOKUP(D964,'Ürün Eşleştirme'!$A$6:$D$505,4,FALSE),1))</f>
        <v/>
      </c>
      <c r="M964" s="16">
        <f>IF(I964="","",I964/L964)</f>
        <v/>
      </c>
      <c r="N964" s="16">
        <f>IF(M964="","",IFERROR(AVERAGEIFS($M$10:$M$1009,$K$10:$K$1009,K964,$A$10:$A$1009,"&lt;"&amp;A964,$A$10:$A$1009,"&gt;="&amp;(A964-$C$6)),""))</f>
        <v/>
      </c>
      <c r="O964" s="16">
        <f>IF(M964="","",_xlfn.MINIFS($M$10:$M$1009,$K$10:$K$1009,K964,$A$10:$A$1009,"&lt;="&amp;A964,$A$10:$A$1009,"&gt;="&amp;(A964-$C$6)))</f>
        <v/>
      </c>
      <c r="P964" s="18">
        <f>IF(OR(N964="",N964=0),"",M964/N964-1)</f>
        <v/>
      </c>
      <c r="Q964">
        <f>IF(D964="","",IF(COUNTIFS($B$10:$B$1009,B964,$C$10:$C$1009,C964,$D$10:$D$1009,D964,$E$10:$E$1009,E964)&gt;1,"MÜKERRER?",IF(P964="","",IF(P964&gt;=$C$5,"İNCELE",IF(P964&lt;=-$C$5,"Düşük",""))))</f>
        <v/>
      </c>
      <c r="R964" s="16">
        <f>IF(AND(P964&lt;&gt;"",N(P964)&gt;=$C$5,COUNTIFS($B$10:B964,B964,$C$10:C964,C964,$D$10:D964,D964,$E$10:E964,E964)=1),(M964-N964)*E964*L964,0)</f>
        <v/>
      </c>
      <c r="S964" s="19">
        <f>IF(D964="",0,N(E964)*L964)</f>
        <v/>
      </c>
    </row>
    <row r="965">
      <c r="A965" s="11" t="n"/>
      <c r="B965" s="12" t="n"/>
      <c r="C965" s="12" t="n"/>
      <c r="D965" s="12" t="n"/>
      <c r="E965" s="13" t="n"/>
      <c r="F965" s="12" t="n"/>
      <c r="G965" s="14" t="n"/>
      <c r="H965" s="15" t="n"/>
      <c r="I965" s="16">
        <f>IF(G965="","",G965*(1-N(H965)))</f>
        <v/>
      </c>
      <c r="J965" s="16">
        <f>IF(I965="","",E965*I965)</f>
        <v/>
      </c>
      <c r="K965">
        <f>IF(D965="","",IFERROR(VLOOKUP(D965,'Ürün Eşleştirme'!$A$6:$D$505,2,FALSE),D965))</f>
        <v/>
      </c>
      <c r="L965" s="17">
        <f>IF(D965="","",IFERROR(VLOOKUP(D965,'Ürün Eşleştirme'!$A$6:$D$505,4,FALSE),1))</f>
        <v/>
      </c>
      <c r="M965" s="16">
        <f>IF(I965="","",I965/L965)</f>
        <v/>
      </c>
      <c r="N965" s="16">
        <f>IF(M965="","",IFERROR(AVERAGEIFS($M$10:$M$1009,$K$10:$K$1009,K965,$A$10:$A$1009,"&lt;"&amp;A965,$A$10:$A$1009,"&gt;="&amp;(A965-$C$6)),""))</f>
        <v/>
      </c>
      <c r="O965" s="16">
        <f>IF(M965="","",_xlfn.MINIFS($M$10:$M$1009,$K$10:$K$1009,K965,$A$10:$A$1009,"&lt;="&amp;A965,$A$10:$A$1009,"&gt;="&amp;(A965-$C$6)))</f>
        <v/>
      </c>
      <c r="P965" s="18">
        <f>IF(OR(N965="",N965=0),"",M965/N965-1)</f>
        <v/>
      </c>
      <c r="Q965">
        <f>IF(D965="","",IF(COUNTIFS($B$10:$B$1009,B965,$C$10:$C$1009,C965,$D$10:$D$1009,D965,$E$10:$E$1009,E965)&gt;1,"MÜKERRER?",IF(P965="","",IF(P965&gt;=$C$5,"İNCELE",IF(P965&lt;=-$C$5,"Düşük",""))))</f>
        <v/>
      </c>
      <c r="R965" s="16">
        <f>IF(AND(P965&lt;&gt;"",N(P965)&gt;=$C$5,COUNTIFS($B$10:B965,B965,$C$10:C965,C965,$D$10:D965,D965,$E$10:E965,E965)=1),(M965-N965)*E965*L965,0)</f>
        <v/>
      </c>
      <c r="S965" s="19">
        <f>IF(D965="",0,N(E965)*L965)</f>
        <v/>
      </c>
    </row>
    <row r="966">
      <c r="A966" s="11" t="n"/>
      <c r="B966" s="12" t="n"/>
      <c r="C966" s="12" t="n"/>
      <c r="D966" s="12" t="n"/>
      <c r="E966" s="13" t="n"/>
      <c r="F966" s="12" t="n"/>
      <c r="G966" s="14" t="n"/>
      <c r="H966" s="15" t="n"/>
      <c r="I966" s="16">
        <f>IF(G966="","",G966*(1-N(H966)))</f>
        <v/>
      </c>
      <c r="J966" s="16">
        <f>IF(I966="","",E966*I966)</f>
        <v/>
      </c>
      <c r="K966">
        <f>IF(D966="","",IFERROR(VLOOKUP(D966,'Ürün Eşleştirme'!$A$6:$D$505,2,FALSE),D966))</f>
        <v/>
      </c>
      <c r="L966" s="17">
        <f>IF(D966="","",IFERROR(VLOOKUP(D966,'Ürün Eşleştirme'!$A$6:$D$505,4,FALSE),1))</f>
        <v/>
      </c>
      <c r="M966" s="16">
        <f>IF(I966="","",I966/L966)</f>
        <v/>
      </c>
      <c r="N966" s="16">
        <f>IF(M966="","",IFERROR(AVERAGEIFS($M$10:$M$1009,$K$10:$K$1009,K966,$A$10:$A$1009,"&lt;"&amp;A966,$A$10:$A$1009,"&gt;="&amp;(A966-$C$6)),""))</f>
        <v/>
      </c>
      <c r="O966" s="16">
        <f>IF(M966="","",_xlfn.MINIFS($M$10:$M$1009,$K$10:$K$1009,K966,$A$10:$A$1009,"&lt;="&amp;A966,$A$10:$A$1009,"&gt;="&amp;(A966-$C$6)))</f>
        <v/>
      </c>
      <c r="P966" s="18">
        <f>IF(OR(N966="",N966=0),"",M966/N966-1)</f>
        <v/>
      </c>
      <c r="Q966">
        <f>IF(D966="","",IF(COUNTIFS($B$10:$B$1009,B966,$C$10:$C$1009,C966,$D$10:$D$1009,D966,$E$10:$E$1009,E966)&gt;1,"MÜKERRER?",IF(P966="","",IF(P966&gt;=$C$5,"İNCELE",IF(P966&lt;=-$C$5,"Düşük",""))))</f>
        <v/>
      </c>
      <c r="R966" s="16">
        <f>IF(AND(P966&lt;&gt;"",N(P966)&gt;=$C$5,COUNTIFS($B$10:B966,B966,$C$10:C966,C966,$D$10:D966,D966,$E$10:E966,E966)=1),(M966-N966)*E966*L966,0)</f>
        <v/>
      </c>
      <c r="S966" s="19">
        <f>IF(D966="",0,N(E966)*L966)</f>
        <v/>
      </c>
    </row>
    <row r="967">
      <c r="A967" s="11" t="n"/>
      <c r="B967" s="12" t="n"/>
      <c r="C967" s="12" t="n"/>
      <c r="D967" s="12" t="n"/>
      <c r="E967" s="13" t="n"/>
      <c r="F967" s="12" t="n"/>
      <c r="G967" s="14" t="n"/>
      <c r="H967" s="15" t="n"/>
      <c r="I967" s="16">
        <f>IF(G967="","",G967*(1-N(H967)))</f>
        <v/>
      </c>
      <c r="J967" s="16">
        <f>IF(I967="","",E967*I967)</f>
        <v/>
      </c>
      <c r="K967">
        <f>IF(D967="","",IFERROR(VLOOKUP(D967,'Ürün Eşleştirme'!$A$6:$D$505,2,FALSE),D967))</f>
        <v/>
      </c>
      <c r="L967" s="17">
        <f>IF(D967="","",IFERROR(VLOOKUP(D967,'Ürün Eşleştirme'!$A$6:$D$505,4,FALSE),1))</f>
        <v/>
      </c>
      <c r="M967" s="16">
        <f>IF(I967="","",I967/L967)</f>
        <v/>
      </c>
      <c r="N967" s="16">
        <f>IF(M967="","",IFERROR(AVERAGEIFS($M$10:$M$1009,$K$10:$K$1009,K967,$A$10:$A$1009,"&lt;"&amp;A967,$A$10:$A$1009,"&gt;="&amp;(A967-$C$6)),""))</f>
        <v/>
      </c>
      <c r="O967" s="16">
        <f>IF(M967="","",_xlfn.MINIFS($M$10:$M$1009,$K$10:$K$1009,K967,$A$10:$A$1009,"&lt;="&amp;A967,$A$10:$A$1009,"&gt;="&amp;(A967-$C$6)))</f>
        <v/>
      </c>
      <c r="P967" s="18">
        <f>IF(OR(N967="",N967=0),"",M967/N967-1)</f>
        <v/>
      </c>
      <c r="Q967">
        <f>IF(D967="","",IF(COUNTIFS($B$10:$B$1009,B967,$C$10:$C$1009,C967,$D$10:$D$1009,D967,$E$10:$E$1009,E967)&gt;1,"MÜKERRER?",IF(P967="","",IF(P967&gt;=$C$5,"İNCELE",IF(P967&lt;=-$C$5,"Düşük",""))))</f>
        <v/>
      </c>
      <c r="R967" s="16">
        <f>IF(AND(P967&lt;&gt;"",N(P967)&gt;=$C$5,COUNTIFS($B$10:B967,B967,$C$10:C967,C967,$D$10:D967,D967,$E$10:E967,E967)=1),(M967-N967)*E967*L967,0)</f>
        <v/>
      </c>
      <c r="S967" s="19">
        <f>IF(D967="",0,N(E967)*L967)</f>
        <v/>
      </c>
    </row>
    <row r="968">
      <c r="A968" s="11" t="n"/>
      <c r="B968" s="12" t="n"/>
      <c r="C968" s="12" t="n"/>
      <c r="D968" s="12" t="n"/>
      <c r="E968" s="13" t="n"/>
      <c r="F968" s="12" t="n"/>
      <c r="G968" s="14" t="n"/>
      <c r="H968" s="15" t="n"/>
      <c r="I968" s="16">
        <f>IF(G968="","",G968*(1-N(H968)))</f>
        <v/>
      </c>
      <c r="J968" s="16">
        <f>IF(I968="","",E968*I968)</f>
        <v/>
      </c>
      <c r="K968">
        <f>IF(D968="","",IFERROR(VLOOKUP(D968,'Ürün Eşleştirme'!$A$6:$D$505,2,FALSE),D968))</f>
        <v/>
      </c>
      <c r="L968" s="17">
        <f>IF(D968="","",IFERROR(VLOOKUP(D968,'Ürün Eşleştirme'!$A$6:$D$505,4,FALSE),1))</f>
        <v/>
      </c>
      <c r="M968" s="16">
        <f>IF(I968="","",I968/L968)</f>
        <v/>
      </c>
      <c r="N968" s="16">
        <f>IF(M968="","",IFERROR(AVERAGEIFS($M$10:$M$1009,$K$10:$K$1009,K968,$A$10:$A$1009,"&lt;"&amp;A968,$A$10:$A$1009,"&gt;="&amp;(A968-$C$6)),""))</f>
        <v/>
      </c>
      <c r="O968" s="16">
        <f>IF(M968="","",_xlfn.MINIFS($M$10:$M$1009,$K$10:$K$1009,K968,$A$10:$A$1009,"&lt;="&amp;A968,$A$10:$A$1009,"&gt;="&amp;(A968-$C$6)))</f>
        <v/>
      </c>
      <c r="P968" s="18">
        <f>IF(OR(N968="",N968=0),"",M968/N968-1)</f>
        <v/>
      </c>
      <c r="Q968">
        <f>IF(D968="","",IF(COUNTIFS($B$10:$B$1009,B968,$C$10:$C$1009,C968,$D$10:$D$1009,D968,$E$10:$E$1009,E968)&gt;1,"MÜKERRER?",IF(P968="","",IF(P968&gt;=$C$5,"İNCELE",IF(P968&lt;=-$C$5,"Düşük",""))))</f>
        <v/>
      </c>
      <c r="R968" s="16">
        <f>IF(AND(P968&lt;&gt;"",N(P968)&gt;=$C$5,COUNTIFS($B$10:B968,B968,$C$10:C968,C968,$D$10:D968,D968,$E$10:E968,E968)=1),(M968-N968)*E968*L968,0)</f>
        <v/>
      </c>
      <c r="S968" s="19">
        <f>IF(D968="",0,N(E968)*L968)</f>
        <v/>
      </c>
    </row>
    <row r="969">
      <c r="A969" s="11" t="n"/>
      <c r="B969" s="12" t="n"/>
      <c r="C969" s="12" t="n"/>
      <c r="D969" s="12" t="n"/>
      <c r="E969" s="13" t="n"/>
      <c r="F969" s="12" t="n"/>
      <c r="G969" s="14" t="n"/>
      <c r="H969" s="15" t="n"/>
      <c r="I969" s="16">
        <f>IF(G969="","",G969*(1-N(H969)))</f>
        <v/>
      </c>
      <c r="J969" s="16">
        <f>IF(I969="","",E969*I969)</f>
        <v/>
      </c>
      <c r="K969">
        <f>IF(D969="","",IFERROR(VLOOKUP(D969,'Ürün Eşleştirme'!$A$6:$D$505,2,FALSE),D969))</f>
        <v/>
      </c>
      <c r="L969" s="17">
        <f>IF(D969="","",IFERROR(VLOOKUP(D969,'Ürün Eşleştirme'!$A$6:$D$505,4,FALSE),1))</f>
        <v/>
      </c>
      <c r="M969" s="16">
        <f>IF(I969="","",I969/L969)</f>
        <v/>
      </c>
      <c r="N969" s="16">
        <f>IF(M969="","",IFERROR(AVERAGEIFS($M$10:$M$1009,$K$10:$K$1009,K969,$A$10:$A$1009,"&lt;"&amp;A969,$A$10:$A$1009,"&gt;="&amp;(A969-$C$6)),""))</f>
        <v/>
      </c>
      <c r="O969" s="16">
        <f>IF(M969="","",_xlfn.MINIFS($M$10:$M$1009,$K$10:$K$1009,K969,$A$10:$A$1009,"&lt;="&amp;A969,$A$10:$A$1009,"&gt;="&amp;(A969-$C$6)))</f>
        <v/>
      </c>
      <c r="P969" s="18">
        <f>IF(OR(N969="",N969=0),"",M969/N969-1)</f>
        <v/>
      </c>
      <c r="Q969">
        <f>IF(D969="","",IF(COUNTIFS($B$10:$B$1009,B969,$C$10:$C$1009,C969,$D$10:$D$1009,D969,$E$10:$E$1009,E969)&gt;1,"MÜKERRER?",IF(P969="","",IF(P969&gt;=$C$5,"İNCELE",IF(P969&lt;=-$C$5,"Düşük",""))))</f>
        <v/>
      </c>
      <c r="R969" s="16">
        <f>IF(AND(P969&lt;&gt;"",N(P969)&gt;=$C$5,COUNTIFS($B$10:B969,B969,$C$10:C969,C969,$D$10:D969,D969,$E$10:E969,E969)=1),(M969-N969)*E969*L969,0)</f>
        <v/>
      </c>
      <c r="S969" s="19">
        <f>IF(D969="",0,N(E969)*L969)</f>
        <v/>
      </c>
    </row>
    <row r="970">
      <c r="A970" s="11" t="n"/>
      <c r="B970" s="12" t="n"/>
      <c r="C970" s="12" t="n"/>
      <c r="D970" s="12" t="n"/>
      <c r="E970" s="13" t="n"/>
      <c r="F970" s="12" t="n"/>
      <c r="G970" s="14" t="n"/>
      <c r="H970" s="15" t="n"/>
      <c r="I970" s="16">
        <f>IF(G970="","",G970*(1-N(H970)))</f>
        <v/>
      </c>
      <c r="J970" s="16">
        <f>IF(I970="","",E970*I970)</f>
        <v/>
      </c>
      <c r="K970">
        <f>IF(D970="","",IFERROR(VLOOKUP(D970,'Ürün Eşleştirme'!$A$6:$D$505,2,FALSE),D970))</f>
        <v/>
      </c>
      <c r="L970" s="17">
        <f>IF(D970="","",IFERROR(VLOOKUP(D970,'Ürün Eşleştirme'!$A$6:$D$505,4,FALSE),1))</f>
        <v/>
      </c>
      <c r="M970" s="16">
        <f>IF(I970="","",I970/L970)</f>
        <v/>
      </c>
      <c r="N970" s="16">
        <f>IF(M970="","",IFERROR(AVERAGEIFS($M$10:$M$1009,$K$10:$K$1009,K970,$A$10:$A$1009,"&lt;"&amp;A970,$A$10:$A$1009,"&gt;="&amp;(A970-$C$6)),""))</f>
        <v/>
      </c>
      <c r="O970" s="16">
        <f>IF(M970="","",_xlfn.MINIFS($M$10:$M$1009,$K$10:$K$1009,K970,$A$10:$A$1009,"&lt;="&amp;A970,$A$10:$A$1009,"&gt;="&amp;(A970-$C$6)))</f>
        <v/>
      </c>
      <c r="P970" s="18">
        <f>IF(OR(N970="",N970=0),"",M970/N970-1)</f>
        <v/>
      </c>
      <c r="Q970">
        <f>IF(D970="","",IF(COUNTIFS($B$10:$B$1009,B970,$C$10:$C$1009,C970,$D$10:$D$1009,D970,$E$10:$E$1009,E970)&gt;1,"MÜKERRER?",IF(P970="","",IF(P970&gt;=$C$5,"İNCELE",IF(P970&lt;=-$C$5,"Düşük",""))))</f>
        <v/>
      </c>
      <c r="R970" s="16">
        <f>IF(AND(P970&lt;&gt;"",N(P970)&gt;=$C$5,COUNTIFS($B$10:B970,B970,$C$10:C970,C970,$D$10:D970,D970,$E$10:E970,E970)=1),(M970-N970)*E970*L970,0)</f>
        <v/>
      </c>
      <c r="S970" s="19">
        <f>IF(D970="",0,N(E970)*L970)</f>
        <v/>
      </c>
    </row>
    <row r="971">
      <c r="A971" s="11" t="n"/>
      <c r="B971" s="12" t="n"/>
      <c r="C971" s="12" t="n"/>
      <c r="D971" s="12" t="n"/>
      <c r="E971" s="13" t="n"/>
      <c r="F971" s="12" t="n"/>
      <c r="G971" s="14" t="n"/>
      <c r="H971" s="15" t="n"/>
      <c r="I971" s="16">
        <f>IF(G971="","",G971*(1-N(H971)))</f>
        <v/>
      </c>
      <c r="J971" s="16">
        <f>IF(I971="","",E971*I971)</f>
        <v/>
      </c>
      <c r="K971">
        <f>IF(D971="","",IFERROR(VLOOKUP(D971,'Ürün Eşleştirme'!$A$6:$D$505,2,FALSE),D971))</f>
        <v/>
      </c>
      <c r="L971" s="17">
        <f>IF(D971="","",IFERROR(VLOOKUP(D971,'Ürün Eşleştirme'!$A$6:$D$505,4,FALSE),1))</f>
        <v/>
      </c>
      <c r="M971" s="16">
        <f>IF(I971="","",I971/L971)</f>
        <v/>
      </c>
      <c r="N971" s="16">
        <f>IF(M971="","",IFERROR(AVERAGEIFS($M$10:$M$1009,$K$10:$K$1009,K971,$A$10:$A$1009,"&lt;"&amp;A971,$A$10:$A$1009,"&gt;="&amp;(A971-$C$6)),""))</f>
        <v/>
      </c>
      <c r="O971" s="16">
        <f>IF(M971="","",_xlfn.MINIFS($M$10:$M$1009,$K$10:$K$1009,K971,$A$10:$A$1009,"&lt;="&amp;A971,$A$10:$A$1009,"&gt;="&amp;(A971-$C$6)))</f>
        <v/>
      </c>
      <c r="P971" s="18">
        <f>IF(OR(N971="",N971=0),"",M971/N971-1)</f>
        <v/>
      </c>
      <c r="Q971">
        <f>IF(D971="","",IF(COUNTIFS($B$10:$B$1009,B971,$C$10:$C$1009,C971,$D$10:$D$1009,D971,$E$10:$E$1009,E971)&gt;1,"MÜKERRER?",IF(P971="","",IF(P971&gt;=$C$5,"İNCELE",IF(P971&lt;=-$C$5,"Düşük",""))))</f>
        <v/>
      </c>
      <c r="R971" s="16">
        <f>IF(AND(P971&lt;&gt;"",N(P971)&gt;=$C$5,COUNTIFS($B$10:B971,B971,$C$10:C971,C971,$D$10:D971,D971,$E$10:E971,E971)=1),(M971-N971)*E971*L971,0)</f>
        <v/>
      </c>
      <c r="S971" s="19">
        <f>IF(D971="",0,N(E971)*L971)</f>
        <v/>
      </c>
    </row>
    <row r="972">
      <c r="A972" s="11" t="n"/>
      <c r="B972" s="12" t="n"/>
      <c r="C972" s="12" t="n"/>
      <c r="D972" s="12" t="n"/>
      <c r="E972" s="13" t="n"/>
      <c r="F972" s="12" t="n"/>
      <c r="G972" s="14" t="n"/>
      <c r="H972" s="15" t="n"/>
      <c r="I972" s="16">
        <f>IF(G972="","",G972*(1-N(H972)))</f>
        <v/>
      </c>
      <c r="J972" s="16">
        <f>IF(I972="","",E972*I972)</f>
        <v/>
      </c>
      <c r="K972">
        <f>IF(D972="","",IFERROR(VLOOKUP(D972,'Ürün Eşleştirme'!$A$6:$D$505,2,FALSE),D972))</f>
        <v/>
      </c>
      <c r="L972" s="17">
        <f>IF(D972="","",IFERROR(VLOOKUP(D972,'Ürün Eşleştirme'!$A$6:$D$505,4,FALSE),1))</f>
        <v/>
      </c>
      <c r="M972" s="16">
        <f>IF(I972="","",I972/L972)</f>
        <v/>
      </c>
      <c r="N972" s="16">
        <f>IF(M972="","",IFERROR(AVERAGEIFS($M$10:$M$1009,$K$10:$K$1009,K972,$A$10:$A$1009,"&lt;"&amp;A972,$A$10:$A$1009,"&gt;="&amp;(A972-$C$6)),""))</f>
        <v/>
      </c>
      <c r="O972" s="16">
        <f>IF(M972="","",_xlfn.MINIFS($M$10:$M$1009,$K$10:$K$1009,K972,$A$10:$A$1009,"&lt;="&amp;A972,$A$10:$A$1009,"&gt;="&amp;(A972-$C$6)))</f>
        <v/>
      </c>
      <c r="P972" s="18">
        <f>IF(OR(N972="",N972=0),"",M972/N972-1)</f>
        <v/>
      </c>
      <c r="Q972">
        <f>IF(D972="","",IF(COUNTIFS($B$10:$B$1009,B972,$C$10:$C$1009,C972,$D$10:$D$1009,D972,$E$10:$E$1009,E972)&gt;1,"MÜKERRER?",IF(P972="","",IF(P972&gt;=$C$5,"İNCELE",IF(P972&lt;=-$C$5,"Düşük",""))))</f>
        <v/>
      </c>
      <c r="R972" s="16">
        <f>IF(AND(P972&lt;&gt;"",N(P972)&gt;=$C$5,COUNTIFS($B$10:B972,B972,$C$10:C972,C972,$D$10:D972,D972,$E$10:E972,E972)=1),(M972-N972)*E972*L972,0)</f>
        <v/>
      </c>
      <c r="S972" s="19">
        <f>IF(D972="",0,N(E972)*L972)</f>
        <v/>
      </c>
    </row>
    <row r="973">
      <c r="A973" s="11" t="n"/>
      <c r="B973" s="12" t="n"/>
      <c r="C973" s="12" t="n"/>
      <c r="D973" s="12" t="n"/>
      <c r="E973" s="13" t="n"/>
      <c r="F973" s="12" t="n"/>
      <c r="G973" s="14" t="n"/>
      <c r="H973" s="15" t="n"/>
      <c r="I973" s="16">
        <f>IF(G973="","",G973*(1-N(H973)))</f>
        <v/>
      </c>
      <c r="J973" s="16">
        <f>IF(I973="","",E973*I973)</f>
        <v/>
      </c>
      <c r="K973">
        <f>IF(D973="","",IFERROR(VLOOKUP(D973,'Ürün Eşleştirme'!$A$6:$D$505,2,FALSE),D973))</f>
        <v/>
      </c>
      <c r="L973" s="17">
        <f>IF(D973="","",IFERROR(VLOOKUP(D973,'Ürün Eşleştirme'!$A$6:$D$505,4,FALSE),1))</f>
        <v/>
      </c>
      <c r="M973" s="16">
        <f>IF(I973="","",I973/L973)</f>
        <v/>
      </c>
      <c r="N973" s="16">
        <f>IF(M973="","",IFERROR(AVERAGEIFS($M$10:$M$1009,$K$10:$K$1009,K973,$A$10:$A$1009,"&lt;"&amp;A973,$A$10:$A$1009,"&gt;="&amp;(A973-$C$6)),""))</f>
        <v/>
      </c>
      <c r="O973" s="16">
        <f>IF(M973="","",_xlfn.MINIFS($M$10:$M$1009,$K$10:$K$1009,K973,$A$10:$A$1009,"&lt;="&amp;A973,$A$10:$A$1009,"&gt;="&amp;(A973-$C$6)))</f>
        <v/>
      </c>
      <c r="P973" s="18">
        <f>IF(OR(N973="",N973=0),"",M973/N973-1)</f>
        <v/>
      </c>
      <c r="Q973">
        <f>IF(D973="","",IF(COUNTIFS($B$10:$B$1009,B973,$C$10:$C$1009,C973,$D$10:$D$1009,D973,$E$10:$E$1009,E973)&gt;1,"MÜKERRER?",IF(P973="","",IF(P973&gt;=$C$5,"İNCELE",IF(P973&lt;=-$C$5,"Düşük",""))))</f>
        <v/>
      </c>
      <c r="R973" s="16">
        <f>IF(AND(P973&lt;&gt;"",N(P973)&gt;=$C$5,COUNTIFS($B$10:B973,B973,$C$10:C973,C973,$D$10:D973,D973,$E$10:E973,E973)=1),(M973-N973)*E973*L973,0)</f>
        <v/>
      </c>
      <c r="S973" s="19">
        <f>IF(D973="",0,N(E973)*L973)</f>
        <v/>
      </c>
    </row>
    <row r="974">
      <c r="A974" s="11" t="n"/>
      <c r="B974" s="12" t="n"/>
      <c r="C974" s="12" t="n"/>
      <c r="D974" s="12" t="n"/>
      <c r="E974" s="13" t="n"/>
      <c r="F974" s="12" t="n"/>
      <c r="G974" s="14" t="n"/>
      <c r="H974" s="15" t="n"/>
      <c r="I974" s="16">
        <f>IF(G974="","",G974*(1-N(H974)))</f>
        <v/>
      </c>
      <c r="J974" s="16">
        <f>IF(I974="","",E974*I974)</f>
        <v/>
      </c>
      <c r="K974">
        <f>IF(D974="","",IFERROR(VLOOKUP(D974,'Ürün Eşleştirme'!$A$6:$D$505,2,FALSE),D974))</f>
        <v/>
      </c>
      <c r="L974" s="17">
        <f>IF(D974="","",IFERROR(VLOOKUP(D974,'Ürün Eşleştirme'!$A$6:$D$505,4,FALSE),1))</f>
        <v/>
      </c>
      <c r="M974" s="16">
        <f>IF(I974="","",I974/L974)</f>
        <v/>
      </c>
      <c r="N974" s="16">
        <f>IF(M974="","",IFERROR(AVERAGEIFS($M$10:$M$1009,$K$10:$K$1009,K974,$A$10:$A$1009,"&lt;"&amp;A974,$A$10:$A$1009,"&gt;="&amp;(A974-$C$6)),""))</f>
        <v/>
      </c>
      <c r="O974" s="16">
        <f>IF(M974="","",_xlfn.MINIFS($M$10:$M$1009,$K$10:$K$1009,K974,$A$10:$A$1009,"&lt;="&amp;A974,$A$10:$A$1009,"&gt;="&amp;(A974-$C$6)))</f>
        <v/>
      </c>
      <c r="P974" s="18">
        <f>IF(OR(N974="",N974=0),"",M974/N974-1)</f>
        <v/>
      </c>
      <c r="Q974">
        <f>IF(D974="","",IF(COUNTIFS($B$10:$B$1009,B974,$C$10:$C$1009,C974,$D$10:$D$1009,D974,$E$10:$E$1009,E974)&gt;1,"MÜKERRER?",IF(P974="","",IF(P974&gt;=$C$5,"İNCELE",IF(P974&lt;=-$C$5,"Düşük",""))))</f>
        <v/>
      </c>
      <c r="R974" s="16">
        <f>IF(AND(P974&lt;&gt;"",N(P974)&gt;=$C$5,COUNTIFS($B$10:B974,B974,$C$10:C974,C974,$D$10:D974,D974,$E$10:E974,E974)=1),(M974-N974)*E974*L974,0)</f>
        <v/>
      </c>
      <c r="S974" s="19">
        <f>IF(D974="",0,N(E974)*L974)</f>
        <v/>
      </c>
    </row>
    <row r="975">
      <c r="A975" s="11" t="n"/>
      <c r="B975" s="12" t="n"/>
      <c r="C975" s="12" t="n"/>
      <c r="D975" s="12" t="n"/>
      <c r="E975" s="13" t="n"/>
      <c r="F975" s="12" t="n"/>
      <c r="G975" s="14" t="n"/>
      <c r="H975" s="15" t="n"/>
      <c r="I975" s="16">
        <f>IF(G975="","",G975*(1-N(H975)))</f>
        <v/>
      </c>
      <c r="J975" s="16">
        <f>IF(I975="","",E975*I975)</f>
        <v/>
      </c>
      <c r="K975">
        <f>IF(D975="","",IFERROR(VLOOKUP(D975,'Ürün Eşleştirme'!$A$6:$D$505,2,FALSE),D975))</f>
        <v/>
      </c>
      <c r="L975" s="17">
        <f>IF(D975="","",IFERROR(VLOOKUP(D975,'Ürün Eşleştirme'!$A$6:$D$505,4,FALSE),1))</f>
        <v/>
      </c>
      <c r="M975" s="16">
        <f>IF(I975="","",I975/L975)</f>
        <v/>
      </c>
      <c r="N975" s="16">
        <f>IF(M975="","",IFERROR(AVERAGEIFS($M$10:$M$1009,$K$10:$K$1009,K975,$A$10:$A$1009,"&lt;"&amp;A975,$A$10:$A$1009,"&gt;="&amp;(A975-$C$6)),""))</f>
        <v/>
      </c>
      <c r="O975" s="16">
        <f>IF(M975="","",_xlfn.MINIFS($M$10:$M$1009,$K$10:$K$1009,K975,$A$10:$A$1009,"&lt;="&amp;A975,$A$10:$A$1009,"&gt;="&amp;(A975-$C$6)))</f>
        <v/>
      </c>
      <c r="P975" s="18">
        <f>IF(OR(N975="",N975=0),"",M975/N975-1)</f>
        <v/>
      </c>
      <c r="Q975">
        <f>IF(D975="","",IF(COUNTIFS($B$10:$B$1009,B975,$C$10:$C$1009,C975,$D$10:$D$1009,D975,$E$10:$E$1009,E975)&gt;1,"MÜKERRER?",IF(P975="","",IF(P975&gt;=$C$5,"İNCELE",IF(P975&lt;=-$C$5,"Düşük",""))))</f>
        <v/>
      </c>
      <c r="R975" s="16">
        <f>IF(AND(P975&lt;&gt;"",N(P975)&gt;=$C$5,COUNTIFS($B$10:B975,B975,$C$10:C975,C975,$D$10:D975,D975,$E$10:E975,E975)=1),(M975-N975)*E975*L975,0)</f>
        <v/>
      </c>
      <c r="S975" s="19">
        <f>IF(D975="",0,N(E975)*L975)</f>
        <v/>
      </c>
    </row>
    <row r="976">
      <c r="A976" s="11" t="n"/>
      <c r="B976" s="12" t="n"/>
      <c r="C976" s="12" t="n"/>
      <c r="D976" s="12" t="n"/>
      <c r="E976" s="13" t="n"/>
      <c r="F976" s="12" t="n"/>
      <c r="G976" s="14" t="n"/>
      <c r="H976" s="15" t="n"/>
      <c r="I976" s="16">
        <f>IF(G976="","",G976*(1-N(H976)))</f>
        <v/>
      </c>
      <c r="J976" s="16">
        <f>IF(I976="","",E976*I976)</f>
        <v/>
      </c>
      <c r="K976">
        <f>IF(D976="","",IFERROR(VLOOKUP(D976,'Ürün Eşleştirme'!$A$6:$D$505,2,FALSE),D976))</f>
        <v/>
      </c>
      <c r="L976" s="17">
        <f>IF(D976="","",IFERROR(VLOOKUP(D976,'Ürün Eşleştirme'!$A$6:$D$505,4,FALSE),1))</f>
        <v/>
      </c>
      <c r="M976" s="16">
        <f>IF(I976="","",I976/L976)</f>
        <v/>
      </c>
      <c r="N976" s="16">
        <f>IF(M976="","",IFERROR(AVERAGEIFS($M$10:$M$1009,$K$10:$K$1009,K976,$A$10:$A$1009,"&lt;"&amp;A976,$A$10:$A$1009,"&gt;="&amp;(A976-$C$6)),""))</f>
        <v/>
      </c>
      <c r="O976" s="16">
        <f>IF(M976="","",_xlfn.MINIFS($M$10:$M$1009,$K$10:$K$1009,K976,$A$10:$A$1009,"&lt;="&amp;A976,$A$10:$A$1009,"&gt;="&amp;(A976-$C$6)))</f>
        <v/>
      </c>
      <c r="P976" s="18">
        <f>IF(OR(N976="",N976=0),"",M976/N976-1)</f>
        <v/>
      </c>
      <c r="Q976">
        <f>IF(D976="","",IF(COUNTIFS($B$10:$B$1009,B976,$C$10:$C$1009,C976,$D$10:$D$1009,D976,$E$10:$E$1009,E976)&gt;1,"MÜKERRER?",IF(P976="","",IF(P976&gt;=$C$5,"İNCELE",IF(P976&lt;=-$C$5,"Düşük",""))))</f>
        <v/>
      </c>
      <c r="R976" s="16">
        <f>IF(AND(P976&lt;&gt;"",N(P976)&gt;=$C$5,COUNTIFS($B$10:B976,B976,$C$10:C976,C976,$D$10:D976,D976,$E$10:E976,E976)=1),(M976-N976)*E976*L976,0)</f>
        <v/>
      </c>
      <c r="S976" s="19">
        <f>IF(D976="",0,N(E976)*L976)</f>
        <v/>
      </c>
    </row>
    <row r="977">
      <c r="A977" s="11" t="n"/>
      <c r="B977" s="12" t="n"/>
      <c r="C977" s="12" t="n"/>
      <c r="D977" s="12" t="n"/>
      <c r="E977" s="13" t="n"/>
      <c r="F977" s="12" t="n"/>
      <c r="G977" s="14" t="n"/>
      <c r="H977" s="15" t="n"/>
      <c r="I977" s="16">
        <f>IF(G977="","",G977*(1-N(H977)))</f>
        <v/>
      </c>
      <c r="J977" s="16">
        <f>IF(I977="","",E977*I977)</f>
        <v/>
      </c>
      <c r="K977">
        <f>IF(D977="","",IFERROR(VLOOKUP(D977,'Ürün Eşleştirme'!$A$6:$D$505,2,FALSE),D977))</f>
        <v/>
      </c>
      <c r="L977" s="17">
        <f>IF(D977="","",IFERROR(VLOOKUP(D977,'Ürün Eşleştirme'!$A$6:$D$505,4,FALSE),1))</f>
        <v/>
      </c>
      <c r="M977" s="16">
        <f>IF(I977="","",I977/L977)</f>
        <v/>
      </c>
      <c r="N977" s="16">
        <f>IF(M977="","",IFERROR(AVERAGEIFS($M$10:$M$1009,$K$10:$K$1009,K977,$A$10:$A$1009,"&lt;"&amp;A977,$A$10:$A$1009,"&gt;="&amp;(A977-$C$6)),""))</f>
        <v/>
      </c>
      <c r="O977" s="16">
        <f>IF(M977="","",_xlfn.MINIFS($M$10:$M$1009,$K$10:$K$1009,K977,$A$10:$A$1009,"&lt;="&amp;A977,$A$10:$A$1009,"&gt;="&amp;(A977-$C$6)))</f>
        <v/>
      </c>
      <c r="P977" s="18">
        <f>IF(OR(N977="",N977=0),"",M977/N977-1)</f>
        <v/>
      </c>
      <c r="Q977">
        <f>IF(D977="","",IF(COUNTIFS($B$10:$B$1009,B977,$C$10:$C$1009,C977,$D$10:$D$1009,D977,$E$10:$E$1009,E977)&gt;1,"MÜKERRER?",IF(P977="","",IF(P977&gt;=$C$5,"İNCELE",IF(P977&lt;=-$C$5,"Düşük",""))))</f>
        <v/>
      </c>
      <c r="R977" s="16">
        <f>IF(AND(P977&lt;&gt;"",N(P977)&gt;=$C$5,COUNTIFS($B$10:B977,B977,$C$10:C977,C977,$D$10:D977,D977,$E$10:E977,E977)=1),(M977-N977)*E977*L977,0)</f>
        <v/>
      </c>
      <c r="S977" s="19">
        <f>IF(D977="",0,N(E977)*L977)</f>
        <v/>
      </c>
    </row>
    <row r="978">
      <c r="A978" s="11" t="n"/>
      <c r="B978" s="12" t="n"/>
      <c r="C978" s="12" t="n"/>
      <c r="D978" s="12" t="n"/>
      <c r="E978" s="13" t="n"/>
      <c r="F978" s="12" t="n"/>
      <c r="G978" s="14" t="n"/>
      <c r="H978" s="15" t="n"/>
      <c r="I978" s="16">
        <f>IF(G978="","",G978*(1-N(H978)))</f>
        <v/>
      </c>
      <c r="J978" s="16">
        <f>IF(I978="","",E978*I978)</f>
        <v/>
      </c>
      <c r="K978">
        <f>IF(D978="","",IFERROR(VLOOKUP(D978,'Ürün Eşleştirme'!$A$6:$D$505,2,FALSE),D978))</f>
        <v/>
      </c>
      <c r="L978" s="17">
        <f>IF(D978="","",IFERROR(VLOOKUP(D978,'Ürün Eşleştirme'!$A$6:$D$505,4,FALSE),1))</f>
        <v/>
      </c>
      <c r="M978" s="16">
        <f>IF(I978="","",I978/L978)</f>
        <v/>
      </c>
      <c r="N978" s="16">
        <f>IF(M978="","",IFERROR(AVERAGEIFS($M$10:$M$1009,$K$10:$K$1009,K978,$A$10:$A$1009,"&lt;"&amp;A978,$A$10:$A$1009,"&gt;="&amp;(A978-$C$6)),""))</f>
        <v/>
      </c>
      <c r="O978" s="16">
        <f>IF(M978="","",_xlfn.MINIFS($M$10:$M$1009,$K$10:$K$1009,K978,$A$10:$A$1009,"&lt;="&amp;A978,$A$10:$A$1009,"&gt;="&amp;(A978-$C$6)))</f>
        <v/>
      </c>
      <c r="P978" s="18">
        <f>IF(OR(N978="",N978=0),"",M978/N978-1)</f>
        <v/>
      </c>
      <c r="Q978">
        <f>IF(D978="","",IF(COUNTIFS($B$10:$B$1009,B978,$C$10:$C$1009,C978,$D$10:$D$1009,D978,$E$10:$E$1009,E978)&gt;1,"MÜKERRER?",IF(P978="","",IF(P978&gt;=$C$5,"İNCELE",IF(P978&lt;=-$C$5,"Düşük",""))))</f>
        <v/>
      </c>
      <c r="R978" s="16">
        <f>IF(AND(P978&lt;&gt;"",N(P978)&gt;=$C$5,COUNTIFS($B$10:B978,B978,$C$10:C978,C978,$D$10:D978,D978,$E$10:E978,E978)=1),(M978-N978)*E978*L978,0)</f>
        <v/>
      </c>
      <c r="S978" s="19">
        <f>IF(D978="",0,N(E978)*L978)</f>
        <v/>
      </c>
    </row>
    <row r="979">
      <c r="A979" s="11" t="n"/>
      <c r="B979" s="12" t="n"/>
      <c r="C979" s="12" t="n"/>
      <c r="D979" s="12" t="n"/>
      <c r="E979" s="13" t="n"/>
      <c r="F979" s="12" t="n"/>
      <c r="G979" s="14" t="n"/>
      <c r="H979" s="15" t="n"/>
      <c r="I979" s="16">
        <f>IF(G979="","",G979*(1-N(H979)))</f>
        <v/>
      </c>
      <c r="J979" s="16">
        <f>IF(I979="","",E979*I979)</f>
        <v/>
      </c>
      <c r="K979">
        <f>IF(D979="","",IFERROR(VLOOKUP(D979,'Ürün Eşleştirme'!$A$6:$D$505,2,FALSE),D979))</f>
        <v/>
      </c>
      <c r="L979" s="17">
        <f>IF(D979="","",IFERROR(VLOOKUP(D979,'Ürün Eşleştirme'!$A$6:$D$505,4,FALSE),1))</f>
        <v/>
      </c>
      <c r="M979" s="16">
        <f>IF(I979="","",I979/L979)</f>
        <v/>
      </c>
      <c r="N979" s="16">
        <f>IF(M979="","",IFERROR(AVERAGEIFS($M$10:$M$1009,$K$10:$K$1009,K979,$A$10:$A$1009,"&lt;"&amp;A979,$A$10:$A$1009,"&gt;="&amp;(A979-$C$6)),""))</f>
        <v/>
      </c>
      <c r="O979" s="16">
        <f>IF(M979="","",_xlfn.MINIFS($M$10:$M$1009,$K$10:$K$1009,K979,$A$10:$A$1009,"&lt;="&amp;A979,$A$10:$A$1009,"&gt;="&amp;(A979-$C$6)))</f>
        <v/>
      </c>
      <c r="P979" s="18">
        <f>IF(OR(N979="",N979=0),"",M979/N979-1)</f>
        <v/>
      </c>
      <c r="Q979">
        <f>IF(D979="","",IF(COUNTIFS($B$10:$B$1009,B979,$C$10:$C$1009,C979,$D$10:$D$1009,D979,$E$10:$E$1009,E979)&gt;1,"MÜKERRER?",IF(P979="","",IF(P979&gt;=$C$5,"İNCELE",IF(P979&lt;=-$C$5,"Düşük",""))))</f>
        <v/>
      </c>
      <c r="R979" s="16">
        <f>IF(AND(P979&lt;&gt;"",N(P979)&gt;=$C$5,COUNTIFS($B$10:B979,B979,$C$10:C979,C979,$D$10:D979,D979,$E$10:E979,E979)=1),(M979-N979)*E979*L979,0)</f>
        <v/>
      </c>
      <c r="S979" s="19">
        <f>IF(D979="",0,N(E979)*L979)</f>
        <v/>
      </c>
    </row>
    <row r="980">
      <c r="A980" s="11" t="n"/>
      <c r="B980" s="12" t="n"/>
      <c r="C980" s="12" t="n"/>
      <c r="D980" s="12" t="n"/>
      <c r="E980" s="13" t="n"/>
      <c r="F980" s="12" t="n"/>
      <c r="G980" s="14" t="n"/>
      <c r="H980" s="15" t="n"/>
      <c r="I980" s="16">
        <f>IF(G980="","",G980*(1-N(H980)))</f>
        <v/>
      </c>
      <c r="J980" s="16">
        <f>IF(I980="","",E980*I980)</f>
        <v/>
      </c>
      <c r="K980">
        <f>IF(D980="","",IFERROR(VLOOKUP(D980,'Ürün Eşleştirme'!$A$6:$D$505,2,FALSE),D980))</f>
        <v/>
      </c>
      <c r="L980" s="17">
        <f>IF(D980="","",IFERROR(VLOOKUP(D980,'Ürün Eşleştirme'!$A$6:$D$505,4,FALSE),1))</f>
        <v/>
      </c>
      <c r="M980" s="16">
        <f>IF(I980="","",I980/L980)</f>
        <v/>
      </c>
      <c r="N980" s="16">
        <f>IF(M980="","",IFERROR(AVERAGEIFS($M$10:$M$1009,$K$10:$K$1009,K980,$A$10:$A$1009,"&lt;"&amp;A980,$A$10:$A$1009,"&gt;="&amp;(A980-$C$6)),""))</f>
        <v/>
      </c>
      <c r="O980" s="16">
        <f>IF(M980="","",_xlfn.MINIFS($M$10:$M$1009,$K$10:$K$1009,K980,$A$10:$A$1009,"&lt;="&amp;A980,$A$10:$A$1009,"&gt;="&amp;(A980-$C$6)))</f>
        <v/>
      </c>
      <c r="P980" s="18">
        <f>IF(OR(N980="",N980=0),"",M980/N980-1)</f>
        <v/>
      </c>
      <c r="Q980">
        <f>IF(D980="","",IF(COUNTIFS($B$10:$B$1009,B980,$C$10:$C$1009,C980,$D$10:$D$1009,D980,$E$10:$E$1009,E980)&gt;1,"MÜKERRER?",IF(P980="","",IF(P980&gt;=$C$5,"İNCELE",IF(P980&lt;=-$C$5,"Düşük",""))))</f>
        <v/>
      </c>
      <c r="R980" s="16">
        <f>IF(AND(P980&lt;&gt;"",N(P980)&gt;=$C$5,COUNTIFS($B$10:B980,B980,$C$10:C980,C980,$D$10:D980,D980,$E$10:E980,E980)=1),(M980-N980)*E980*L980,0)</f>
        <v/>
      </c>
      <c r="S980" s="19">
        <f>IF(D980="",0,N(E980)*L980)</f>
        <v/>
      </c>
    </row>
    <row r="981">
      <c r="A981" s="11" t="n"/>
      <c r="B981" s="12" t="n"/>
      <c r="C981" s="12" t="n"/>
      <c r="D981" s="12" t="n"/>
      <c r="E981" s="13" t="n"/>
      <c r="F981" s="12" t="n"/>
      <c r="G981" s="14" t="n"/>
      <c r="H981" s="15" t="n"/>
      <c r="I981" s="16">
        <f>IF(G981="","",G981*(1-N(H981)))</f>
        <v/>
      </c>
      <c r="J981" s="16">
        <f>IF(I981="","",E981*I981)</f>
        <v/>
      </c>
      <c r="K981">
        <f>IF(D981="","",IFERROR(VLOOKUP(D981,'Ürün Eşleştirme'!$A$6:$D$505,2,FALSE),D981))</f>
        <v/>
      </c>
      <c r="L981" s="17">
        <f>IF(D981="","",IFERROR(VLOOKUP(D981,'Ürün Eşleştirme'!$A$6:$D$505,4,FALSE),1))</f>
        <v/>
      </c>
      <c r="M981" s="16">
        <f>IF(I981="","",I981/L981)</f>
        <v/>
      </c>
      <c r="N981" s="16">
        <f>IF(M981="","",IFERROR(AVERAGEIFS($M$10:$M$1009,$K$10:$K$1009,K981,$A$10:$A$1009,"&lt;"&amp;A981,$A$10:$A$1009,"&gt;="&amp;(A981-$C$6)),""))</f>
        <v/>
      </c>
      <c r="O981" s="16">
        <f>IF(M981="","",_xlfn.MINIFS($M$10:$M$1009,$K$10:$K$1009,K981,$A$10:$A$1009,"&lt;="&amp;A981,$A$10:$A$1009,"&gt;="&amp;(A981-$C$6)))</f>
        <v/>
      </c>
      <c r="P981" s="18">
        <f>IF(OR(N981="",N981=0),"",M981/N981-1)</f>
        <v/>
      </c>
      <c r="Q981">
        <f>IF(D981="","",IF(COUNTIFS($B$10:$B$1009,B981,$C$10:$C$1009,C981,$D$10:$D$1009,D981,$E$10:$E$1009,E981)&gt;1,"MÜKERRER?",IF(P981="","",IF(P981&gt;=$C$5,"İNCELE",IF(P981&lt;=-$C$5,"Düşük",""))))</f>
        <v/>
      </c>
      <c r="R981" s="16">
        <f>IF(AND(P981&lt;&gt;"",N(P981)&gt;=$C$5,COUNTIFS($B$10:B981,B981,$C$10:C981,C981,$D$10:D981,D981,$E$10:E981,E981)=1),(M981-N981)*E981*L981,0)</f>
        <v/>
      </c>
      <c r="S981" s="19">
        <f>IF(D981="",0,N(E981)*L981)</f>
        <v/>
      </c>
    </row>
    <row r="982">
      <c r="A982" s="11" t="n"/>
      <c r="B982" s="12" t="n"/>
      <c r="C982" s="12" t="n"/>
      <c r="D982" s="12" t="n"/>
      <c r="E982" s="13" t="n"/>
      <c r="F982" s="12" t="n"/>
      <c r="G982" s="14" t="n"/>
      <c r="H982" s="15" t="n"/>
      <c r="I982" s="16">
        <f>IF(G982="","",G982*(1-N(H982)))</f>
        <v/>
      </c>
      <c r="J982" s="16">
        <f>IF(I982="","",E982*I982)</f>
        <v/>
      </c>
      <c r="K982">
        <f>IF(D982="","",IFERROR(VLOOKUP(D982,'Ürün Eşleştirme'!$A$6:$D$505,2,FALSE),D982))</f>
        <v/>
      </c>
      <c r="L982" s="17">
        <f>IF(D982="","",IFERROR(VLOOKUP(D982,'Ürün Eşleştirme'!$A$6:$D$505,4,FALSE),1))</f>
        <v/>
      </c>
      <c r="M982" s="16">
        <f>IF(I982="","",I982/L982)</f>
        <v/>
      </c>
      <c r="N982" s="16">
        <f>IF(M982="","",IFERROR(AVERAGEIFS($M$10:$M$1009,$K$10:$K$1009,K982,$A$10:$A$1009,"&lt;"&amp;A982,$A$10:$A$1009,"&gt;="&amp;(A982-$C$6)),""))</f>
        <v/>
      </c>
      <c r="O982" s="16">
        <f>IF(M982="","",_xlfn.MINIFS($M$10:$M$1009,$K$10:$K$1009,K982,$A$10:$A$1009,"&lt;="&amp;A982,$A$10:$A$1009,"&gt;="&amp;(A982-$C$6)))</f>
        <v/>
      </c>
      <c r="P982" s="18">
        <f>IF(OR(N982="",N982=0),"",M982/N982-1)</f>
        <v/>
      </c>
      <c r="Q982">
        <f>IF(D982="","",IF(COUNTIFS($B$10:$B$1009,B982,$C$10:$C$1009,C982,$D$10:$D$1009,D982,$E$10:$E$1009,E982)&gt;1,"MÜKERRER?",IF(P982="","",IF(P982&gt;=$C$5,"İNCELE",IF(P982&lt;=-$C$5,"Düşük",""))))</f>
        <v/>
      </c>
      <c r="R982" s="16">
        <f>IF(AND(P982&lt;&gt;"",N(P982)&gt;=$C$5,COUNTIFS($B$10:B982,B982,$C$10:C982,C982,$D$10:D982,D982,$E$10:E982,E982)=1),(M982-N982)*E982*L982,0)</f>
        <v/>
      </c>
      <c r="S982" s="19">
        <f>IF(D982="",0,N(E982)*L982)</f>
        <v/>
      </c>
    </row>
    <row r="983">
      <c r="A983" s="11" t="n"/>
      <c r="B983" s="12" t="n"/>
      <c r="C983" s="12" t="n"/>
      <c r="D983" s="12" t="n"/>
      <c r="E983" s="13" t="n"/>
      <c r="F983" s="12" t="n"/>
      <c r="G983" s="14" t="n"/>
      <c r="H983" s="15" t="n"/>
      <c r="I983" s="16">
        <f>IF(G983="","",G983*(1-N(H983)))</f>
        <v/>
      </c>
      <c r="J983" s="16">
        <f>IF(I983="","",E983*I983)</f>
        <v/>
      </c>
      <c r="K983">
        <f>IF(D983="","",IFERROR(VLOOKUP(D983,'Ürün Eşleştirme'!$A$6:$D$505,2,FALSE),D983))</f>
        <v/>
      </c>
      <c r="L983" s="17">
        <f>IF(D983="","",IFERROR(VLOOKUP(D983,'Ürün Eşleştirme'!$A$6:$D$505,4,FALSE),1))</f>
        <v/>
      </c>
      <c r="M983" s="16">
        <f>IF(I983="","",I983/L983)</f>
        <v/>
      </c>
      <c r="N983" s="16">
        <f>IF(M983="","",IFERROR(AVERAGEIFS($M$10:$M$1009,$K$10:$K$1009,K983,$A$10:$A$1009,"&lt;"&amp;A983,$A$10:$A$1009,"&gt;="&amp;(A983-$C$6)),""))</f>
        <v/>
      </c>
      <c r="O983" s="16">
        <f>IF(M983="","",_xlfn.MINIFS($M$10:$M$1009,$K$10:$K$1009,K983,$A$10:$A$1009,"&lt;="&amp;A983,$A$10:$A$1009,"&gt;="&amp;(A983-$C$6)))</f>
        <v/>
      </c>
      <c r="P983" s="18">
        <f>IF(OR(N983="",N983=0),"",M983/N983-1)</f>
        <v/>
      </c>
      <c r="Q983">
        <f>IF(D983="","",IF(COUNTIFS($B$10:$B$1009,B983,$C$10:$C$1009,C983,$D$10:$D$1009,D983,$E$10:$E$1009,E983)&gt;1,"MÜKERRER?",IF(P983="","",IF(P983&gt;=$C$5,"İNCELE",IF(P983&lt;=-$C$5,"Düşük",""))))</f>
        <v/>
      </c>
      <c r="R983" s="16">
        <f>IF(AND(P983&lt;&gt;"",N(P983)&gt;=$C$5,COUNTIFS($B$10:B983,B983,$C$10:C983,C983,$D$10:D983,D983,$E$10:E983,E983)=1),(M983-N983)*E983*L983,0)</f>
        <v/>
      </c>
      <c r="S983" s="19">
        <f>IF(D983="",0,N(E983)*L983)</f>
        <v/>
      </c>
    </row>
    <row r="984">
      <c r="A984" s="11" t="n"/>
      <c r="B984" s="12" t="n"/>
      <c r="C984" s="12" t="n"/>
      <c r="D984" s="12" t="n"/>
      <c r="E984" s="13" t="n"/>
      <c r="F984" s="12" t="n"/>
      <c r="G984" s="14" t="n"/>
      <c r="H984" s="15" t="n"/>
      <c r="I984" s="16">
        <f>IF(G984="","",G984*(1-N(H984)))</f>
        <v/>
      </c>
      <c r="J984" s="16">
        <f>IF(I984="","",E984*I984)</f>
        <v/>
      </c>
      <c r="K984">
        <f>IF(D984="","",IFERROR(VLOOKUP(D984,'Ürün Eşleştirme'!$A$6:$D$505,2,FALSE),D984))</f>
        <v/>
      </c>
      <c r="L984" s="17">
        <f>IF(D984="","",IFERROR(VLOOKUP(D984,'Ürün Eşleştirme'!$A$6:$D$505,4,FALSE),1))</f>
        <v/>
      </c>
      <c r="M984" s="16">
        <f>IF(I984="","",I984/L984)</f>
        <v/>
      </c>
      <c r="N984" s="16">
        <f>IF(M984="","",IFERROR(AVERAGEIFS($M$10:$M$1009,$K$10:$K$1009,K984,$A$10:$A$1009,"&lt;"&amp;A984,$A$10:$A$1009,"&gt;="&amp;(A984-$C$6)),""))</f>
        <v/>
      </c>
      <c r="O984" s="16">
        <f>IF(M984="","",_xlfn.MINIFS($M$10:$M$1009,$K$10:$K$1009,K984,$A$10:$A$1009,"&lt;="&amp;A984,$A$10:$A$1009,"&gt;="&amp;(A984-$C$6)))</f>
        <v/>
      </c>
      <c r="P984" s="18">
        <f>IF(OR(N984="",N984=0),"",M984/N984-1)</f>
        <v/>
      </c>
      <c r="Q984">
        <f>IF(D984="","",IF(COUNTIFS($B$10:$B$1009,B984,$C$10:$C$1009,C984,$D$10:$D$1009,D984,$E$10:$E$1009,E984)&gt;1,"MÜKERRER?",IF(P984="","",IF(P984&gt;=$C$5,"İNCELE",IF(P984&lt;=-$C$5,"Düşük",""))))</f>
        <v/>
      </c>
      <c r="R984" s="16">
        <f>IF(AND(P984&lt;&gt;"",N(P984)&gt;=$C$5,COUNTIFS($B$10:B984,B984,$C$10:C984,C984,$D$10:D984,D984,$E$10:E984,E984)=1),(M984-N984)*E984*L984,0)</f>
        <v/>
      </c>
      <c r="S984" s="19">
        <f>IF(D984="",0,N(E984)*L984)</f>
        <v/>
      </c>
    </row>
    <row r="985">
      <c r="A985" s="11" t="n"/>
      <c r="B985" s="12" t="n"/>
      <c r="C985" s="12" t="n"/>
      <c r="D985" s="12" t="n"/>
      <c r="E985" s="13" t="n"/>
      <c r="F985" s="12" t="n"/>
      <c r="G985" s="14" t="n"/>
      <c r="H985" s="15" t="n"/>
      <c r="I985" s="16">
        <f>IF(G985="","",G985*(1-N(H985)))</f>
        <v/>
      </c>
      <c r="J985" s="16">
        <f>IF(I985="","",E985*I985)</f>
        <v/>
      </c>
      <c r="K985">
        <f>IF(D985="","",IFERROR(VLOOKUP(D985,'Ürün Eşleştirme'!$A$6:$D$505,2,FALSE),D985))</f>
        <v/>
      </c>
      <c r="L985" s="17">
        <f>IF(D985="","",IFERROR(VLOOKUP(D985,'Ürün Eşleştirme'!$A$6:$D$505,4,FALSE),1))</f>
        <v/>
      </c>
      <c r="M985" s="16">
        <f>IF(I985="","",I985/L985)</f>
        <v/>
      </c>
      <c r="N985" s="16">
        <f>IF(M985="","",IFERROR(AVERAGEIFS($M$10:$M$1009,$K$10:$K$1009,K985,$A$10:$A$1009,"&lt;"&amp;A985,$A$10:$A$1009,"&gt;="&amp;(A985-$C$6)),""))</f>
        <v/>
      </c>
      <c r="O985" s="16">
        <f>IF(M985="","",_xlfn.MINIFS($M$10:$M$1009,$K$10:$K$1009,K985,$A$10:$A$1009,"&lt;="&amp;A985,$A$10:$A$1009,"&gt;="&amp;(A985-$C$6)))</f>
        <v/>
      </c>
      <c r="P985" s="18">
        <f>IF(OR(N985="",N985=0),"",M985/N985-1)</f>
        <v/>
      </c>
      <c r="Q985">
        <f>IF(D985="","",IF(COUNTIFS($B$10:$B$1009,B985,$C$10:$C$1009,C985,$D$10:$D$1009,D985,$E$10:$E$1009,E985)&gt;1,"MÜKERRER?",IF(P985="","",IF(P985&gt;=$C$5,"İNCELE",IF(P985&lt;=-$C$5,"Düşük",""))))</f>
        <v/>
      </c>
      <c r="R985" s="16">
        <f>IF(AND(P985&lt;&gt;"",N(P985)&gt;=$C$5,COUNTIFS($B$10:B985,B985,$C$10:C985,C985,$D$10:D985,D985,$E$10:E985,E985)=1),(M985-N985)*E985*L985,0)</f>
        <v/>
      </c>
      <c r="S985" s="19">
        <f>IF(D985="",0,N(E985)*L985)</f>
        <v/>
      </c>
    </row>
    <row r="986">
      <c r="A986" s="11" t="n"/>
      <c r="B986" s="12" t="n"/>
      <c r="C986" s="12" t="n"/>
      <c r="D986" s="12" t="n"/>
      <c r="E986" s="13" t="n"/>
      <c r="F986" s="12" t="n"/>
      <c r="G986" s="14" t="n"/>
      <c r="H986" s="15" t="n"/>
      <c r="I986" s="16">
        <f>IF(G986="","",G986*(1-N(H986)))</f>
        <v/>
      </c>
      <c r="J986" s="16">
        <f>IF(I986="","",E986*I986)</f>
        <v/>
      </c>
      <c r="K986">
        <f>IF(D986="","",IFERROR(VLOOKUP(D986,'Ürün Eşleştirme'!$A$6:$D$505,2,FALSE),D986))</f>
        <v/>
      </c>
      <c r="L986" s="17">
        <f>IF(D986="","",IFERROR(VLOOKUP(D986,'Ürün Eşleştirme'!$A$6:$D$505,4,FALSE),1))</f>
        <v/>
      </c>
      <c r="M986" s="16">
        <f>IF(I986="","",I986/L986)</f>
        <v/>
      </c>
      <c r="N986" s="16">
        <f>IF(M986="","",IFERROR(AVERAGEIFS($M$10:$M$1009,$K$10:$K$1009,K986,$A$10:$A$1009,"&lt;"&amp;A986,$A$10:$A$1009,"&gt;="&amp;(A986-$C$6)),""))</f>
        <v/>
      </c>
      <c r="O986" s="16">
        <f>IF(M986="","",_xlfn.MINIFS($M$10:$M$1009,$K$10:$K$1009,K986,$A$10:$A$1009,"&lt;="&amp;A986,$A$10:$A$1009,"&gt;="&amp;(A986-$C$6)))</f>
        <v/>
      </c>
      <c r="P986" s="18">
        <f>IF(OR(N986="",N986=0),"",M986/N986-1)</f>
        <v/>
      </c>
      <c r="Q986">
        <f>IF(D986="","",IF(COUNTIFS($B$10:$B$1009,B986,$C$10:$C$1009,C986,$D$10:$D$1009,D986,$E$10:$E$1009,E986)&gt;1,"MÜKERRER?",IF(P986="","",IF(P986&gt;=$C$5,"İNCELE",IF(P986&lt;=-$C$5,"Düşük",""))))</f>
        <v/>
      </c>
      <c r="R986" s="16">
        <f>IF(AND(P986&lt;&gt;"",N(P986)&gt;=$C$5,COUNTIFS($B$10:B986,B986,$C$10:C986,C986,$D$10:D986,D986,$E$10:E986,E986)=1),(M986-N986)*E986*L986,0)</f>
        <v/>
      </c>
      <c r="S986" s="19">
        <f>IF(D986="",0,N(E986)*L986)</f>
        <v/>
      </c>
    </row>
    <row r="987">
      <c r="A987" s="11" t="n"/>
      <c r="B987" s="12" t="n"/>
      <c r="C987" s="12" t="n"/>
      <c r="D987" s="12" t="n"/>
      <c r="E987" s="13" t="n"/>
      <c r="F987" s="12" t="n"/>
      <c r="G987" s="14" t="n"/>
      <c r="H987" s="15" t="n"/>
      <c r="I987" s="16">
        <f>IF(G987="","",G987*(1-N(H987)))</f>
        <v/>
      </c>
      <c r="J987" s="16">
        <f>IF(I987="","",E987*I987)</f>
        <v/>
      </c>
      <c r="K987">
        <f>IF(D987="","",IFERROR(VLOOKUP(D987,'Ürün Eşleştirme'!$A$6:$D$505,2,FALSE),D987))</f>
        <v/>
      </c>
      <c r="L987" s="17">
        <f>IF(D987="","",IFERROR(VLOOKUP(D987,'Ürün Eşleştirme'!$A$6:$D$505,4,FALSE),1))</f>
        <v/>
      </c>
      <c r="M987" s="16">
        <f>IF(I987="","",I987/L987)</f>
        <v/>
      </c>
      <c r="N987" s="16">
        <f>IF(M987="","",IFERROR(AVERAGEIFS($M$10:$M$1009,$K$10:$K$1009,K987,$A$10:$A$1009,"&lt;"&amp;A987,$A$10:$A$1009,"&gt;="&amp;(A987-$C$6)),""))</f>
        <v/>
      </c>
      <c r="O987" s="16">
        <f>IF(M987="","",_xlfn.MINIFS($M$10:$M$1009,$K$10:$K$1009,K987,$A$10:$A$1009,"&lt;="&amp;A987,$A$10:$A$1009,"&gt;="&amp;(A987-$C$6)))</f>
        <v/>
      </c>
      <c r="P987" s="18">
        <f>IF(OR(N987="",N987=0),"",M987/N987-1)</f>
        <v/>
      </c>
      <c r="Q987">
        <f>IF(D987="","",IF(COUNTIFS($B$10:$B$1009,B987,$C$10:$C$1009,C987,$D$10:$D$1009,D987,$E$10:$E$1009,E987)&gt;1,"MÜKERRER?",IF(P987="","",IF(P987&gt;=$C$5,"İNCELE",IF(P987&lt;=-$C$5,"Düşük",""))))</f>
        <v/>
      </c>
      <c r="R987" s="16">
        <f>IF(AND(P987&lt;&gt;"",N(P987)&gt;=$C$5,COUNTIFS($B$10:B987,B987,$C$10:C987,C987,$D$10:D987,D987,$E$10:E987,E987)=1),(M987-N987)*E987*L987,0)</f>
        <v/>
      </c>
      <c r="S987" s="19">
        <f>IF(D987="",0,N(E987)*L987)</f>
        <v/>
      </c>
    </row>
    <row r="988">
      <c r="A988" s="11" t="n"/>
      <c r="B988" s="12" t="n"/>
      <c r="C988" s="12" t="n"/>
      <c r="D988" s="12" t="n"/>
      <c r="E988" s="13" t="n"/>
      <c r="F988" s="12" t="n"/>
      <c r="G988" s="14" t="n"/>
      <c r="H988" s="15" t="n"/>
      <c r="I988" s="16">
        <f>IF(G988="","",G988*(1-N(H988)))</f>
        <v/>
      </c>
      <c r="J988" s="16">
        <f>IF(I988="","",E988*I988)</f>
        <v/>
      </c>
      <c r="K988">
        <f>IF(D988="","",IFERROR(VLOOKUP(D988,'Ürün Eşleştirme'!$A$6:$D$505,2,FALSE),D988))</f>
        <v/>
      </c>
      <c r="L988" s="17">
        <f>IF(D988="","",IFERROR(VLOOKUP(D988,'Ürün Eşleştirme'!$A$6:$D$505,4,FALSE),1))</f>
        <v/>
      </c>
      <c r="M988" s="16">
        <f>IF(I988="","",I988/L988)</f>
        <v/>
      </c>
      <c r="N988" s="16">
        <f>IF(M988="","",IFERROR(AVERAGEIFS($M$10:$M$1009,$K$10:$K$1009,K988,$A$10:$A$1009,"&lt;"&amp;A988,$A$10:$A$1009,"&gt;="&amp;(A988-$C$6)),""))</f>
        <v/>
      </c>
      <c r="O988" s="16">
        <f>IF(M988="","",_xlfn.MINIFS($M$10:$M$1009,$K$10:$K$1009,K988,$A$10:$A$1009,"&lt;="&amp;A988,$A$10:$A$1009,"&gt;="&amp;(A988-$C$6)))</f>
        <v/>
      </c>
      <c r="P988" s="18">
        <f>IF(OR(N988="",N988=0),"",M988/N988-1)</f>
        <v/>
      </c>
      <c r="Q988">
        <f>IF(D988="","",IF(COUNTIFS($B$10:$B$1009,B988,$C$10:$C$1009,C988,$D$10:$D$1009,D988,$E$10:$E$1009,E988)&gt;1,"MÜKERRER?",IF(P988="","",IF(P988&gt;=$C$5,"İNCELE",IF(P988&lt;=-$C$5,"Düşük",""))))</f>
        <v/>
      </c>
      <c r="R988" s="16">
        <f>IF(AND(P988&lt;&gt;"",N(P988)&gt;=$C$5,COUNTIFS($B$10:B988,B988,$C$10:C988,C988,$D$10:D988,D988,$E$10:E988,E988)=1),(M988-N988)*E988*L988,0)</f>
        <v/>
      </c>
      <c r="S988" s="19">
        <f>IF(D988="",0,N(E988)*L988)</f>
        <v/>
      </c>
    </row>
    <row r="989">
      <c r="A989" s="11" t="n"/>
      <c r="B989" s="12" t="n"/>
      <c r="C989" s="12" t="n"/>
      <c r="D989" s="12" t="n"/>
      <c r="E989" s="13" t="n"/>
      <c r="F989" s="12" t="n"/>
      <c r="G989" s="14" t="n"/>
      <c r="H989" s="15" t="n"/>
      <c r="I989" s="16">
        <f>IF(G989="","",G989*(1-N(H989)))</f>
        <v/>
      </c>
      <c r="J989" s="16">
        <f>IF(I989="","",E989*I989)</f>
        <v/>
      </c>
      <c r="K989">
        <f>IF(D989="","",IFERROR(VLOOKUP(D989,'Ürün Eşleştirme'!$A$6:$D$505,2,FALSE),D989))</f>
        <v/>
      </c>
      <c r="L989" s="17">
        <f>IF(D989="","",IFERROR(VLOOKUP(D989,'Ürün Eşleştirme'!$A$6:$D$505,4,FALSE),1))</f>
        <v/>
      </c>
      <c r="M989" s="16">
        <f>IF(I989="","",I989/L989)</f>
        <v/>
      </c>
      <c r="N989" s="16">
        <f>IF(M989="","",IFERROR(AVERAGEIFS($M$10:$M$1009,$K$10:$K$1009,K989,$A$10:$A$1009,"&lt;"&amp;A989,$A$10:$A$1009,"&gt;="&amp;(A989-$C$6)),""))</f>
        <v/>
      </c>
      <c r="O989" s="16">
        <f>IF(M989="","",_xlfn.MINIFS($M$10:$M$1009,$K$10:$K$1009,K989,$A$10:$A$1009,"&lt;="&amp;A989,$A$10:$A$1009,"&gt;="&amp;(A989-$C$6)))</f>
        <v/>
      </c>
      <c r="P989" s="18">
        <f>IF(OR(N989="",N989=0),"",M989/N989-1)</f>
        <v/>
      </c>
      <c r="Q989">
        <f>IF(D989="","",IF(COUNTIFS($B$10:$B$1009,B989,$C$10:$C$1009,C989,$D$10:$D$1009,D989,$E$10:$E$1009,E989)&gt;1,"MÜKERRER?",IF(P989="","",IF(P989&gt;=$C$5,"İNCELE",IF(P989&lt;=-$C$5,"Düşük",""))))</f>
        <v/>
      </c>
      <c r="R989" s="16">
        <f>IF(AND(P989&lt;&gt;"",N(P989)&gt;=$C$5,COUNTIFS($B$10:B989,B989,$C$10:C989,C989,$D$10:D989,D989,$E$10:E989,E989)=1),(M989-N989)*E989*L989,0)</f>
        <v/>
      </c>
      <c r="S989" s="19">
        <f>IF(D989="",0,N(E989)*L989)</f>
        <v/>
      </c>
    </row>
    <row r="990">
      <c r="A990" s="11" t="n"/>
      <c r="B990" s="12" t="n"/>
      <c r="C990" s="12" t="n"/>
      <c r="D990" s="12" t="n"/>
      <c r="E990" s="13" t="n"/>
      <c r="F990" s="12" t="n"/>
      <c r="G990" s="14" t="n"/>
      <c r="H990" s="15" t="n"/>
      <c r="I990" s="16">
        <f>IF(G990="","",G990*(1-N(H990)))</f>
        <v/>
      </c>
      <c r="J990" s="16">
        <f>IF(I990="","",E990*I990)</f>
        <v/>
      </c>
      <c r="K990">
        <f>IF(D990="","",IFERROR(VLOOKUP(D990,'Ürün Eşleştirme'!$A$6:$D$505,2,FALSE),D990))</f>
        <v/>
      </c>
      <c r="L990" s="17">
        <f>IF(D990="","",IFERROR(VLOOKUP(D990,'Ürün Eşleştirme'!$A$6:$D$505,4,FALSE),1))</f>
        <v/>
      </c>
      <c r="M990" s="16">
        <f>IF(I990="","",I990/L990)</f>
        <v/>
      </c>
      <c r="N990" s="16">
        <f>IF(M990="","",IFERROR(AVERAGEIFS($M$10:$M$1009,$K$10:$K$1009,K990,$A$10:$A$1009,"&lt;"&amp;A990,$A$10:$A$1009,"&gt;="&amp;(A990-$C$6)),""))</f>
        <v/>
      </c>
      <c r="O990" s="16">
        <f>IF(M990="","",_xlfn.MINIFS($M$10:$M$1009,$K$10:$K$1009,K990,$A$10:$A$1009,"&lt;="&amp;A990,$A$10:$A$1009,"&gt;="&amp;(A990-$C$6)))</f>
        <v/>
      </c>
      <c r="P990" s="18">
        <f>IF(OR(N990="",N990=0),"",M990/N990-1)</f>
        <v/>
      </c>
      <c r="Q990">
        <f>IF(D990="","",IF(COUNTIFS($B$10:$B$1009,B990,$C$10:$C$1009,C990,$D$10:$D$1009,D990,$E$10:$E$1009,E990)&gt;1,"MÜKERRER?",IF(P990="","",IF(P990&gt;=$C$5,"İNCELE",IF(P990&lt;=-$C$5,"Düşük",""))))</f>
        <v/>
      </c>
      <c r="R990" s="16">
        <f>IF(AND(P990&lt;&gt;"",N(P990)&gt;=$C$5,COUNTIFS($B$10:B990,B990,$C$10:C990,C990,$D$10:D990,D990,$E$10:E990,E990)=1),(M990-N990)*E990*L990,0)</f>
        <v/>
      </c>
      <c r="S990" s="19">
        <f>IF(D990="",0,N(E990)*L990)</f>
        <v/>
      </c>
    </row>
    <row r="991">
      <c r="A991" s="11" t="n"/>
      <c r="B991" s="12" t="n"/>
      <c r="C991" s="12" t="n"/>
      <c r="D991" s="12" t="n"/>
      <c r="E991" s="13" t="n"/>
      <c r="F991" s="12" t="n"/>
      <c r="G991" s="14" t="n"/>
      <c r="H991" s="15" t="n"/>
      <c r="I991" s="16">
        <f>IF(G991="","",G991*(1-N(H991)))</f>
        <v/>
      </c>
      <c r="J991" s="16">
        <f>IF(I991="","",E991*I991)</f>
        <v/>
      </c>
      <c r="K991">
        <f>IF(D991="","",IFERROR(VLOOKUP(D991,'Ürün Eşleştirme'!$A$6:$D$505,2,FALSE),D991))</f>
        <v/>
      </c>
      <c r="L991" s="17">
        <f>IF(D991="","",IFERROR(VLOOKUP(D991,'Ürün Eşleştirme'!$A$6:$D$505,4,FALSE),1))</f>
        <v/>
      </c>
      <c r="M991" s="16">
        <f>IF(I991="","",I991/L991)</f>
        <v/>
      </c>
      <c r="N991" s="16">
        <f>IF(M991="","",IFERROR(AVERAGEIFS($M$10:$M$1009,$K$10:$K$1009,K991,$A$10:$A$1009,"&lt;"&amp;A991,$A$10:$A$1009,"&gt;="&amp;(A991-$C$6)),""))</f>
        <v/>
      </c>
      <c r="O991" s="16">
        <f>IF(M991="","",_xlfn.MINIFS($M$10:$M$1009,$K$10:$K$1009,K991,$A$10:$A$1009,"&lt;="&amp;A991,$A$10:$A$1009,"&gt;="&amp;(A991-$C$6)))</f>
        <v/>
      </c>
      <c r="P991" s="18">
        <f>IF(OR(N991="",N991=0),"",M991/N991-1)</f>
        <v/>
      </c>
      <c r="Q991">
        <f>IF(D991="","",IF(COUNTIFS($B$10:$B$1009,B991,$C$10:$C$1009,C991,$D$10:$D$1009,D991,$E$10:$E$1009,E991)&gt;1,"MÜKERRER?",IF(P991="","",IF(P991&gt;=$C$5,"İNCELE",IF(P991&lt;=-$C$5,"Düşük",""))))</f>
        <v/>
      </c>
      <c r="R991" s="16">
        <f>IF(AND(P991&lt;&gt;"",N(P991)&gt;=$C$5,COUNTIFS($B$10:B991,B991,$C$10:C991,C991,$D$10:D991,D991,$E$10:E991,E991)=1),(M991-N991)*E991*L991,0)</f>
        <v/>
      </c>
      <c r="S991" s="19">
        <f>IF(D991="",0,N(E991)*L991)</f>
        <v/>
      </c>
    </row>
    <row r="992">
      <c r="A992" s="11" t="n"/>
      <c r="B992" s="12" t="n"/>
      <c r="C992" s="12" t="n"/>
      <c r="D992" s="12" t="n"/>
      <c r="E992" s="13" t="n"/>
      <c r="F992" s="12" t="n"/>
      <c r="G992" s="14" t="n"/>
      <c r="H992" s="15" t="n"/>
      <c r="I992" s="16">
        <f>IF(G992="","",G992*(1-N(H992)))</f>
        <v/>
      </c>
      <c r="J992" s="16">
        <f>IF(I992="","",E992*I992)</f>
        <v/>
      </c>
      <c r="K992">
        <f>IF(D992="","",IFERROR(VLOOKUP(D992,'Ürün Eşleştirme'!$A$6:$D$505,2,FALSE),D992))</f>
        <v/>
      </c>
      <c r="L992" s="17">
        <f>IF(D992="","",IFERROR(VLOOKUP(D992,'Ürün Eşleştirme'!$A$6:$D$505,4,FALSE),1))</f>
        <v/>
      </c>
      <c r="M992" s="16">
        <f>IF(I992="","",I992/L992)</f>
        <v/>
      </c>
      <c r="N992" s="16">
        <f>IF(M992="","",IFERROR(AVERAGEIFS($M$10:$M$1009,$K$10:$K$1009,K992,$A$10:$A$1009,"&lt;"&amp;A992,$A$10:$A$1009,"&gt;="&amp;(A992-$C$6)),""))</f>
        <v/>
      </c>
      <c r="O992" s="16">
        <f>IF(M992="","",_xlfn.MINIFS($M$10:$M$1009,$K$10:$K$1009,K992,$A$10:$A$1009,"&lt;="&amp;A992,$A$10:$A$1009,"&gt;="&amp;(A992-$C$6)))</f>
        <v/>
      </c>
      <c r="P992" s="18">
        <f>IF(OR(N992="",N992=0),"",M992/N992-1)</f>
        <v/>
      </c>
      <c r="Q992">
        <f>IF(D992="","",IF(COUNTIFS($B$10:$B$1009,B992,$C$10:$C$1009,C992,$D$10:$D$1009,D992,$E$10:$E$1009,E992)&gt;1,"MÜKERRER?",IF(P992="","",IF(P992&gt;=$C$5,"İNCELE",IF(P992&lt;=-$C$5,"Düşük",""))))</f>
        <v/>
      </c>
      <c r="R992" s="16">
        <f>IF(AND(P992&lt;&gt;"",N(P992)&gt;=$C$5,COUNTIFS($B$10:B992,B992,$C$10:C992,C992,$D$10:D992,D992,$E$10:E992,E992)=1),(M992-N992)*E992*L992,0)</f>
        <v/>
      </c>
      <c r="S992" s="19">
        <f>IF(D992="",0,N(E992)*L992)</f>
        <v/>
      </c>
    </row>
    <row r="993">
      <c r="A993" s="11" t="n"/>
      <c r="B993" s="12" t="n"/>
      <c r="C993" s="12" t="n"/>
      <c r="D993" s="12" t="n"/>
      <c r="E993" s="13" t="n"/>
      <c r="F993" s="12" t="n"/>
      <c r="G993" s="14" t="n"/>
      <c r="H993" s="15" t="n"/>
      <c r="I993" s="16">
        <f>IF(G993="","",G993*(1-N(H993)))</f>
        <v/>
      </c>
      <c r="J993" s="16">
        <f>IF(I993="","",E993*I993)</f>
        <v/>
      </c>
      <c r="K993">
        <f>IF(D993="","",IFERROR(VLOOKUP(D993,'Ürün Eşleştirme'!$A$6:$D$505,2,FALSE),D993))</f>
        <v/>
      </c>
      <c r="L993" s="17">
        <f>IF(D993="","",IFERROR(VLOOKUP(D993,'Ürün Eşleştirme'!$A$6:$D$505,4,FALSE),1))</f>
        <v/>
      </c>
      <c r="M993" s="16">
        <f>IF(I993="","",I993/L993)</f>
        <v/>
      </c>
      <c r="N993" s="16">
        <f>IF(M993="","",IFERROR(AVERAGEIFS($M$10:$M$1009,$K$10:$K$1009,K993,$A$10:$A$1009,"&lt;"&amp;A993,$A$10:$A$1009,"&gt;="&amp;(A993-$C$6)),""))</f>
        <v/>
      </c>
      <c r="O993" s="16">
        <f>IF(M993="","",_xlfn.MINIFS($M$10:$M$1009,$K$10:$K$1009,K993,$A$10:$A$1009,"&lt;="&amp;A993,$A$10:$A$1009,"&gt;="&amp;(A993-$C$6)))</f>
        <v/>
      </c>
      <c r="P993" s="18">
        <f>IF(OR(N993="",N993=0),"",M993/N993-1)</f>
        <v/>
      </c>
      <c r="Q993">
        <f>IF(D993="","",IF(COUNTIFS($B$10:$B$1009,B993,$C$10:$C$1009,C993,$D$10:$D$1009,D993,$E$10:$E$1009,E993)&gt;1,"MÜKERRER?",IF(P993="","",IF(P993&gt;=$C$5,"İNCELE",IF(P993&lt;=-$C$5,"Düşük",""))))</f>
        <v/>
      </c>
      <c r="R993" s="16">
        <f>IF(AND(P993&lt;&gt;"",N(P993)&gt;=$C$5,COUNTIFS($B$10:B993,B993,$C$10:C993,C993,$D$10:D993,D993,$E$10:E993,E993)=1),(M993-N993)*E993*L993,0)</f>
        <v/>
      </c>
      <c r="S993" s="19">
        <f>IF(D993="",0,N(E993)*L993)</f>
        <v/>
      </c>
    </row>
    <row r="994">
      <c r="A994" s="11" t="n"/>
      <c r="B994" s="12" t="n"/>
      <c r="C994" s="12" t="n"/>
      <c r="D994" s="12" t="n"/>
      <c r="E994" s="13" t="n"/>
      <c r="F994" s="12" t="n"/>
      <c r="G994" s="14" t="n"/>
      <c r="H994" s="15" t="n"/>
      <c r="I994" s="16">
        <f>IF(G994="","",G994*(1-N(H994)))</f>
        <v/>
      </c>
      <c r="J994" s="16">
        <f>IF(I994="","",E994*I994)</f>
        <v/>
      </c>
      <c r="K994">
        <f>IF(D994="","",IFERROR(VLOOKUP(D994,'Ürün Eşleştirme'!$A$6:$D$505,2,FALSE),D994))</f>
        <v/>
      </c>
      <c r="L994" s="17">
        <f>IF(D994="","",IFERROR(VLOOKUP(D994,'Ürün Eşleştirme'!$A$6:$D$505,4,FALSE),1))</f>
        <v/>
      </c>
      <c r="M994" s="16">
        <f>IF(I994="","",I994/L994)</f>
        <v/>
      </c>
      <c r="N994" s="16">
        <f>IF(M994="","",IFERROR(AVERAGEIFS($M$10:$M$1009,$K$10:$K$1009,K994,$A$10:$A$1009,"&lt;"&amp;A994,$A$10:$A$1009,"&gt;="&amp;(A994-$C$6)),""))</f>
        <v/>
      </c>
      <c r="O994" s="16">
        <f>IF(M994="","",_xlfn.MINIFS($M$10:$M$1009,$K$10:$K$1009,K994,$A$10:$A$1009,"&lt;="&amp;A994,$A$10:$A$1009,"&gt;="&amp;(A994-$C$6)))</f>
        <v/>
      </c>
      <c r="P994" s="18">
        <f>IF(OR(N994="",N994=0),"",M994/N994-1)</f>
        <v/>
      </c>
      <c r="Q994">
        <f>IF(D994="","",IF(COUNTIFS($B$10:$B$1009,B994,$C$10:$C$1009,C994,$D$10:$D$1009,D994,$E$10:$E$1009,E994)&gt;1,"MÜKERRER?",IF(P994="","",IF(P994&gt;=$C$5,"İNCELE",IF(P994&lt;=-$C$5,"Düşük",""))))</f>
        <v/>
      </c>
      <c r="R994" s="16">
        <f>IF(AND(P994&lt;&gt;"",N(P994)&gt;=$C$5,COUNTIFS($B$10:B994,B994,$C$10:C994,C994,$D$10:D994,D994,$E$10:E994,E994)=1),(M994-N994)*E994*L994,0)</f>
        <v/>
      </c>
      <c r="S994" s="19">
        <f>IF(D994="",0,N(E994)*L994)</f>
        <v/>
      </c>
    </row>
    <row r="995">
      <c r="A995" s="11" t="n"/>
      <c r="B995" s="12" t="n"/>
      <c r="C995" s="12" t="n"/>
      <c r="D995" s="12" t="n"/>
      <c r="E995" s="13" t="n"/>
      <c r="F995" s="12" t="n"/>
      <c r="G995" s="14" t="n"/>
      <c r="H995" s="15" t="n"/>
      <c r="I995" s="16">
        <f>IF(G995="","",G995*(1-N(H995)))</f>
        <v/>
      </c>
      <c r="J995" s="16">
        <f>IF(I995="","",E995*I995)</f>
        <v/>
      </c>
      <c r="K995">
        <f>IF(D995="","",IFERROR(VLOOKUP(D995,'Ürün Eşleştirme'!$A$6:$D$505,2,FALSE),D995))</f>
        <v/>
      </c>
      <c r="L995" s="17">
        <f>IF(D995="","",IFERROR(VLOOKUP(D995,'Ürün Eşleştirme'!$A$6:$D$505,4,FALSE),1))</f>
        <v/>
      </c>
      <c r="M995" s="16">
        <f>IF(I995="","",I995/L995)</f>
        <v/>
      </c>
      <c r="N995" s="16">
        <f>IF(M995="","",IFERROR(AVERAGEIFS($M$10:$M$1009,$K$10:$K$1009,K995,$A$10:$A$1009,"&lt;"&amp;A995,$A$10:$A$1009,"&gt;="&amp;(A995-$C$6)),""))</f>
        <v/>
      </c>
      <c r="O995" s="16">
        <f>IF(M995="","",_xlfn.MINIFS($M$10:$M$1009,$K$10:$K$1009,K995,$A$10:$A$1009,"&lt;="&amp;A995,$A$10:$A$1009,"&gt;="&amp;(A995-$C$6)))</f>
        <v/>
      </c>
      <c r="P995" s="18">
        <f>IF(OR(N995="",N995=0),"",M995/N995-1)</f>
        <v/>
      </c>
      <c r="Q995">
        <f>IF(D995="","",IF(COUNTIFS($B$10:$B$1009,B995,$C$10:$C$1009,C995,$D$10:$D$1009,D995,$E$10:$E$1009,E995)&gt;1,"MÜKERRER?",IF(P995="","",IF(P995&gt;=$C$5,"İNCELE",IF(P995&lt;=-$C$5,"Düşük",""))))</f>
        <v/>
      </c>
      <c r="R995" s="16">
        <f>IF(AND(P995&lt;&gt;"",N(P995)&gt;=$C$5,COUNTIFS($B$10:B995,B995,$C$10:C995,C995,$D$10:D995,D995,$E$10:E995,E995)=1),(M995-N995)*E995*L995,0)</f>
        <v/>
      </c>
      <c r="S995" s="19">
        <f>IF(D995="",0,N(E995)*L995)</f>
        <v/>
      </c>
    </row>
    <row r="996">
      <c r="A996" s="11" t="n"/>
      <c r="B996" s="12" t="n"/>
      <c r="C996" s="12" t="n"/>
      <c r="D996" s="12" t="n"/>
      <c r="E996" s="13" t="n"/>
      <c r="F996" s="12" t="n"/>
      <c r="G996" s="14" t="n"/>
      <c r="H996" s="15" t="n"/>
      <c r="I996" s="16">
        <f>IF(G996="","",G996*(1-N(H996)))</f>
        <v/>
      </c>
      <c r="J996" s="16">
        <f>IF(I996="","",E996*I996)</f>
        <v/>
      </c>
      <c r="K996">
        <f>IF(D996="","",IFERROR(VLOOKUP(D996,'Ürün Eşleştirme'!$A$6:$D$505,2,FALSE),D996))</f>
        <v/>
      </c>
      <c r="L996" s="17">
        <f>IF(D996="","",IFERROR(VLOOKUP(D996,'Ürün Eşleştirme'!$A$6:$D$505,4,FALSE),1))</f>
        <v/>
      </c>
      <c r="M996" s="16">
        <f>IF(I996="","",I996/L996)</f>
        <v/>
      </c>
      <c r="N996" s="16">
        <f>IF(M996="","",IFERROR(AVERAGEIFS($M$10:$M$1009,$K$10:$K$1009,K996,$A$10:$A$1009,"&lt;"&amp;A996,$A$10:$A$1009,"&gt;="&amp;(A996-$C$6)),""))</f>
        <v/>
      </c>
      <c r="O996" s="16">
        <f>IF(M996="","",_xlfn.MINIFS($M$10:$M$1009,$K$10:$K$1009,K996,$A$10:$A$1009,"&lt;="&amp;A996,$A$10:$A$1009,"&gt;="&amp;(A996-$C$6)))</f>
        <v/>
      </c>
      <c r="P996" s="18">
        <f>IF(OR(N996="",N996=0),"",M996/N996-1)</f>
        <v/>
      </c>
      <c r="Q996">
        <f>IF(D996="","",IF(COUNTIFS($B$10:$B$1009,B996,$C$10:$C$1009,C996,$D$10:$D$1009,D996,$E$10:$E$1009,E996)&gt;1,"MÜKERRER?",IF(P996="","",IF(P996&gt;=$C$5,"İNCELE",IF(P996&lt;=-$C$5,"Düşük",""))))</f>
        <v/>
      </c>
      <c r="R996" s="16">
        <f>IF(AND(P996&lt;&gt;"",N(P996)&gt;=$C$5,COUNTIFS($B$10:B996,B996,$C$10:C996,C996,$D$10:D996,D996,$E$10:E996,E996)=1),(M996-N996)*E996*L996,0)</f>
        <v/>
      </c>
      <c r="S996" s="19">
        <f>IF(D996="",0,N(E996)*L996)</f>
        <v/>
      </c>
    </row>
    <row r="997">
      <c r="A997" s="11" t="n"/>
      <c r="B997" s="12" t="n"/>
      <c r="C997" s="12" t="n"/>
      <c r="D997" s="12" t="n"/>
      <c r="E997" s="13" t="n"/>
      <c r="F997" s="12" t="n"/>
      <c r="G997" s="14" t="n"/>
      <c r="H997" s="15" t="n"/>
      <c r="I997" s="16">
        <f>IF(G997="","",G997*(1-N(H997)))</f>
        <v/>
      </c>
      <c r="J997" s="16">
        <f>IF(I997="","",E997*I997)</f>
        <v/>
      </c>
      <c r="K997">
        <f>IF(D997="","",IFERROR(VLOOKUP(D997,'Ürün Eşleştirme'!$A$6:$D$505,2,FALSE),D997))</f>
        <v/>
      </c>
      <c r="L997" s="17">
        <f>IF(D997="","",IFERROR(VLOOKUP(D997,'Ürün Eşleştirme'!$A$6:$D$505,4,FALSE),1))</f>
        <v/>
      </c>
      <c r="M997" s="16">
        <f>IF(I997="","",I997/L997)</f>
        <v/>
      </c>
      <c r="N997" s="16">
        <f>IF(M997="","",IFERROR(AVERAGEIFS($M$10:$M$1009,$K$10:$K$1009,K997,$A$10:$A$1009,"&lt;"&amp;A997,$A$10:$A$1009,"&gt;="&amp;(A997-$C$6)),""))</f>
        <v/>
      </c>
      <c r="O997" s="16">
        <f>IF(M997="","",_xlfn.MINIFS($M$10:$M$1009,$K$10:$K$1009,K997,$A$10:$A$1009,"&lt;="&amp;A997,$A$10:$A$1009,"&gt;="&amp;(A997-$C$6)))</f>
        <v/>
      </c>
      <c r="P997" s="18">
        <f>IF(OR(N997="",N997=0),"",M997/N997-1)</f>
        <v/>
      </c>
      <c r="Q997">
        <f>IF(D997="","",IF(COUNTIFS($B$10:$B$1009,B997,$C$10:$C$1009,C997,$D$10:$D$1009,D997,$E$10:$E$1009,E997)&gt;1,"MÜKERRER?",IF(P997="","",IF(P997&gt;=$C$5,"İNCELE",IF(P997&lt;=-$C$5,"Düşük",""))))</f>
        <v/>
      </c>
      <c r="R997" s="16">
        <f>IF(AND(P997&lt;&gt;"",N(P997)&gt;=$C$5,COUNTIFS($B$10:B997,B997,$C$10:C997,C997,$D$10:D997,D997,$E$10:E997,E997)=1),(M997-N997)*E997*L997,0)</f>
        <v/>
      </c>
      <c r="S997" s="19">
        <f>IF(D997="",0,N(E997)*L997)</f>
        <v/>
      </c>
    </row>
    <row r="998">
      <c r="A998" s="11" t="n"/>
      <c r="B998" s="12" t="n"/>
      <c r="C998" s="12" t="n"/>
      <c r="D998" s="12" t="n"/>
      <c r="E998" s="13" t="n"/>
      <c r="F998" s="12" t="n"/>
      <c r="G998" s="14" t="n"/>
      <c r="H998" s="15" t="n"/>
      <c r="I998" s="16">
        <f>IF(G998="","",G998*(1-N(H998)))</f>
        <v/>
      </c>
      <c r="J998" s="16">
        <f>IF(I998="","",E998*I998)</f>
        <v/>
      </c>
      <c r="K998">
        <f>IF(D998="","",IFERROR(VLOOKUP(D998,'Ürün Eşleştirme'!$A$6:$D$505,2,FALSE),D998))</f>
        <v/>
      </c>
      <c r="L998" s="17">
        <f>IF(D998="","",IFERROR(VLOOKUP(D998,'Ürün Eşleştirme'!$A$6:$D$505,4,FALSE),1))</f>
        <v/>
      </c>
      <c r="M998" s="16">
        <f>IF(I998="","",I998/L998)</f>
        <v/>
      </c>
      <c r="N998" s="16">
        <f>IF(M998="","",IFERROR(AVERAGEIFS($M$10:$M$1009,$K$10:$K$1009,K998,$A$10:$A$1009,"&lt;"&amp;A998,$A$10:$A$1009,"&gt;="&amp;(A998-$C$6)),""))</f>
        <v/>
      </c>
      <c r="O998" s="16">
        <f>IF(M998="","",_xlfn.MINIFS($M$10:$M$1009,$K$10:$K$1009,K998,$A$10:$A$1009,"&lt;="&amp;A998,$A$10:$A$1009,"&gt;="&amp;(A998-$C$6)))</f>
        <v/>
      </c>
      <c r="P998" s="18">
        <f>IF(OR(N998="",N998=0),"",M998/N998-1)</f>
        <v/>
      </c>
      <c r="Q998">
        <f>IF(D998="","",IF(COUNTIFS($B$10:$B$1009,B998,$C$10:$C$1009,C998,$D$10:$D$1009,D998,$E$10:$E$1009,E998)&gt;1,"MÜKERRER?",IF(P998="","",IF(P998&gt;=$C$5,"İNCELE",IF(P998&lt;=-$C$5,"Düşük",""))))</f>
        <v/>
      </c>
      <c r="R998" s="16">
        <f>IF(AND(P998&lt;&gt;"",N(P998)&gt;=$C$5,COUNTIFS($B$10:B998,B998,$C$10:C998,C998,$D$10:D998,D998,$E$10:E998,E998)=1),(M998-N998)*E998*L998,0)</f>
        <v/>
      </c>
      <c r="S998" s="19">
        <f>IF(D998="",0,N(E998)*L998)</f>
        <v/>
      </c>
    </row>
    <row r="999">
      <c r="A999" s="11" t="n"/>
      <c r="B999" s="12" t="n"/>
      <c r="C999" s="12" t="n"/>
      <c r="D999" s="12" t="n"/>
      <c r="E999" s="13" t="n"/>
      <c r="F999" s="12" t="n"/>
      <c r="G999" s="14" t="n"/>
      <c r="H999" s="15" t="n"/>
      <c r="I999" s="16">
        <f>IF(G999="","",G999*(1-N(H999)))</f>
        <v/>
      </c>
      <c r="J999" s="16">
        <f>IF(I999="","",E999*I999)</f>
        <v/>
      </c>
      <c r="K999">
        <f>IF(D999="","",IFERROR(VLOOKUP(D999,'Ürün Eşleştirme'!$A$6:$D$505,2,FALSE),D999))</f>
        <v/>
      </c>
      <c r="L999" s="17">
        <f>IF(D999="","",IFERROR(VLOOKUP(D999,'Ürün Eşleştirme'!$A$6:$D$505,4,FALSE),1))</f>
        <v/>
      </c>
      <c r="M999" s="16">
        <f>IF(I999="","",I999/L999)</f>
        <v/>
      </c>
      <c r="N999" s="16">
        <f>IF(M999="","",IFERROR(AVERAGEIFS($M$10:$M$1009,$K$10:$K$1009,K999,$A$10:$A$1009,"&lt;"&amp;A999,$A$10:$A$1009,"&gt;="&amp;(A999-$C$6)),""))</f>
        <v/>
      </c>
      <c r="O999" s="16">
        <f>IF(M999="","",_xlfn.MINIFS($M$10:$M$1009,$K$10:$K$1009,K999,$A$10:$A$1009,"&lt;="&amp;A999,$A$10:$A$1009,"&gt;="&amp;(A999-$C$6)))</f>
        <v/>
      </c>
      <c r="P999" s="18">
        <f>IF(OR(N999="",N999=0),"",M999/N999-1)</f>
        <v/>
      </c>
      <c r="Q999">
        <f>IF(D999="","",IF(COUNTIFS($B$10:$B$1009,B999,$C$10:$C$1009,C999,$D$10:$D$1009,D999,$E$10:$E$1009,E999)&gt;1,"MÜKERRER?",IF(P999="","",IF(P999&gt;=$C$5,"İNCELE",IF(P999&lt;=-$C$5,"Düşük",""))))</f>
        <v/>
      </c>
      <c r="R999" s="16">
        <f>IF(AND(P999&lt;&gt;"",N(P999)&gt;=$C$5,COUNTIFS($B$10:B999,B999,$C$10:C999,C999,$D$10:D999,D999,$E$10:E999,E999)=1),(M999-N999)*E999*L999,0)</f>
        <v/>
      </c>
      <c r="S999" s="19">
        <f>IF(D999="",0,N(E999)*L999)</f>
        <v/>
      </c>
    </row>
    <row r="1000">
      <c r="A1000" s="11" t="n"/>
      <c r="B1000" s="12" t="n"/>
      <c r="C1000" s="12" t="n"/>
      <c r="D1000" s="12" t="n"/>
      <c r="E1000" s="13" t="n"/>
      <c r="F1000" s="12" t="n"/>
      <c r="G1000" s="14" t="n"/>
      <c r="H1000" s="15" t="n"/>
      <c r="I1000" s="16">
        <f>IF(G1000="","",G1000*(1-N(H1000)))</f>
        <v/>
      </c>
      <c r="J1000" s="16">
        <f>IF(I1000="","",E1000*I1000)</f>
        <v/>
      </c>
      <c r="K1000">
        <f>IF(D1000="","",IFERROR(VLOOKUP(D1000,'Ürün Eşleştirme'!$A$6:$D$505,2,FALSE),D1000))</f>
        <v/>
      </c>
      <c r="L1000" s="17">
        <f>IF(D1000="","",IFERROR(VLOOKUP(D1000,'Ürün Eşleştirme'!$A$6:$D$505,4,FALSE),1))</f>
        <v/>
      </c>
      <c r="M1000" s="16">
        <f>IF(I1000="","",I1000/L1000)</f>
        <v/>
      </c>
      <c r="N1000" s="16">
        <f>IF(M1000="","",IFERROR(AVERAGEIFS($M$10:$M$1009,$K$10:$K$1009,K1000,$A$10:$A$1009,"&lt;"&amp;A1000,$A$10:$A$1009,"&gt;="&amp;(A1000-$C$6)),""))</f>
        <v/>
      </c>
      <c r="O1000" s="16">
        <f>IF(M1000="","",_xlfn.MINIFS($M$10:$M$1009,$K$10:$K$1009,K1000,$A$10:$A$1009,"&lt;="&amp;A1000,$A$10:$A$1009,"&gt;="&amp;(A1000-$C$6)))</f>
        <v/>
      </c>
      <c r="P1000" s="18">
        <f>IF(OR(N1000="",N1000=0),"",M1000/N1000-1)</f>
        <v/>
      </c>
      <c r="Q1000">
        <f>IF(D1000="","",IF(COUNTIFS($B$10:$B$1009,B1000,$C$10:$C$1009,C1000,$D$10:$D$1009,D1000,$E$10:$E$1009,E1000)&gt;1,"MÜKERRER?",IF(P1000="","",IF(P1000&gt;=$C$5,"İNCELE",IF(P1000&lt;=-$C$5,"Düşük",""))))</f>
        <v/>
      </c>
      <c r="R1000" s="16">
        <f>IF(AND(P1000&lt;&gt;"",N(P1000)&gt;=$C$5,COUNTIFS($B$10:B1000,B1000,$C$10:C1000,C1000,$D$10:D1000,D1000,$E$10:E1000,E1000)=1),(M1000-N1000)*E1000*L1000,0)</f>
        <v/>
      </c>
      <c r="S1000" s="19">
        <f>IF(D1000="",0,N(E1000)*L1000)</f>
        <v/>
      </c>
    </row>
    <row r="1001">
      <c r="A1001" s="11" t="n"/>
      <c r="B1001" s="12" t="n"/>
      <c r="C1001" s="12" t="n"/>
      <c r="D1001" s="12" t="n"/>
      <c r="E1001" s="13" t="n"/>
      <c r="F1001" s="12" t="n"/>
      <c r="G1001" s="14" t="n"/>
      <c r="H1001" s="15" t="n"/>
      <c r="I1001" s="16">
        <f>IF(G1001="","",G1001*(1-N(H1001)))</f>
        <v/>
      </c>
      <c r="J1001" s="16">
        <f>IF(I1001="","",E1001*I1001)</f>
        <v/>
      </c>
      <c r="K1001">
        <f>IF(D1001="","",IFERROR(VLOOKUP(D1001,'Ürün Eşleştirme'!$A$6:$D$505,2,FALSE),D1001))</f>
        <v/>
      </c>
      <c r="L1001" s="17">
        <f>IF(D1001="","",IFERROR(VLOOKUP(D1001,'Ürün Eşleştirme'!$A$6:$D$505,4,FALSE),1))</f>
        <v/>
      </c>
      <c r="M1001" s="16">
        <f>IF(I1001="","",I1001/L1001)</f>
        <v/>
      </c>
      <c r="N1001" s="16">
        <f>IF(M1001="","",IFERROR(AVERAGEIFS($M$10:$M$1009,$K$10:$K$1009,K1001,$A$10:$A$1009,"&lt;"&amp;A1001,$A$10:$A$1009,"&gt;="&amp;(A1001-$C$6)),""))</f>
        <v/>
      </c>
      <c r="O1001" s="16">
        <f>IF(M1001="","",_xlfn.MINIFS($M$10:$M$1009,$K$10:$K$1009,K1001,$A$10:$A$1009,"&lt;="&amp;A1001,$A$10:$A$1009,"&gt;="&amp;(A1001-$C$6)))</f>
        <v/>
      </c>
      <c r="P1001" s="18">
        <f>IF(OR(N1001="",N1001=0),"",M1001/N1001-1)</f>
        <v/>
      </c>
      <c r="Q1001">
        <f>IF(D1001="","",IF(COUNTIFS($B$10:$B$1009,B1001,$C$10:$C$1009,C1001,$D$10:$D$1009,D1001,$E$10:$E$1009,E1001)&gt;1,"MÜKERRER?",IF(P1001="","",IF(P1001&gt;=$C$5,"İNCELE",IF(P1001&lt;=-$C$5,"Düşük",""))))</f>
        <v/>
      </c>
      <c r="R1001" s="16">
        <f>IF(AND(P1001&lt;&gt;"",N(P1001)&gt;=$C$5,COUNTIFS($B$10:B1001,B1001,$C$10:C1001,C1001,$D$10:D1001,D1001,$E$10:E1001,E1001)=1),(M1001-N1001)*E1001*L1001,0)</f>
        <v/>
      </c>
      <c r="S1001" s="19">
        <f>IF(D1001="",0,N(E1001)*L1001)</f>
        <v/>
      </c>
    </row>
    <row r="1002">
      <c r="A1002" s="11" t="n"/>
      <c r="B1002" s="12" t="n"/>
      <c r="C1002" s="12" t="n"/>
      <c r="D1002" s="12" t="n"/>
      <c r="E1002" s="13" t="n"/>
      <c r="F1002" s="12" t="n"/>
      <c r="G1002" s="14" t="n"/>
      <c r="H1002" s="15" t="n"/>
      <c r="I1002" s="16">
        <f>IF(G1002="","",G1002*(1-N(H1002)))</f>
        <v/>
      </c>
      <c r="J1002" s="16">
        <f>IF(I1002="","",E1002*I1002)</f>
        <v/>
      </c>
      <c r="K1002">
        <f>IF(D1002="","",IFERROR(VLOOKUP(D1002,'Ürün Eşleştirme'!$A$6:$D$505,2,FALSE),D1002))</f>
        <v/>
      </c>
      <c r="L1002" s="17">
        <f>IF(D1002="","",IFERROR(VLOOKUP(D1002,'Ürün Eşleştirme'!$A$6:$D$505,4,FALSE),1))</f>
        <v/>
      </c>
      <c r="M1002" s="16">
        <f>IF(I1002="","",I1002/L1002)</f>
        <v/>
      </c>
      <c r="N1002" s="16">
        <f>IF(M1002="","",IFERROR(AVERAGEIFS($M$10:$M$1009,$K$10:$K$1009,K1002,$A$10:$A$1009,"&lt;"&amp;A1002,$A$10:$A$1009,"&gt;="&amp;(A1002-$C$6)),""))</f>
        <v/>
      </c>
      <c r="O1002" s="16">
        <f>IF(M1002="","",_xlfn.MINIFS($M$10:$M$1009,$K$10:$K$1009,K1002,$A$10:$A$1009,"&lt;="&amp;A1002,$A$10:$A$1009,"&gt;="&amp;(A1002-$C$6)))</f>
        <v/>
      </c>
      <c r="P1002" s="18">
        <f>IF(OR(N1002="",N1002=0),"",M1002/N1002-1)</f>
        <v/>
      </c>
      <c r="Q1002">
        <f>IF(D1002="","",IF(COUNTIFS($B$10:$B$1009,B1002,$C$10:$C$1009,C1002,$D$10:$D$1009,D1002,$E$10:$E$1009,E1002)&gt;1,"MÜKERRER?",IF(P1002="","",IF(P1002&gt;=$C$5,"İNCELE",IF(P1002&lt;=-$C$5,"Düşük",""))))</f>
        <v/>
      </c>
      <c r="R1002" s="16">
        <f>IF(AND(P1002&lt;&gt;"",N(P1002)&gt;=$C$5,COUNTIFS($B$10:B1002,B1002,$C$10:C1002,C1002,$D$10:D1002,D1002,$E$10:E1002,E1002)=1),(M1002-N1002)*E1002*L1002,0)</f>
        <v/>
      </c>
      <c r="S1002" s="19">
        <f>IF(D1002="",0,N(E1002)*L1002)</f>
        <v/>
      </c>
    </row>
    <row r="1003">
      <c r="A1003" s="11" t="n"/>
      <c r="B1003" s="12" t="n"/>
      <c r="C1003" s="12" t="n"/>
      <c r="D1003" s="12" t="n"/>
      <c r="E1003" s="13" t="n"/>
      <c r="F1003" s="12" t="n"/>
      <c r="G1003" s="14" t="n"/>
      <c r="H1003" s="15" t="n"/>
      <c r="I1003" s="16">
        <f>IF(G1003="","",G1003*(1-N(H1003)))</f>
        <v/>
      </c>
      <c r="J1003" s="16">
        <f>IF(I1003="","",E1003*I1003)</f>
        <v/>
      </c>
      <c r="K1003">
        <f>IF(D1003="","",IFERROR(VLOOKUP(D1003,'Ürün Eşleştirme'!$A$6:$D$505,2,FALSE),D1003))</f>
        <v/>
      </c>
      <c r="L1003" s="17">
        <f>IF(D1003="","",IFERROR(VLOOKUP(D1003,'Ürün Eşleştirme'!$A$6:$D$505,4,FALSE),1))</f>
        <v/>
      </c>
      <c r="M1003" s="16">
        <f>IF(I1003="","",I1003/L1003)</f>
        <v/>
      </c>
      <c r="N1003" s="16">
        <f>IF(M1003="","",IFERROR(AVERAGEIFS($M$10:$M$1009,$K$10:$K$1009,K1003,$A$10:$A$1009,"&lt;"&amp;A1003,$A$10:$A$1009,"&gt;="&amp;(A1003-$C$6)),""))</f>
        <v/>
      </c>
      <c r="O1003" s="16">
        <f>IF(M1003="","",_xlfn.MINIFS($M$10:$M$1009,$K$10:$K$1009,K1003,$A$10:$A$1009,"&lt;="&amp;A1003,$A$10:$A$1009,"&gt;="&amp;(A1003-$C$6)))</f>
        <v/>
      </c>
      <c r="P1003" s="18">
        <f>IF(OR(N1003="",N1003=0),"",M1003/N1003-1)</f>
        <v/>
      </c>
      <c r="Q1003">
        <f>IF(D1003="","",IF(COUNTIFS($B$10:$B$1009,B1003,$C$10:$C$1009,C1003,$D$10:$D$1009,D1003,$E$10:$E$1009,E1003)&gt;1,"MÜKERRER?",IF(P1003="","",IF(P1003&gt;=$C$5,"İNCELE",IF(P1003&lt;=-$C$5,"Düşük",""))))</f>
        <v/>
      </c>
      <c r="R1003" s="16">
        <f>IF(AND(P1003&lt;&gt;"",N(P1003)&gt;=$C$5,COUNTIFS($B$10:B1003,B1003,$C$10:C1003,C1003,$D$10:D1003,D1003,$E$10:E1003,E1003)=1),(M1003-N1003)*E1003*L1003,0)</f>
        <v/>
      </c>
      <c r="S1003" s="19">
        <f>IF(D1003="",0,N(E1003)*L1003)</f>
        <v/>
      </c>
    </row>
    <row r="1004">
      <c r="A1004" s="11" t="n"/>
      <c r="B1004" s="12" t="n"/>
      <c r="C1004" s="12" t="n"/>
      <c r="D1004" s="12" t="n"/>
      <c r="E1004" s="13" t="n"/>
      <c r="F1004" s="12" t="n"/>
      <c r="G1004" s="14" t="n"/>
      <c r="H1004" s="15" t="n"/>
      <c r="I1004" s="16">
        <f>IF(G1004="","",G1004*(1-N(H1004)))</f>
        <v/>
      </c>
      <c r="J1004" s="16">
        <f>IF(I1004="","",E1004*I1004)</f>
        <v/>
      </c>
      <c r="K1004">
        <f>IF(D1004="","",IFERROR(VLOOKUP(D1004,'Ürün Eşleştirme'!$A$6:$D$505,2,FALSE),D1004))</f>
        <v/>
      </c>
      <c r="L1004" s="17">
        <f>IF(D1004="","",IFERROR(VLOOKUP(D1004,'Ürün Eşleştirme'!$A$6:$D$505,4,FALSE),1))</f>
        <v/>
      </c>
      <c r="M1004" s="16">
        <f>IF(I1004="","",I1004/L1004)</f>
        <v/>
      </c>
      <c r="N1004" s="16">
        <f>IF(M1004="","",IFERROR(AVERAGEIFS($M$10:$M$1009,$K$10:$K$1009,K1004,$A$10:$A$1009,"&lt;"&amp;A1004,$A$10:$A$1009,"&gt;="&amp;(A1004-$C$6)),""))</f>
        <v/>
      </c>
      <c r="O1004" s="16">
        <f>IF(M1004="","",_xlfn.MINIFS($M$10:$M$1009,$K$10:$K$1009,K1004,$A$10:$A$1009,"&lt;="&amp;A1004,$A$10:$A$1009,"&gt;="&amp;(A1004-$C$6)))</f>
        <v/>
      </c>
      <c r="P1004" s="18">
        <f>IF(OR(N1004="",N1004=0),"",M1004/N1004-1)</f>
        <v/>
      </c>
      <c r="Q1004">
        <f>IF(D1004="","",IF(COUNTIFS($B$10:$B$1009,B1004,$C$10:$C$1009,C1004,$D$10:$D$1009,D1004,$E$10:$E$1009,E1004)&gt;1,"MÜKERRER?",IF(P1004="","",IF(P1004&gt;=$C$5,"İNCELE",IF(P1004&lt;=-$C$5,"Düşük",""))))</f>
        <v/>
      </c>
      <c r="R1004" s="16">
        <f>IF(AND(P1004&lt;&gt;"",N(P1004)&gt;=$C$5,COUNTIFS($B$10:B1004,B1004,$C$10:C1004,C1004,$D$10:D1004,D1004,$E$10:E1004,E1004)=1),(M1004-N1004)*E1004*L1004,0)</f>
        <v/>
      </c>
      <c r="S1004" s="19">
        <f>IF(D1004="",0,N(E1004)*L1004)</f>
        <v/>
      </c>
    </row>
    <row r="1005">
      <c r="A1005" s="11" t="n"/>
      <c r="B1005" s="12" t="n"/>
      <c r="C1005" s="12" t="n"/>
      <c r="D1005" s="12" t="n"/>
      <c r="E1005" s="13" t="n"/>
      <c r="F1005" s="12" t="n"/>
      <c r="G1005" s="14" t="n"/>
      <c r="H1005" s="15" t="n"/>
      <c r="I1005" s="16">
        <f>IF(G1005="","",G1005*(1-N(H1005)))</f>
        <v/>
      </c>
      <c r="J1005" s="16">
        <f>IF(I1005="","",E1005*I1005)</f>
        <v/>
      </c>
      <c r="K1005">
        <f>IF(D1005="","",IFERROR(VLOOKUP(D1005,'Ürün Eşleştirme'!$A$6:$D$505,2,FALSE),D1005))</f>
        <v/>
      </c>
      <c r="L1005" s="17">
        <f>IF(D1005="","",IFERROR(VLOOKUP(D1005,'Ürün Eşleştirme'!$A$6:$D$505,4,FALSE),1))</f>
        <v/>
      </c>
      <c r="M1005" s="16">
        <f>IF(I1005="","",I1005/L1005)</f>
        <v/>
      </c>
      <c r="N1005" s="16">
        <f>IF(M1005="","",IFERROR(AVERAGEIFS($M$10:$M$1009,$K$10:$K$1009,K1005,$A$10:$A$1009,"&lt;"&amp;A1005,$A$10:$A$1009,"&gt;="&amp;(A1005-$C$6)),""))</f>
        <v/>
      </c>
      <c r="O1005" s="16">
        <f>IF(M1005="","",_xlfn.MINIFS($M$10:$M$1009,$K$10:$K$1009,K1005,$A$10:$A$1009,"&lt;="&amp;A1005,$A$10:$A$1009,"&gt;="&amp;(A1005-$C$6)))</f>
        <v/>
      </c>
      <c r="P1005" s="18">
        <f>IF(OR(N1005="",N1005=0),"",M1005/N1005-1)</f>
        <v/>
      </c>
      <c r="Q1005">
        <f>IF(D1005="","",IF(COUNTIFS($B$10:$B$1009,B1005,$C$10:$C$1009,C1005,$D$10:$D$1009,D1005,$E$10:$E$1009,E1005)&gt;1,"MÜKERRER?",IF(P1005="","",IF(P1005&gt;=$C$5,"İNCELE",IF(P1005&lt;=-$C$5,"Düşük",""))))</f>
        <v/>
      </c>
      <c r="R1005" s="16">
        <f>IF(AND(P1005&lt;&gt;"",N(P1005)&gt;=$C$5,COUNTIFS($B$10:B1005,B1005,$C$10:C1005,C1005,$D$10:D1005,D1005,$E$10:E1005,E1005)=1),(M1005-N1005)*E1005*L1005,0)</f>
        <v/>
      </c>
      <c r="S1005" s="19">
        <f>IF(D1005="",0,N(E1005)*L1005)</f>
        <v/>
      </c>
    </row>
    <row r="1006">
      <c r="A1006" s="11" t="n"/>
      <c r="B1006" s="12" t="n"/>
      <c r="C1006" s="12" t="n"/>
      <c r="D1006" s="12" t="n"/>
      <c r="E1006" s="13" t="n"/>
      <c r="F1006" s="12" t="n"/>
      <c r="G1006" s="14" t="n"/>
      <c r="H1006" s="15" t="n"/>
      <c r="I1006" s="16">
        <f>IF(G1006="","",G1006*(1-N(H1006)))</f>
        <v/>
      </c>
      <c r="J1006" s="16">
        <f>IF(I1006="","",E1006*I1006)</f>
        <v/>
      </c>
      <c r="K1006">
        <f>IF(D1006="","",IFERROR(VLOOKUP(D1006,'Ürün Eşleştirme'!$A$6:$D$505,2,FALSE),D1006))</f>
        <v/>
      </c>
      <c r="L1006" s="17">
        <f>IF(D1006="","",IFERROR(VLOOKUP(D1006,'Ürün Eşleştirme'!$A$6:$D$505,4,FALSE),1))</f>
        <v/>
      </c>
      <c r="M1006" s="16">
        <f>IF(I1006="","",I1006/L1006)</f>
        <v/>
      </c>
      <c r="N1006" s="16">
        <f>IF(M1006="","",IFERROR(AVERAGEIFS($M$10:$M$1009,$K$10:$K$1009,K1006,$A$10:$A$1009,"&lt;"&amp;A1006,$A$10:$A$1009,"&gt;="&amp;(A1006-$C$6)),""))</f>
        <v/>
      </c>
      <c r="O1006" s="16">
        <f>IF(M1006="","",_xlfn.MINIFS($M$10:$M$1009,$K$10:$K$1009,K1006,$A$10:$A$1009,"&lt;="&amp;A1006,$A$10:$A$1009,"&gt;="&amp;(A1006-$C$6)))</f>
        <v/>
      </c>
      <c r="P1006" s="18">
        <f>IF(OR(N1006="",N1006=0),"",M1006/N1006-1)</f>
        <v/>
      </c>
      <c r="Q1006">
        <f>IF(D1006="","",IF(COUNTIFS($B$10:$B$1009,B1006,$C$10:$C$1009,C1006,$D$10:$D$1009,D1006,$E$10:$E$1009,E1006)&gt;1,"MÜKERRER?",IF(P1006="","",IF(P1006&gt;=$C$5,"İNCELE",IF(P1006&lt;=-$C$5,"Düşük",""))))</f>
        <v/>
      </c>
      <c r="R1006" s="16">
        <f>IF(AND(P1006&lt;&gt;"",N(P1006)&gt;=$C$5,COUNTIFS($B$10:B1006,B1006,$C$10:C1006,C1006,$D$10:D1006,D1006,$E$10:E1006,E1006)=1),(M1006-N1006)*E1006*L1006,0)</f>
        <v/>
      </c>
      <c r="S1006" s="19">
        <f>IF(D1006="",0,N(E1006)*L1006)</f>
        <v/>
      </c>
    </row>
    <row r="1007">
      <c r="A1007" s="11" t="n"/>
      <c r="B1007" s="12" t="n"/>
      <c r="C1007" s="12" t="n"/>
      <c r="D1007" s="12" t="n"/>
      <c r="E1007" s="13" t="n"/>
      <c r="F1007" s="12" t="n"/>
      <c r="G1007" s="14" t="n"/>
      <c r="H1007" s="15" t="n"/>
      <c r="I1007" s="16">
        <f>IF(G1007="","",G1007*(1-N(H1007)))</f>
        <v/>
      </c>
      <c r="J1007" s="16">
        <f>IF(I1007="","",E1007*I1007)</f>
        <v/>
      </c>
      <c r="K1007">
        <f>IF(D1007="","",IFERROR(VLOOKUP(D1007,'Ürün Eşleştirme'!$A$6:$D$505,2,FALSE),D1007))</f>
        <v/>
      </c>
      <c r="L1007" s="17">
        <f>IF(D1007="","",IFERROR(VLOOKUP(D1007,'Ürün Eşleştirme'!$A$6:$D$505,4,FALSE),1))</f>
        <v/>
      </c>
      <c r="M1007" s="16">
        <f>IF(I1007="","",I1007/L1007)</f>
        <v/>
      </c>
      <c r="N1007" s="16">
        <f>IF(M1007="","",IFERROR(AVERAGEIFS($M$10:$M$1009,$K$10:$K$1009,K1007,$A$10:$A$1009,"&lt;"&amp;A1007,$A$10:$A$1009,"&gt;="&amp;(A1007-$C$6)),""))</f>
        <v/>
      </c>
      <c r="O1007" s="16">
        <f>IF(M1007="","",_xlfn.MINIFS($M$10:$M$1009,$K$10:$K$1009,K1007,$A$10:$A$1009,"&lt;="&amp;A1007,$A$10:$A$1009,"&gt;="&amp;(A1007-$C$6)))</f>
        <v/>
      </c>
      <c r="P1007" s="18">
        <f>IF(OR(N1007="",N1007=0),"",M1007/N1007-1)</f>
        <v/>
      </c>
      <c r="Q1007">
        <f>IF(D1007="","",IF(COUNTIFS($B$10:$B$1009,B1007,$C$10:$C$1009,C1007,$D$10:$D$1009,D1007,$E$10:$E$1009,E1007)&gt;1,"MÜKERRER?",IF(P1007="","",IF(P1007&gt;=$C$5,"İNCELE",IF(P1007&lt;=-$C$5,"Düşük",""))))</f>
        <v/>
      </c>
      <c r="R1007" s="16">
        <f>IF(AND(P1007&lt;&gt;"",N(P1007)&gt;=$C$5,COUNTIFS($B$10:B1007,B1007,$C$10:C1007,C1007,$D$10:D1007,D1007,$E$10:E1007,E1007)=1),(M1007-N1007)*E1007*L1007,0)</f>
        <v/>
      </c>
      <c r="S1007" s="19">
        <f>IF(D1007="",0,N(E1007)*L1007)</f>
        <v/>
      </c>
    </row>
    <row r="1008">
      <c r="A1008" s="11" t="n"/>
      <c r="B1008" s="12" t="n"/>
      <c r="C1008" s="12" t="n"/>
      <c r="D1008" s="12" t="n"/>
      <c r="E1008" s="13" t="n"/>
      <c r="F1008" s="12" t="n"/>
      <c r="G1008" s="14" t="n"/>
      <c r="H1008" s="15" t="n"/>
      <c r="I1008" s="16">
        <f>IF(G1008="","",G1008*(1-N(H1008)))</f>
        <v/>
      </c>
      <c r="J1008" s="16">
        <f>IF(I1008="","",E1008*I1008)</f>
        <v/>
      </c>
      <c r="K1008">
        <f>IF(D1008="","",IFERROR(VLOOKUP(D1008,'Ürün Eşleştirme'!$A$6:$D$505,2,FALSE),D1008))</f>
        <v/>
      </c>
      <c r="L1008" s="17">
        <f>IF(D1008="","",IFERROR(VLOOKUP(D1008,'Ürün Eşleştirme'!$A$6:$D$505,4,FALSE),1))</f>
        <v/>
      </c>
      <c r="M1008" s="16">
        <f>IF(I1008="","",I1008/L1008)</f>
        <v/>
      </c>
      <c r="N1008" s="16">
        <f>IF(M1008="","",IFERROR(AVERAGEIFS($M$10:$M$1009,$K$10:$K$1009,K1008,$A$10:$A$1009,"&lt;"&amp;A1008,$A$10:$A$1009,"&gt;="&amp;(A1008-$C$6)),""))</f>
        <v/>
      </c>
      <c r="O1008" s="16">
        <f>IF(M1008="","",_xlfn.MINIFS($M$10:$M$1009,$K$10:$K$1009,K1008,$A$10:$A$1009,"&lt;="&amp;A1008,$A$10:$A$1009,"&gt;="&amp;(A1008-$C$6)))</f>
        <v/>
      </c>
      <c r="P1008" s="18">
        <f>IF(OR(N1008="",N1008=0),"",M1008/N1008-1)</f>
        <v/>
      </c>
      <c r="Q1008">
        <f>IF(D1008="","",IF(COUNTIFS($B$10:$B$1009,B1008,$C$10:$C$1009,C1008,$D$10:$D$1009,D1008,$E$10:$E$1009,E1008)&gt;1,"MÜKERRER?",IF(P1008="","",IF(P1008&gt;=$C$5,"İNCELE",IF(P1008&lt;=-$C$5,"Düşük",""))))</f>
        <v/>
      </c>
      <c r="R1008" s="16">
        <f>IF(AND(P1008&lt;&gt;"",N(P1008)&gt;=$C$5,COUNTIFS($B$10:B1008,B1008,$C$10:C1008,C1008,$D$10:D1008,D1008,$E$10:E1008,E1008)=1),(M1008-N1008)*E1008*L1008,0)</f>
        <v/>
      </c>
      <c r="S1008" s="19">
        <f>IF(D1008="",0,N(E1008)*L1008)</f>
        <v/>
      </c>
    </row>
    <row r="1009">
      <c r="A1009" s="11" t="n"/>
      <c r="B1009" s="12" t="n"/>
      <c r="C1009" s="12" t="n"/>
      <c r="D1009" s="12" t="n"/>
      <c r="E1009" s="13" t="n"/>
      <c r="F1009" s="12" t="n"/>
      <c r="G1009" s="14" t="n"/>
      <c r="H1009" s="15" t="n"/>
      <c r="I1009" s="16">
        <f>IF(G1009="","",G1009*(1-N(H1009)))</f>
        <v/>
      </c>
      <c r="J1009" s="16">
        <f>IF(I1009="","",E1009*I1009)</f>
        <v/>
      </c>
      <c r="K1009">
        <f>IF(D1009="","",IFERROR(VLOOKUP(D1009,'Ürün Eşleştirme'!$A$6:$D$505,2,FALSE),D1009))</f>
        <v/>
      </c>
      <c r="L1009" s="17">
        <f>IF(D1009="","",IFERROR(VLOOKUP(D1009,'Ürün Eşleştirme'!$A$6:$D$505,4,FALSE),1))</f>
        <v/>
      </c>
      <c r="M1009" s="16">
        <f>IF(I1009="","",I1009/L1009)</f>
        <v/>
      </c>
      <c r="N1009" s="16">
        <f>IF(M1009="","",IFERROR(AVERAGEIFS($M$10:$M$1009,$K$10:$K$1009,K1009,$A$10:$A$1009,"&lt;"&amp;A1009,$A$10:$A$1009,"&gt;="&amp;(A1009-$C$6)),""))</f>
        <v/>
      </c>
      <c r="O1009" s="16">
        <f>IF(M1009="","",_xlfn.MINIFS($M$10:$M$1009,$K$10:$K$1009,K1009,$A$10:$A$1009,"&lt;="&amp;A1009,$A$10:$A$1009,"&gt;="&amp;(A1009-$C$6)))</f>
        <v/>
      </c>
      <c r="P1009" s="18">
        <f>IF(OR(N1009="",N1009=0),"",M1009/N1009-1)</f>
        <v/>
      </c>
      <c r="Q1009">
        <f>IF(D1009="","",IF(COUNTIFS($B$10:$B$1009,B1009,$C$10:$C$1009,C1009,$D$10:$D$1009,D1009,$E$10:$E$1009,E1009)&gt;1,"MÜKERRER?",IF(P1009="","",IF(P1009&gt;=$C$5,"İNCELE",IF(P1009&lt;=-$C$5,"Düşük",""))))</f>
        <v/>
      </c>
      <c r="R1009" s="16">
        <f>IF(AND(P1009&lt;&gt;"",N(P1009)&gt;=$C$5,COUNTIFS($B$10:B1009,B1009,$C$10:C1009,C1009,$D$10:D1009,D1009,$E$10:E1009,E1009)=1),(M1009-N1009)*E1009*L1009,0)</f>
        <v/>
      </c>
      <c r="S1009" s="19">
        <f>IF(D1009="",0,N(E1009)*L1009)</f>
        <v/>
      </c>
    </row>
  </sheetData>
  <autoFilter ref="A9:S1009"/>
  <conditionalFormatting sqref="Q10:Q1009">
    <cfRule type="cellIs" priority="1" operator="equal" dxfId="0">
      <formula>"İNCELE"</formula>
    </cfRule>
    <cfRule type="cellIs" priority="2" operator="equal" dxfId="1">
      <formula>"MÜKERRER?"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40" customWidth="1" min="4" max="4"/>
  </cols>
  <sheetData>
    <row r="1">
      <c r="A1" s="1" t="inlineStr">
        <is>
          <t>NİRENGİ DANIŞMANLIK</t>
        </is>
      </c>
      <c r="D1" s="2" t="inlineStr">
        <is>
          <t>emreceran.github.io/nirengi-danismanlik</t>
        </is>
      </c>
    </row>
    <row r="2">
      <c r="A2" s="3" t="inlineStr">
        <is>
          <t>Ürün eşleştirme</t>
        </is>
      </c>
    </row>
    <row r="3">
      <c r="A3" s="4" t="inlineStr">
        <is>
          <t>Aynı ürün her tedarikçide farklı adla yazılır. Hepsini tek bir standart ada ve birime bağlayın.</t>
        </is>
      </c>
    </row>
    <row r="5" ht="32" customHeight="1">
      <c r="A5" s="10" t="inlineStr">
        <is>
          <t>Faturadaki ürün adı</t>
        </is>
      </c>
      <c r="B5" s="10" t="inlineStr">
        <is>
          <t>Standart ürün</t>
        </is>
      </c>
      <c r="C5" s="10" t="inlineStr">
        <is>
          <t>Standart birim</t>
        </is>
      </c>
      <c r="D5" s="10" t="inlineStr">
        <is>
          <t>Çevrim katsayısı (1 fatura birimi = ? standart birim)</t>
        </is>
      </c>
    </row>
    <row r="6">
      <c r="A6" s="12" t="inlineStr">
        <is>
          <t>KUTU PROF.40X40X2</t>
        </is>
      </c>
      <c r="B6" s="12" t="inlineStr">
        <is>
          <t>Kutu profil 40x40x2</t>
        </is>
      </c>
      <c r="C6" s="12" t="inlineStr">
        <is>
          <t>KG</t>
        </is>
      </c>
      <c r="D6" s="20" t="n">
        <v>1</v>
      </c>
    </row>
    <row r="7">
      <c r="A7" s="12" t="inlineStr">
        <is>
          <t>40*40 kutu profil 2 mm</t>
        </is>
      </c>
      <c r="B7" s="12" t="inlineStr">
        <is>
          <t>Kutu profil 40x40x2</t>
        </is>
      </c>
      <c r="C7" s="12" t="inlineStr">
        <is>
          <t>KG</t>
        </is>
      </c>
      <c r="D7" s="20" t="n">
        <v>1</v>
      </c>
    </row>
    <row r="8">
      <c r="A8" s="12" t="inlineStr">
        <is>
          <t>Profil 40x40x2 St37 6mt</t>
        </is>
      </c>
      <c r="B8" s="12" t="inlineStr">
        <is>
          <t>Kutu profil 40x40x2</t>
        </is>
      </c>
      <c r="C8" s="12" t="inlineStr">
        <is>
          <t>KG</t>
        </is>
      </c>
      <c r="D8" s="20" t="n">
        <v>8.6</v>
      </c>
    </row>
    <row r="9">
      <c r="A9" s="12" t="inlineStr">
        <is>
          <t>SG2 Kaynak Teli 1.2mm 15kg</t>
        </is>
      </c>
      <c r="B9" s="12" t="inlineStr">
        <is>
          <t>Kaynak teli SG2 1,2 mm</t>
        </is>
      </c>
      <c r="C9" s="12" t="inlineStr">
        <is>
          <t>KG</t>
        </is>
      </c>
      <c r="D9" s="20" t="n">
        <v>15</v>
      </c>
    </row>
    <row r="10">
      <c r="A10" s="12" t="inlineStr">
        <is>
          <t>Kraft koli 60x40x40</t>
        </is>
      </c>
      <c r="B10" s="12" t="inlineStr">
        <is>
          <t>Kraft koli 60x40x40</t>
        </is>
      </c>
      <c r="C10" s="12" t="inlineStr">
        <is>
          <t>ADET</t>
        </is>
      </c>
      <c r="D10" s="20" t="n">
        <v>1</v>
      </c>
    </row>
    <row r="11">
      <c r="A11" s="12" t="inlineStr">
        <is>
          <t>Hidrolik yağ 46 (16 lt)</t>
        </is>
      </c>
      <c r="B11" s="12" t="inlineStr">
        <is>
          <t>Hidrolik yağ 46</t>
        </is>
      </c>
      <c r="C11" s="12" t="inlineStr">
        <is>
          <t>LT</t>
        </is>
      </c>
      <c r="D11" s="20" t="n">
        <v>16</v>
      </c>
    </row>
    <row r="12">
      <c r="A12" s="12" t="n"/>
      <c r="B12" s="12" t="n"/>
      <c r="C12" s="12" t="n"/>
      <c r="D12" s="20" t="n"/>
    </row>
    <row r="13">
      <c r="A13" s="12" t="n"/>
      <c r="B13" s="12" t="n"/>
      <c r="C13" s="12" t="n"/>
      <c r="D13" s="20" t="n"/>
    </row>
    <row r="14">
      <c r="A14" s="12" t="n"/>
      <c r="B14" s="12" t="n"/>
      <c r="C14" s="12" t="n"/>
      <c r="D14" s="20" t="n"/>
    </row>
    <row r="15">
      <c r="A15" s="12" t="n"/>
      <c r="B15" s="12" t="n"/>
      <c r="C15" s="12" t="n"/>
      <c r="D15" s="20" t="n"/>
    </row>
    <row r="16">
      <c r="A16" s="12" t="n"/>
      <c r="B16" s="12" t="n"/>
      <c r="C16" s="12" t="n"/>
      <c r="D16" s="20" t="n"/>
    </row>
    <row r="17">
      <c r="A17" s="12" t="n"/>
      <c r="B17" s="12" t="n"/>
      <c r="C17" s="12" t="n"/>
      <c r="D17" s="20" t="n"/>
    </row>
    <row r="18">
      <c r="A18" s="12" t="n"/>
      <c r="B18" s="12" t="n"/>
      <c r="C18" s="12" t="n"/>
      <c r="D18" s="20" t="n"/>
    </row>
    <row r="19">
      <c r="A19" s="12" t="n"/>
      <c r="B19" s="12" t="n"/>
      <c r="C19" s="12" t="n"/>
      <c r="D19" s="20" t="n"/>
    </row>
    <row r="20">
      <c r="A20" s="12" t="n"/>
      <c r="B20" s="12" t="n"/>
      <c r="C20" s="12" t="n"/>
      <c r="D20" s="20" t="n"/>
    </row>
    <row r="21">
      <c r="A21" s="12" t="n"/>
      <c r="B21" s="12" t="n"/>
      <c r="C21" s="12" t="n"/>
      <c r="D21" s="20" t="n"/>
    </row>
    <row r="22">
      <c r="A22" s="12" t="n"/>
      <c r="B22" s="12" t="n"/>
      <c r="C22" s="12" t="n"/>
      <c r="D22" s="20" t="n"/>
    </row>
    <row r="23">
      <c r="A23" s="12" t="n"/>
      <c r="B23" s="12" t="n"/>
      <c r="C23" s="12" t="n"/>
      <c r="D23" s="20" t="n"/>
    </row>
    <row r="24">
      <c r="A24" s="12" t="n"/>
      <c r="B24" s="12" t="n"/>
      <c r="C24" s="12" t="n"/>
      <c r="D24" s="20" t="n"/>
    </row>
    <row r="25">
      <c r="A25" s="12" t="n"/>
      <c r="B25" s="12" t="n"/>
      <c r="C25" s="12" t="n"/>
      <c r="D25" s="20" t="n"/>
    </row>
    <row r="26">
      <c r="A26" s="12" t="n"/>
      <c r="B26" s="12" t="n"/>
      <c r="C26" s="12" t="n"/>
      <c r="D26" s="20" t="n"/>
    </row>
    <row r="27">
      <c r="A27" s="12" t="n"/>
      <c r="B27" s="12" t="n"/>
      <c r="C27" s="12" t="n"/>
      <c r="D27" s="20" t="n"/>
    </row>
    <row r="28">
      <c r="A28" s="12" t="n"/>
      <c r="B28" s="12" t="n"/>
      <c r="C28" s="12" t="n"/>
      <c r="D28" s="20" t="n"/>
    </row>
    <row r="29">
      <c r="A29" s="12" t="n"/>
      <c r="B29" s="12" t="n"/>
      <c r="C29" s="12" t="n"/>
      <c r="D29" s="20" t="n"/>
    </row>
    <row r="30">
      <c r="A30" s="12" t="n"/>
      <c r="B30" s="12" t="n"/>
      <c r="C30" s="12" t="n"/>
      <c r="D30" s="20" t="n"/>
    </row>
    <row r="31">
      <c r="A31" s="12" t="n"/>
      <c r="B31" s="12" t="n"/>
      <c r="C31" s="12" t="n"/>
      <c r="D31" s="20" t="n"/>
    </row>
    <row r="32">
      <c r="A32" s="12" t="n"/>
      <c r="B32" s="12" t="n"/>
      <c r="C32" s="12" t="n"/>
      <c r="D32" s="20" t="n"/>
    </row>
    <row r="33">
      <c r="A33" s="12" t="n"/>
      <c r="B33" s="12" t="n"/>
      <c r="C33" s="12" t="n"/>
      <c r="D33" s="20" t="n"/>
    </row>
    <row r="34">
      <c r="A34" s="12" t="n"/>
      <c r="B34" s="12" t="n"/>
      <c r="C34" s="12" t="n"/>
      <c r="D34" s="20" t="n"/>
    </row>
    <row r="35">
      <c r="A35" s="12" t="n"/>
      <c r="B35" s="12" t="n"/>
      <c r="C35" s="12" t="n"/>
      <c r="D35" s="20" t="n"/>
    </row>
    <row r="36">
      <c r="A36" s="12" t="n"/>
      <c r="B36" s="12" t="n"/>
      <c r="C36" s="12" t="n"/>
      <c r="D36" s="20" t="n"/>
    </row>
    <row r="37">
      <c r="A37" s="12" t="n"/>
      <c r="B37" s="12" t="n"/>
      <c r="C37" s="12" t="n"/>
      <c r="D37" s="20" t="n"/>
    </row>
    <row r="38">
      <c r="A38" s="12" t="n"/>
      <c r="B38" s="12" t="n"/>
      <c r="C38" s="12" t="n"/>
      <c r="D38" s="20" t="n"/>
    </row>
    <row r="39">
      <c r="A39" s="12" t="n"/>
      <c r="B39" s="12" t="n"/>
      <c r="C39" s="12" t="n"/>
      <c r="D39" s="20" t="n"/>
    </row>
    <row r="40">
      <c r="A40" s="12" t="n"/>
      <c r="B40" s="12" t="n"/>
      <c r="C40" s="12" t="n"/>
      <c r="D40" s="20" t="n"/>
    </row>
    <row r="41">
      <c r="A41" s="12" t="n"/>
      <c r="B41" s="12" t="n"/>
      <c r="C41" s="12" t="n"/>
      <c r="D41" s="20" t="n"/>
    </row>
    <row r="42">
      <c r="A42" s="12" t="n"/>
      <c r="B42" s="12" t="n"/>
      <c r="C42" s="12" t="n"/>
      <c r="D42" s="20" t="n"/>
    </row>
    <row r="43">
      <c r="A43" s="12" t="n"/>
      <c r="B43" s="12" t="n"/>
      <c r="C43" s="12" t="n"/>
      <c r="D43" s="20" t="n"/>
    </row>
    <row r="44">
      <c r="A44" s="12" t="n"/>
      <c r="B44" s="12" t="n"/>
      <c r="C44" s="12" t="n"/>
      <c r="D44" s="20" t="n"/>
    </row>
    <row r="45">
      <c r="A45" s="12" t="n"/>
      <c r="B45" s="12" t="n"/>
      <c r="C45" s="12" t="n"/>
      <c r="D45" s="20" t="n"/>
    </row>
    <row r="46">
      <c r="A46" s="12" t="n"/>
      <c r="B46" s="12" t="n"/>
      <c r="C46" s="12" t="n"/>
      <c r="D46" s="20" t="n"/>
    </row>
    <row r="47">
      <c r="A47" s="12" t="n"/>
      <c r="B47" s="12" t="n"/>
      <c r="C47" s="12" t="n"/>
      <c r="D47" s="20" t="n"/>
    </row>
    <row r="48">
      <c r="A48" s="12" t="n"/>
      <c r="B48" s="12" t="n"/>
      <c r="C48" s="12" t="n"/>
      <c r="D48" s="20" t="n"/>
    </row>
    <row r="49">
      <c r="A49" s="12" t="n"/>
      <c r="B49" s="12" t="n"/>
      <c r="C49" s="12" t="n"/>
      <c r="D49" s="20" t="n"/>
    </row>
    <row r="50">
      <c r="A50" s="12" t="n"/>
      <c r="B50" s="12" t="n"/>
      <c r="C50" s="12" t="n"/>
      <c r="D50" s="20" t="n"/>
    </row>
    <row r="51">
      <c r="A51" s="12" t="n"/>
      <c r="B51" s="12" t="n"/>
      <c r="C51" s="12" t="n"/>
      <c r="D51" s="20" t="n"/>
    </row>
    <row r="52">
      <c r="A52" s="12" t="n"/>
      <c r="B52" s="12" t="n"/>
      <c r="C52" s="12" t="n"/>
      <c r="D52" s="20" t="n"/>
    </row>
    <row r="53">
      <c r="A53" s="12" t="n"/>
      <c r="B53" s="12" t="n"/>
      <c r="C53" s="12" t="n"/>
      <c r="D53" s="20" t="n"/>
    </row>
    <row r="54">
      <c r="A54" s="12" t="n"/>
      <c r="B54" s="12" t="n"/>
      <c r="C54" s="12" t="n"/>
      <c r="D54" s="20" t="n"/>
    </row>
    <row r="55">
      <c r="A55" s="12" t="n"/>
      <c r="B55" s="12" t="n"/>
      <c r="C55" s="12" t="n"/>
      <c r="D55" s="20" t="n"/>
    </row>
    <row r="56">
      <c r="A56" s="12" t="n"/>
      <c r="B56" s="12" t="n"/>
      <c r="C56" s="12" t="n"/>
      <c r="D56" s="20" t="n"/>
    </row>
    <row r="57">
      <c r="A57" s="12" t="n"/>
      <c r="B57" s="12" t="n"/>
      <c r="C57" s="12" t="n"/>
      <c r="D57" s="20" t="n"/>
    </row>
    <row r="58">
      <c r="A58" s="12" t="n"/>
      <c r="B58" s="12" t="n"/>
      <c r="C58" s="12" t="n"/>
      <c r="D58" s="20" t="n"/>
    </row>
    <row r="59">
      <c r="A59" s="12" t="n"/>
      <c r="B59" s="12" t="n"/>
      <c r="C59" s="12" t="n"/>
      <c r="D59" s="20" t="n"/>
    </row>
    <row r="60">
      <c r="A60" s="12" t="n"/>
      <c r="B60" s="12" t="n"/>
      <c r="C60" s="12" t="n"/>
      <c r="D60" s="20" t="n"/>
    </row>
    <row r="61">
      <c r="A61" s="12" t="n"/>
      <c r="B61" s="12" t="n"/>
      <c r="C61" s="12" t="n"/>
      <c r="D61" s="20" t="n"/>
    </row>
    <row r="62">
      <c r="A62" s="12" t="n"/>
      <c r="B62" s="12" t="n"/>
      <c r="C62" s="12" t="n"/>
      <c r="D62" s="20" t="n"/>
    </row>
    <row r="63">
      <c r="A63" s="12" t="n"/>
      <c r="B63" s="12" t="n"/>
      <c r="C63" s="12" t="n"/>
      <c r="D63" s="20" t="n"/>
    </row>
    <row r="64">
      <c r="A64" s="12" t="n"/>
      <c r="B64" s="12" t="n"/>
      <c r="C64" s="12" t="n"/>
      <c r="D64" s="20" t="n"/>
    </row>
    <row r="65">
      <c r="A65" s="12" t="n"/>
      <c r="B65" s="12" t="n"/>
      <c r="C65" s="12" t="n"/>
      <c r="D65" s="20" t="n"/>
    </row>
    <row r="66">
      <c r="A66" s="12" t="n"/>
      <c r="B66" s="12" t="n"/>
      <c r="C66" s="12" t="n"/>
      <c r="D66" s="20" t="n"/>
    </row>
    <row r="67">
      <c r="A67" s="12" t="n"/>
      <c r="B67" s="12" t="n"/>
      <c r="C67" s="12" t="n"/>
      <c r="D67" s="20" t="n"/>
    </row>
    <row r="68">
      <c r="A68" s="12" t="n"/>
      <c r="B68" s="12" t="n"/>
      <c r="C68" s="12" t="n"/>
      <c r="D68" s="20" t="n"/>
    </row>
    <row r="69">
      <c r="A69" s="12" t="n"/>
      <c r="B69" s="12" t="n"/>
      <c r="C69" s="12" t="n"/>
      <c r="D69" s="20" t="n"/>
    </row>
    <row r="70">
      <c r="A70" s="12" t="n"/>
      <c r="B70" s="12" t="n"/>
      <c r="C70" s="12" t="n"/>
      <c r="D70" s="20" t="n"/>
    </row>
    <row r="71">
      <c r="A71" s="12" t="n"/>
      <c r="B71" s="12" t="n"/>
      <c r="C71" s="12" t="n"/>
      <c r="D71" s="20" t="n"/>
    </row>
    <row r="72">
      <c r="A72" s="12" t="n"/>
      <c r="B72" s="12" t="n"/>
      <c r="C72" s="12" t="n"/>
      <c r="D72" s="20" t="n"/>
    </row>
    <row r="73">
      <c r="A73" s="12" t="n"/>
      <c r="B73" s="12" t="n"/>
      <c r="C73" s="12" t="n"/>
      <c r="D73" s="20" t="n"/>
    </row>
    <row r="74">
      <c r="A74" s="12" t="n"/>
      <c r="B74" s="12" t="n"/>
      <c r="C74" s="12" t="n"/>
      <c r="D74" s="20" t="n"/>
    </row>
    <row r="75">
      <c r="A75" s="12" t="n"/>
      <c r="B75" s="12" t="n"/>
      <c r="C75" s="12" t="n"/>
      <c r="D75" s="20" t="n"/>
    </row>
    <row r="76">
      <c r="A76" s="12" t="n"/>
      <c r="B76" s="12" t="n"/>
      <c r="C76" s="12" t="n"/>
      <c r="D76" s="20" t="n"/>
    </row>
    <row r="77">
      <c r="A77" s="12" t="n"/>
      <c r="B77" s="12" t="n"/>
      <c r="C77" s="12" t="n"/>
      <c r="D77" s="20" t="n"/>
    </row>
    <row r="78">
      <c r="A78" s="12" t="n"/>
      <c r="B78" s="12" t="n"/>
      <c r="C78" s="12" t="n"/>
      <c r="D78" s="20" t="n"/>
    </row>
    <row r="79">
      <c r="A79" s="12" t="n"/>
      <c r="B79" s="12" t="n"/>
      <c r="C79" s="12" t="n"/>
      <c r="D79" s="20" t="n"/>
    </row>
    <row r="80">
      <c r="A80" s="12" t="n"/>
      <c r="B80" s="12" t="n"/>
      <c r="C80" s="12" t="n"/>
      <c r="D80" s="20" t="n"/>
    </row>
    <row r="81">
      <c r="A81" s="12" t="n"/>
      <c r="B81" s="12" t="n"/>
      <c r="C81" s="12" t="n"/>
      <c r="D81" s="20" t="n"/>
    </row>
    <row r="82">
      <c r="A82" s="12" t="n"/>
      <c r="B82" s="12" t="n"/>
      <c r="C82" s="12" t="n"/>
      <c r="D82" s="20" t="n"/>
    </row>
    <row r="83">
      <c r="A83" s="12" t="n"/>
      <c r="B83" s="12" t="n"/>
      <c r="C83" s="12" t="n"/>
      <c r="D83" s="20" t="n"/>
    </row>
    <row r="84">
      <c r="A84" s="12" t="n"/>
      <c r="B84" s="12" t="n"/>
      <c r="C84" s="12" t="n"/>
      <c r="D84" s="20" t="n"/>
    </row>
    <row r="85">
      <c r="A85" s="12" t="n"/>
      <c r="B85" s="12" t="n"/>
      <c r="C85" s="12" t="n"/>
      <c r="D85" s="20" t="n"/>
    </row>
    <row r="86">
      <c r="A86" s="12" t="n"/>
      <c r="B86" s="12" t="n"/>
      <c r="C86" s="12" t="n"/>
      <c r="D86" s="20" t="n"/>
    </row>
    <row r="87">
      <c r="A87" s="12" t="n"/>
      <c r="B87" s="12" t="n"/>
      <c r="C87" s="12" t="n"/>
      <c r="D87" s="20" t="n"/>
    </row>
    <row r="88">
      <c r="A88" s="12" t="n"/>
      <c r="B88" s="12" t="n"/>
      <c r="C88" s="12" t="n"/>
      <c r="D88" s="20" t="n"/>
    </row>
    <row r="89">
      <c r="A89" s="12" t="n"/>
      <c r="B89" s="12" t="n"/>
      <c r="C89" s="12" t="n"/>
      <c r="D89" s="20" t="n"/>
    </row>
    <row r="90">
      <c r="A90" s="12" t="n"/>
      <c r="B90" s="12" t="n"/>
      <c r="C90" s="12" t="n"/>
      <c r="D90" s="20" t="n"/>
    </row>
    <row r="91">
      <c r="A91" s="12" t="n"/>
      <c r="B91" s="12" t="n"/>
      <c r="C91" s="12" t="n"/>
      <c r="D91" s="20" t="n"/>
    </row>
    <row r="92">
      <c r="A92" s="12" t="n"/>
      <c r="B92" s="12" t="n"/>
      <c r="C92" s="12" t="n"/>
      <c r="D92" s="20" t="n"/>
    </row>
    <row r="93">
      <c r="A93" s="12" t="n"/>
      <c r="B93" s="12" t="n"/>
      <c r="C93" s="12" t="n"/>
      <c r="D93" s="20" t="n"/>
    </row>
    <row r="94">
      <c r="A94" s="12" t="n"/>
      <c r="B94" s="12" t="n"/>
      <c r="C94" s="12" t="n"/>
      <c r="D94" s="20" t="n"/>
    </row>
    <row r="95">
      <c r="A95" s="12" t="n"/>
      <c r="B95" s="12" t="n"/>
      <c r="C95" s="12" t="n"/>
      <c r="D95" s="20" t="n"/>
    </row>
    <row r="96">
      <c r="A96" s="12" t="n"/>
      <c r="B96" s="12" t="n"/>
      <c r="C96" s="12" t="n"/>
      <c r="D96" s="20" t="n"/>
    </row>
    <row r="97">
      <c r="A97" s="12" t="n"/>
      <c r="B97" s="12" t="n"/>
      <c r="C97" s="12" t="n"/>
      <c r="D97" s="20" t="n"/>
    </row>
    <row r="98">
      <c r="A98" s="12" t="n"/>
      <c r="B98" s="12" t="n"/>
      <c r="C98" s="12" t="n"/>
      <c r="D98" s="20" t="n"/>
    </row>
    <row r="99">
      <c r="A99" s="12" t="n"/>
      <c r="B99" s="12" t="n"/>
      <c r="C99" s="12" t="n"/>
      <c r="D99" s="20" t="n"/>
    </row>
    <row r="100">
      <c r="A100" s="12" t="n"/>
      <c r="B100" s="12" t="n"/>
      <c r="C100" s="12" t="n"/>
      <c r="D100" s="20" t="n"/>
    </row>
    <row r="101">
      <c r="A101" s="12" t="n"/>
      <c r="B101" s="12" t="n"/>
      <c r="C101" s="12" t="n"/>
      <c r="D101" s="20" t="n"/>
    </row>
    <row r="102">
      <c r="A102" s="12" t="n"/>
      <c r="B102" s="12" t="n"/>
      <c r="C102" s="12" t="n"/>
      <c r="D102" s="20" t="n"/>
    </row>
    <row r="103">
      <c r="A103" s="12" t="n"/>
      <c r="B103" s="12" t="n"/>
      <c r="C103" s="12" t="n"/>
      <c r="D103" s="20" t="n"/>
    </row>
    <row r="104">
      <c r="A104" s="12" t="n"/>
      <c r="B104" s="12" t="n"/>
      <c r="C104" s="12" t="n"/>
      <c r="D104" s="20" t="n"/>
    </row>
    <row r="105">
      <c r="A105" s="12" t="n"/>
      <c r="B105" s="12" t="n"/>
      <c r="C105" s="12" t="n"/>
      <c r="D105" s="20" t="n"/>
    </row>
    <row r="106">
      <c r="A106" s="12" t="n"/>
      <c r="B106" s="12" t="n"/>
      <c r="C106" s="12" t="n"/>
      <c r="D106" s="20" t="n"/>
    </row>
    <row r="107">
      <c r="A107" s="12" t="n"/>
      <c r="B107" s="12" t="n"/>
      <c r="C107" s="12" t="n"/>
      <c r="D107" s="20" t="n"/>
    </row>
    <row r="108">
      <c r="A108" s="12" t="n"/>
      <c r="B108" s="12" t="n"/>
      <c r="C108" s="12" t="n"/>
      <c r="D108" s="20" t="n"/>
    </row>
    <row r="109">
      <c r="A109" s="12" t="n"/>
      <c r="B109" s="12" t="n"/>
      <c r="C109" s="12" t="n"/>
      <c r="D109" s="20" t="n"/>
    </row>
    <row r="110">
      <c r="A110" s="12" t="n"/>
      <c r="B110" s="12" t="n"/>
      <c r="C110" s="12" t="n"/>
      <c r="D110" s="20" t="n"/>
    </row>
    <row r="111">
      <c r="A111" s="12" t="n"/>
      <c r="B111" s="12" t="n"/>
      <c r="C111" s="12" t="n"/>
      <c r="D111" s="20" t="n"/>
    </row>
    <row r="112">
      <c r="A112" s="12" t="n"/>
      <c r="B112" s="12" t="n"/>
      <c r="C112" s="12" t="n"/>
      <c r="D112" s="20" t="n"/>
    </row>
    <row r="113">
      <c r="A113" s="12" t="n"/>
      <c r="B113" s="12" t="n"/>
      <c r="C113" s="12" t="n"/>
      <c r="D113" s="20" t="n"/>
    </row>
    <row r="114">
      <c r="A114" s="12" t="n"/>
      <c r="B114" s="12" t="n"/>
      <c r="C114" s="12" t="n"/>
      <c r="D114" s="20" t="n"/>
    </row>
    <row r="115">
      <c r="A115" s="12" t="n"/>
      <c r="B115" s="12" t="n"/>
      <c r="C115" s="12" t="n"/>
      <c r="D115" s="20" t="n"/>
    </row>
    <row r="116">
      <c r="A116" s="12" t="n"/>
      <c r="B116" s="12" t="n"/>
      <c r="C116" s="12" t="n"/>
      <c r="D116" s="20" t="n"/>
    </row>
    <row r="117">
      <c r="A117" s="12" t="n"/>
      <c r="B117" s="12" t="n"/>
      <c r="C117" s="12" t="n"/>
      <c r="D117" s="20" t="n"/>
    </row>
    <row r="118">
      <c r="A118" s="12" t="n"/>
      <c r="B118" s="12" t="n"/>
      <c r="C118" s="12" t="n"/>
      <c r="D118" s="20" t="n"/>
    </row>
    <row r="119">
      <c r="A119" s="12" t="n"/>
      <c r="B119" s="12" t="n"/>
      <c r="C119" s="12" t="n"/>
      <c r="D119" s="20" t="n"/>
    </row>
    <row r="120">
      <c r="A120" s="12" t="n"/>
      <c r="B120" s="12" t="n"/>
      <c r="C120" s="12" t="n"/>
      <c r="D120" s="20" t="n"/>
    </row>
    <row r="121">
      <c r="A121" s="12" t="n"/>
      <c r="B121" s="12" t="n"/>
      <c r="C121" s="12" t="n"/>
      <c r="D121" s="20" t="n"/>
    </row>
    <row r="122">
      <c r="A122" s="12" t="n"/>
      <c r="B122" s="12" t="n"/>
      <c r="C122" s="12" t="n"/>
      <c r="D122" s="20" t="n"/>
    </row>
    <row r="123">
      <c r="A123" s="12" t="n"/>
      <c r="B123" s="12" t="n"/>
      <c r="C123" s="12" t="n"/>
      <c r="D123" s="20" t="n"/>
    </row>
    <row r="124">
      <c r="A124" s="12" t="n"/>
      <c r="B124" s="12" t="n"/>
      <c r="C124" s="12" t="n"/>
      <c r="D124" s="20" t="n"/>
    </row>
    <row r="125">
      <c r="A125" s="12" t="n"/>
      <c r="B125" s="12" t="n"/>
      <c r="C125" s="12" t="n"/>
      <c r="D125" s="20" t="n"/>
    </row>
    <row r="126">
      <c r="A126" s="12" t="n"/>
      <c r="B126" s="12" t="n"/>
      <c r="C126" s="12" t="n"/>
      <c r="D126" s="20" t="n"/>
    </row>
    <row r="127">
      <c r="A127" s="12" t="n"/>
      <c r="B127" s="12" t="n"/>
      <c r="C127" s="12" t="n"/>
      <c r="D127" s="20" t="n"/>
    </row>
    <row r="128">
      <c r="A128" s="12" t="n"/>
      <c r="B128" s="12" t="n"/>
      <c r="C128" s="12" t="n"/>
      <c r="D128" s="20" t="n"/>
    </row>
    <row r="129">
      <c r="A129" s="12" t="n"/>
      <c r="B129" s="12" t="n"/>
      <c r="C129" s="12" t="n"/>
      <c r="D129" s="20" t="n"/>
    </row>
    <row r="130">
      <c r="A130" s="12" t="n"/>
      <c r="B130" s="12" t="n"/>
      <c r="C130" s="12" t="n"/>
      <c r="D130" s="20" t="n"/>
    </row>
    <row r="131">
      <c r="A131" s="12" t="n"/>
      <c r="B131" s="12" t="n"/>
      <c r="C131" s="12" t="n"/>
      <c r="D131" s="20" t="n"/>
    </row>
    <row r="132">
      <c r="A132" s="12" t="n"/>
      <c r="B132" s="12" t="n"/>
      <c r="C132" s="12" t="n"/>
      <c r="D132" s="20" t="n"/>
    </row>
    <row r="133">
      <c r="A133" s="12" t="n"/>
      <c r="B133" s="12" t="n"/>
      <c r="C133" s="12" t="n"/>
      <c r="D133" s="20" t="n"/>
    </row>
    <row r="134">
      <c r="A134" s="12" t="n"/>
      <c r="B134" s="12" t="n"/>
      <c r="C134" s="12" t="n"/>
      <c r="D134" s="20" t="n"/>
    </row>
    <row r="135">
      <c r="A135" s="12" t="n"/>
      <c r="B135" s="12" t="n"/>
      <c r="C135" s="12" t="n"/>
      <c r="D135" s="20" t="n"/>
    </row>
    <row r="136">
      <c r="A136" s="12" t="n"/>
      <c r="B136" s="12" t="n"/>
      <c r="C136" s="12" t="n"/>
      <c r="D136" s="20" t="n"/>
    </row>
    <row r="137">
      <c r="A137" s="12" t="n"/>
      <c r="B137" s="12" t="n"/>
      <c r="C137" s="12" t="n"/>
      <c r="D137" s="20" t="n"/>
    </row>
    <row r="138">
      <c r="A138" s="12" t="n"/>
      <c r="B138" s="12" t="n"/>
      <c r="C138" s="12" t="n"/>
      <c r="D138" s="20" t="n"/>
    </row>
    <row r="139">
      <c r="A139" s="12" t="n"/>
      <c r="B139" s="12" t="n"/>
      <c r="C139" s="12" t="n"/>
      <c r="D139" s="20" t="n"/>
    </row>
    <row r="140">
      <c r="A140" s="12" t="n"/>
      <c r="B140" s="12" t="n"/>
      <c r="C140" s="12" t="n"/>
      <c r="D140" s="20" t="n"/>
    </row>
    <row r="141">
      <c r="A141" s="12" t="n"/>
      <c r="B141" s="12" t="n"/>
      <c r="C141" s="12" t="n"/>
      <c r="D141" s="20" t="n"/>
    </row>
    <row r="142">
      <c r="A142" s="12" t="n"/>
      <c r="B142" s="12" t="n"/>
      <c r="C142" s="12" t="n"/>
      <c r="D142" s="20" t="n"/>
    </row>
    <row r="143">
      <c r="A143" s="12" t="n"/>
      <c r="B143" s="12" t="n"/>
      <c r="C143" s="12" t="n"/>
      <c r="D143" s="20" t="n"/>
    </row>
    <row r="144">
      <c r="A144" s="12" t="n"/>
      <c r="B144" s="12" t="n"/>
      <c r="C144" s="12" t="n"/>
      <c r="D144" s="20" t="n"/>
    </row>
    <row r="145">
      <c r="A145" s="12" t="n"/>
      <c r="B145" s="12" t="n"/>
      <c r="C145" s="12" t="n"/>
      <c r="D145" s="20" t="n"/>
    </row>
    <row r="146">
      <c r="A146" s="12" t="n"/>
      <c r="B146" s="12" t="n"/>
      <c r="C146" s="12" t="n"/>
      <c r="D146" s="20" t="n"/>
    </row>
    <row r="147">
      <c r="A147" s="12" t="n"/>
      <c r="B147" s="12" t="n"/>
      <c r="C147" s="12" t="n"/>
      <c r="D147" s="20" t="n"/>
    </row>
    <row r="148">
      <c r="A148" s="12" t="n"/>
      <c r="B148" s="12" t="n"/>
      <c r="C148" s="12" t="n"/>
      <c r="D148" s="20" t="n"/>
    </row>
    <row r="149">
      <c r="A149" s="12" t="n"/>
      <c r="B149" s="12" t="n"/>
      <c r="C149" s="12" t="n"/>
      <c r="D149" s="20" t="n"/>
    </row>
    <row r="150">
      <c r="A150" s="12" t="n"/>
      <c r="B150" s="12" t="n"/>
      <c r="C150" s="12" t="n"/>
      <c r="D150" s="20" t="n"/>
    </row>
    <row r="151">
      <c r="A151" s="12" t="n"/>
      <c r="B151" s="12" t="n"/>
      <c r="C151" s="12" t="n"/>
      <c r="D151" s="20" t="n"/>
    </row>
    <row r="152">
      <c r="A152" s="12" t="n"/>
      <c r="B152" s="12" t="n"/>
      <c r="C152" s="12" t="n"/>
      <c r="D152" s="20" t="n"/>
    </row>
    <row r="153">
      <c r="A153" s="12" t="n"/>
      <c r="B153" s="12" t="n"/>
      <c r="C153" s="12" t="n"/>
      <c r="D153" s="20" t="n"/>
    </row>
    <row r="154">
      <c r="A154" s="12" t="n"/>
      <c r="B154" s="12" t="n"/>
      <c r="C154" s="12" t="n"/>
      <c r="D154" s="20" t="n"/>
    </row>
    <row r="155">
      <c r="A155" s="12" t="n"/>
      <c r="B155" s="12" t="n"/>
      <c r="C155" s="12" t="n"/>
      <c r="D155" s="20" t="n"/>
    </row>
    <row r="156">
      <c r="A156" s="12" t="n"/>
      <c r="B156" s="12" t="n"/>
      <c r="C156" s="12" t="n"/>
      <c r="D156" s="20" t="n"/>
    </row>
    <row r="157">
      <c r="A157" s="12" t="n"/>
      <c r="B157" s="12" t="n"/>
      <c r="C157" s="12" t="n"/>
      <c r="D157" s="20" t="n"/>
    </row>
    <row r="158">
      <c r="A158" s="12" t="n"/>
      <c r="B158" s="12" t="n"/>
      <c r="C158" s="12" t="n"/>
      <c r="D158" s="20" t="n"/>
    </row>
    <row r="159">
      <c r="A159" s="12" t="n"/>
      <c r="B159" s="12" t="n"/>
      <c r="C159" s="12" t="n"/>
      <c r="D159" s="20" t="n"/>
    </row>
    <row r="160">
      <c r="A160" s="12" t="n"/>
      <c r="B160" s="12" t="n"/>
      <c r="C160" s="12" t="n"/>
      <c r="D160" s="20" t="n"/>
    </row>
    <row r="161">
      <c r="A161" s="12" t="n"/>
      <c r="B161" s="12" t="n"/>
      <c r="C161" s="12" t="n"/>
      <c r="D161" s="20" t="n"/>
    </row>
    <row r="162">
      <c r="A162" s="12" t="n"/>
      <c r="B162" s="12" t="n"/>
      <c r="C162" s="12" t="n"/>
      <c r="D162" s="20" t="n"/>
    </row>
    <row r="163">
      <c r="A163" s="12" t="n"/>
      <c r="B163" s="12" t="n"/>
      <c r="C163" s="12" t="n"/>
      <c r="D163" s="20" t="n"/>
    </row>
    <row r="164">
      <c r="A164" s="12" t="n"/>
      <c r="B164" s="12" t="n"/>
      <c r="C164" s="12" t="n"/>
      <c r="D164" s="20" t="n"/>
    </row>
    <row r="165">
      <c r="A165" s="12" t="n"/>
      <c r="B165" s="12" t="n"/>
      <c r="C165" s="12" t="n"/>
      <c r="D165" s="20" t="n"/>
    </row>
    <row r="166">
      <c r="A166" s="12" t="n"/>
      <c r="B166" s="12" t="n"/>
      <c r="C166" s="12" t="n"/>
      <c r="D166" s="20" t="n"/>
    </row>
    <row r="167">
      <c r="A167" s="12" t="n"/>
      <c r="B167" s="12" t="n"/>
      <c r="C167" s="12" t="n"/>
      <c r="D167" s="20" t="n"/>
    </row>
    <row r="168">
      <c r="A168" s="12" t="n"/>
      <c r="B168" s="12" t="n"/>
      <c r="C168" s="12" t="n"/>
      <c r="D168" s="20" t="n"/>
    </row>
    <row r="169">
      <c r="A169" s="12" t="n"/>
      <c r="B169" s="12" t="n"/>
      <c r="C169" s="12" t="n"/>
      <c r="D169" s="20" t="n"/>
    </row>
    <row r="170">
      <c r="A170" s="12" t="n"/>
      <c r="B170" s="12" t="n"/>
      <c r="C170" s="12" t="n"/>
      <c r="D170" s="20" t="n"/>
    </row>
    <row r="171">
      <c r="A171" s="12" t="n"/>
      <c r="B171" s="12" t="n"/>
      <c r="C171" s="12" t="n"/>
      <c r="D171" s="20" t="n"/>
    </row>
    <row r="172">
      <c r="A172" s="12" t="n"/>
      <c r="B172" s="12" t="n"/>
      <c r="C172" s="12" t="n"/>
      <c r="D172" s="20" t="n"/>
    </row>
    <row r="173">
      <c r="A173" s="12" t="n"/>
      <c r="B173" s="12" t="n"/>
      <c r="C173" s="12" t="n"/>
      <c r="D173" s="20" t="n"/>
    </row>
    <row r="174">
      <c r="A174" s="12" t="n"/>
      <c r="B174" s="12" t="n"/>
      <c r="C174" s="12" t="n"/>
      <c r="D174" s="20" t="n"/>
    </row>
    <row r="175">
      <c r="A175" s="12" t="n"/>
      <c r="B175" s="12" t="n"/>
      <c r="C175" s="12" t="n"/>
      <c r="D175" s="20" t="n"/>
    </row>
    <row r="176">
      <c r="A176" s="12" t="n"/>
      <c r="B176" s="12" t="n"/>
      <c r="C176" s="12" t="n"/>
      <c r="D176" s="20" t="n"/>
    </row>
    <row r="177">
      <c r="A177" s="12" t="n"/>
      <c r="B177" s="12" t="n"/>
      <c r="C177" s="12" t="n"/>
      <c r="D177" s="20" t="n"/>
    </row>
    <row r="178">
      <c r="A178" s="12" t="n"/>
      <c r="B178" s="12" t="n"/>
      <c r="C178" s="12" t="n"/>
      <c r="D178" s="20" t="n"/>
    </row>
    <row r="179">
      <c r="A179" s="12" t="n"/>
      <c r="B179" s="12" t="n"/>
      <c r="C179" s="12" t="n"/>
      <c r="D179" s="20" t="n"/>
    </row>
    <row r="180">
      <c r="A180" s="12" t="n"/>
      <c r="B180" s="12" t="n"/>
      <c r="C180" s="12" t="n"/>
      <c r="D180" s="20" t="n"/>
    </row>
    <row r="181">
      <c r="A181" s="12" t="n"/>
      <c r="B181" s="12" t="n"/>
      <c r="C181" s="12" t="n"/>
      <c r="D181" s="20" t="n"/>
    </row>
    <row r="182">
      <c r="A182" s="12" t="n"/>
      <c r="B182" s="12" t="n"/>
      <c r="C182" s="12" t="n"/>
      <c r="D182" s="20" t="n"/>
    </row>
    <row r="183">
      <c r="A183" s="12" t="n"/>
      <c r="B183" s="12" t="n"/>
      <c r="C183" s="12" t="n"/>
      <c r="D183" s="20" t="n"/>
    </row>
    <row r="184">
      <c r="A184" s="12" t="n"/>
      <c r="B184" s="12" t="n"/>
      <c r="C184" s="12" t="n"/>
      <c r="D184" s="20" t="n"/>
    </row>
    <row r="185">
      <c r="A185" s="12" t="n"/>
      <c r="B185" s="12" t="n"/>
      <c r="C185" s="12" t="n"/>
      <c r="D185" s="20" t="n"/>
    </row>
    <row r="186">
      <c r="A186" s="12" t="n"/>
      <c r="B186" s="12" t="n"/>
      <c r="C186" s="12" t="n"/>
      <c r="D186" s="20" t="n"/>
    </row>
    <row r="187">
      <c r="A187" s="12" t="n"/>
      <c r="B187" s="12" t="n"/>
      <c r="C187" s="12" t="n"/>
      <c r="D187" s="20" t="n"/>
    </row>
    <row r="188">
      <c r="A188" s="12" t="n"/>
      <c r="B188" s="12" t="n"/>
      <c r="C188" s="12" t="n"/>
      <c r="D188" s="20" t="n"/>
    </row>
    <row r="189">
      <c r="A189" s="12" t="n"/>
      <c r="B189" s="12" t="n"/>
      <c r="C189" s="12" t="n"/>
      <c r="D189" s="20" t="n"/>
    </row>
    <row r="190">
      <c r="A190" s="12" t="n"/>
      <c r="B190" s="12" t="n"/>
      <c r="C190" s="12" t="n"/>
      <c r="D190" s="20" t="n"/>
    </row>
    <row r="191">
      <c r="A191" s="12" t="n"/>
      <c r="B191" s="12" t="n"/>
      <c r="C191" s="12" t="n"/>
      <c r="D191" s="20" t="n"/>
    </row>
    <row r="192">
      <c r="A192" s="12" t="n"/>
      <c r="B192" s="12" t="n"/>
      <c r="C192" s="12" t="n"/>
      <c r="D192" s="20" t="n"/>
    </row>
    <row r="193">
      <c r="A193" s="12" t="n"/>
      <c r="B193" s="12" t="n"/>
      <c r="C193" s="12" t="n"/>
      <c r="D193" s="20" t="n"/>
    </row>
    <row r="194">
      <c r="A194" s="12" t="n"/>
      <c r="B194" s="12" t="n"/>
      <c r="C194" s="12" t="n"/>
      <c r="D194" s="20" t="n"/>
    </row>
    <row r="195">
      <c r="A195" s="12" t="n"/>
      <c r="B195" s="12" t="n"/>
      <c r="C195" s="12" t="n"/>
      <c r="D195" s="20" t="n"/>
    </row>
    <row r="196">
      <c r="A196" s="12" t="n"/>
      <c r="B196" s="12" t="n"/>
      <c r="C196" s="12" t="n"/>
      <c r="D196" s="20" t="n"/>
    </row>
    <row r="197">
      <c r="A197" s="12" t="n"/>
      <c r="B197" s="12" t="n"/>
      <c r="C197" s="12" t="n"/>
      <c r="D197" s="20" t="n"/>
    </row>
    <row r="198">
      <c r="A198" s="12" t="n"/>
      <c r="B198" s="12" t="n"/>
      <c r="C198" s="12" t="n"/>
      <c r="D198" s="20" t="n"/>
    </row>
    <row r="199">
      <c r="A199" s="12" t="n"/>
      <c r="B199" s="12" t="n"/>
      <c r="C199" s="12" t="n"/>
      <c r="D199" s="20" t="n"/>
    </row>
    <row r="200">
      <c r="A200" s="12" t="n"/>
      <c r="B200" s="12" t="n"/>
      <c r="C200" s="12" t="n"/>
      <c r="D200" s="20" t="n"/>
    </row>
    <row r="201">
      <c r="A201" s="12" t="n"/>
      <c r="B201" s="12" t="n"/>
      <c r="C201" s="12" t="n"/>
      <c r="D201" s="20" t="n"/>
    </row>
    <row r="202">
      <c r="A202" s="12" t="n"/>
      <c r="B202" s="12" t="n"/>
      <c r="C202" s="12" t="n"/>
      <c r="D202" s="20" t="n"/>
    </row>
    <row r="203">
      <c r="A203" s="12" t="n"/>
      <c r="B203" s="12" t="n"/>
      <c r="C203" s="12" t="n"/>
      <c r="D203" s="20" t="n"/>
    </row>
    <row r="204">
      <c r="A204" s="12" t="n"/>
      <c r="B204" s="12" t="n"/>
      <c r="C204" s="12" t="n"/>
      <c r="D204" s="20" t="n"/>
    </row>
    <row r="205">
      <c r="A205" s="12" t="n"/>
      <c r="B205" s="12" t="n"/>
      <c r="C205" s="12" t="n"/>
      <c r="D205" s="20" t="n"/>
    </row>
    <row r="206">
      <c r="A206" s="12" t="n"/>
      <c r="B206" s="12" t="n"/>
      <c r="C206" s="12" t="n"/>
      <c r="D206" s="20" t="n"/>
    </row>
    <row r="207">
      <c r="A207" s="12" t="n"/>
      <c r="B207" s="12" t="n"/>
      <c r="C207" s="12" t="n"/>
      <c r="D207" s="20" t="n"/>
    </row>
    <row r="208">
      <c r="A208" s="12" t="n"/>
      <c r="B208" s="12" t="n"/>
      <c r="C208" s="12" t="n"/>
      <c r="D208" s="20" t="n"/>
    </row>
    <row r="209">
      <c r="A209" s="12" t="n"/>
      <c r="B209" s="12" t="n"/>
      <c r="C209" s="12" t="n"/>
      <c r="D209" s="20" t="n"/>
    </row>
    <row r="210">
      <c r="A210" s="12" t="n"/>
      <c r="B210" s="12" t="n"/>
      <c r="C210" s="12" t="n"/>
      <c r="D210" s="20" t="n"/>
    </row>
    <row r="211">
      <c r="A211" s="12" t="n"/>
      <c r="B211" s="12" t="n"/>
      <c r="C211" s="12" t="n"/>
      <c r="D211" s="20" t="n"/>
    </row>
    <row r="212">
      <c r="A212" s="12" t="n"/>
      <c r="B212" s="12" t="n"/>
      <c r="C212" s="12" t="n"/>
      <c r="D212" s="20" t="n"/>
    </row>
    <row r="213">
      <c r="A213" s="12" t="n"/>
      <c r="B213" s="12" t="n"/>
      <c r="C213" s="12" t="n"/>
      <c r="D213" s="20" t="n"/>
    </row>
    <row r="214">
      <c r="A214" s="12" t="n"/>
      <c r="B214" s="12" t="n"/>
      <c r="C214" s="12" t="n"/>
      <c r="D214" s="20" t="n"/>
    </row>
    <row r="215">
      <c r="A215" s="12" t="n"/>
      <c r="B215" s="12" t="n"/>
      <c r="C215" s="12" t="n"/>
      <c r="D215" s="20" t="n"/>
    </row>
    <row r="216">
      <c r="A216" s="12" t="n"/>
      <c r="B216" s="12" t="n"/>
      <c r="C216" s="12" t="n"/>
      <c r="D216" s="20" t="n"/>
    </row>
    <row r="217">
      <c r="A217" s="12" t="n"/>
      <c r="B217" s="12" t="n"/>
      <c r="C217" s="12" t="n"/>
      <c r="D217" s="20" t="n"/>
    </row>
    <row r="218">
      <c r="A218" s="12" t="n"/>
      <c r="B218" s="12" t="n"/>
      <c r="C218" s="12" t="n"/>
      <c r="D218" s="20" t="n"/>
    </row>
    <row r="219">
      <c r="A219" s="12" t="n"/>
      <c r="B219" s="12" t="n"/>
      <c r="C219" s="12" t="n"/>
      <c r="D219" s="20" t="n"/>
    </row>
    <row r="220">
      <c r="A220" s="12" t="n"/>
      <c r="B220" s="12" t="n"/>
      <c r="C220" s="12" t="n"/>
      <c r="D220" s="20" t="n"/>
    </row>
    <row r="221">
      <c r="A221" s="12" t="n"/>
      <c r="B221" s="12" t="n"/>
      <c r="C221" s="12" t="n"/>
      <c r="D221" s="20" t="n"/>
    </row>
    <row r="222">
      <c r="A222" s="12" t="n"/>
      <c r="B222" s="12" t="n"/>
      <c r="C222" s="12" t="n"/>
      <c r="D222" s="20" t="n"/>
    </row>
    <row r="223">
      <c r="A223" s="12" t="n"/>
      <c r="B223" s="12" t="n"/>
      <c r="C223" s="12" t="n"/>
      <c r="D223" s="20" t="n"/>
    </row>
    <row r="224">
      <c r="A224" s="12" t="n"/>
      <c r="B224" s="12" t="n"/>
      <c r="C224" s="12" t="n"/>
      <c r="D224" s="20" t="n"/>
    </row>
    <row r="225">
      <c r="A225" s="12" t="n"/>
      <c r="B225" s="12" t="n"/>
      <c r="C225" s="12" t="n"/>
      <c r="D225" s="20" t="n"/>
    </row>
    <row r="226">
      <c r="A226" s="12" t="n"/>
      <c r="B226" s="12" t="n"/>
      <c r="C226" s="12" t="n"/>
      <c r="D226" s="20" t="n"/>
    </row>
    <row r="227">
      <c r="A227" s="12" t="n"/>
      <c r="B227" s="12" t="n"/>
      <c r="C227" s="12" t="n"/>
      <c r="D227" s="20" t="n"/>
    </row>
    <row r="228">
      <c r="A228" s="12" t="n"/>
      <c r="B228" s="12" t="n"/>
      <c r="C228" s="12" t="n"/>
      <c r="D228" s="20" t="n"/>
    </row>
    <row r="229">
      <c r="A229" s="12" t="n"/>
      <c r="B229" s="12" t="n"/>
      <c r="C229" s="12" t="n"/>
      <c r="D229" s="20" t="n"/>
    </row>
    <row r="230">
      <c r="A230" s="12" t="n"/>
      <c r="B230" s="12" t="n"/>
      <c r="C230" s="12" t="n"/>
      <c r="D230" s="20" t="n"/>
    </row>
    <row r="231">
      <c r="A231" s="12" t="n"/>
      <c r="B231" s="12" t="n"/>
      <c r="C231" s="12" t="n"/>
      <c r="D231" s="20" t="n"/>
    </row>
    <row r="232">
      <c r="A232" s="12" t="n"/>
      <c r="B232" s="12" t="n"/>
      <c r="C232" s="12" t="n"/>
      <c r="D232" s="20" t="n"/>
    </row>
    <row r="233">
      <c r="A233" s="12" t="n"/>
      <c r="B233" s="12" t="n"/>
      <c r="C233" s="12" t="n"/>
      <c r="D233" s="20" t="n"/>
    </row>
    <row r="234">
      <c r="A234" s="12" t="n"/>
      <c r="B234" s="12" t="n"/>
      <c r="C234" s="12" t="n"/>
      <c r="D234" s="20" t="n"/>
    </row>
    <row r="235">
      <c r="A235" s="12" t="n"/>
      <c r="B235" s="12" t="n"/>
      <c r="C235" s="12" t="n"/>
      <c r="D235" s="20" t="n"/>
    </row>
    <row r="236">
      <c r="A236" s="12" t="n"/>
      <c r="B236" s="12" t="n"/>
      <c r="C236" s="12" t="n"/>
      <c r="D236" s="20" t="n"/>
    </row>
    <row r="237">
      <c r="A237" s="12" t="n"/>
      <c r="B237" s="12" t="n"/>
      <c r="C237" s="12" t="n"/>
      <c r="D237" s="20" t="n"/>
    </row>
    <row r="238">
      <c r="A238" s="12" t="n"/>
      <c r="B238" s="12" t="n"/>
      <c r="C238" s="12" t="n"/>
      <c r="D238" s="20" t="n"/>
    </row>
    <row r="239">
      <c r="A239" s="12" t="n"/>
      <c r="B239" s="12" t="n"/>
      <c r="C239" s="12" t="n"/>
      <c r="D239" s="20" t="n"/>
    </row>
    <row r="240">
      <c r="A240" s="12" t="n"/>
      <c r="B240" s="12" t="n"/>
      <c r="C240" s="12" t="n"/>
      <c r="D240" s="20" t="n"/>
    </row>
    <row r="241">
      <c r="A241" s="12" t="n"/>
      <c r="B241" s="12" t="n"/>
      <c r="C241" s="12" t="n"/>
      <c r="D241" s="20" t="n"/>
    </row>
    <row r="242">
      <c r="A242" s="12" t="n"/>
      <c r="B242" s="12" t="n"/>
      <c r="C242" s="12" t="n"/>
      <c r="D242" s="20" t="n"/>
    </row>
    <row r="243">
      <c r="A243" s="12" t="n"/>
      <c r="B243" s="12" t="n"/>
      <c r="C243" s="12" t="n"/>
      <c r="D243" s="20" t="n"/>
    </row>
    <row r="244">
      <c r="A244" s="12" t="n"/>
      <c r="B244" s="12" t="n"/>
      <c r="C244" s="12" t="n"/>
      <c r="D244" s="20" t="n"/>
    </row>
    <row r="245">
      <c r="A245" s="12" t="n"/>
      <c r="B245" s="12" t="n"/>
      <c r="C245" s="12" t="n"/>
      <c r="D245" s="20" t="n"/>
    </row>
    <row r="246">
      <c r="A246" s="12" t="n"/>
      <c r="B246" s="12" t="n"/>
      <c r="C246" s="12" t="n"/>
      <c r="D246" s="20" t="n"/>
    </row>
    <row r="247">
      <c r="A247" s="12" t="n"/>
      <c r="B247" s="12" t="n"/>
      <c r="C247" s="12" t="n"/>
      <c r="D247" s="20" t="n"/>
    </row>
    <row r="248">
      <c r="A248" s="12" t="n"/>
      <c r="B248" s="12" t="n"/>
      <c r="C248" s="12" t="n"/>
      <c r="D248" s="20" t="n"/>
    </row>
    <row r="249">
      <c r="A249" s="12" t="n"/>
      <c r="B249" s="12" t="n"/>
      <c r="C249" s="12" t="n"/>
      <c r="D249" s="20" t="n"/>
    </row>
    <row r="250">
      <c r="A250" s="12" t="n"/>
      <c r="B250" s="12" t="n"/>
      <c r="C250" s="12" t="n"/>
      <c r="D250" s="20" t="n"/>
    </row>
    <row r="251">
      <c r="A251" s="12" t="n"/>
      <c r="B251" s="12" t="n"/>
      <c r="C251" s="12" t="n"/>
      <c r="D251" s="20" t="n"/>
    </row>
    <row r="252">
      <c r="A252" s="12" t="n"/>
      <c r="B252" s="12" t="n"/>
      <c r="C252" s="12" t="n"/>
      <c r="D252" s="20" t="n"/>
    </row>
    <row r="253">
      <c r="A253" s="12" t="n"/>
      <c r="B253" s="12" t="n"/>
      <c r="C253" s="12" t="n"/>
      <c r="D253" s="20" t="n"/>
    </row>
    <row r="254">
      <c r="A254" s="12" t="n"/>
      <c r="B254" s="12" t="n"/>
      <c r="C254" s="12" t="n"/>
      <c r="D254" s="20" t="n"/>
    </row>
    <row r="255">
      <c r="A255" s="12" t="n"/>
      <c r="B255" s="12" t="n"/>
      <c r="C255" s="12" t="n"/>
      <c r="D255" s="20" t="n"/>
    </row>
    <row r="256">
      <c r="A256" s="12" t="n"/>
      <c r="B256" s="12" t="n"/>
      <c r="C256" s="12" t="n"/>
      <c r="D256" s="20" t="n"/>
    </row>
    <row r="257">
      <c r="A257" s="12" t="n"/>
      <c r="B257" s="12" t="n"/>
      <c r="C257" s="12" t="n"/>
      <c r="D257" s="20" t="n"/>
    </row>
    <row r="258">
      <c r="A258" s="12" t="n"/>
      <c r="B258" s="12" t="n"/>
      <c r="C258" s="12" t="n"/>
      <c r="D258" s="20" t="n"/>
    </row>
    <row r="259">
      <c r="A259" s="12" t="n"/>
      <c r="B259" s="12" t="n"/>
      <c r="C259" s="12" t="n"/>
      <c r="D259" s="20" t="n"/>
    </row>
    <row r="260">
      <c r="A260" s="12" t="n"/>
      <c r="B260" s="12" t="n"/>
      <c r="C260" s="12" t="n"/>
      <c r="D260" s="20" t="n"/>
    </row>
    <row r="261">
      <c r="A261" s="12" t="n"/>
      <c r="B261" s="12" t="n"/>
      <c r="C261" s="12" t="n"/>
      <c r="D261" s="20" t="n"/>
    </row>
    <row r="262">
      <c r="A262" s="12" t="n"/>
      <c r="B262" s="12" t="n"/>
      <c r="C262" s="12" t="n"/>
      <c r="D262" s="20" t="n"/>
    </row>
    <row r="263">
      <c r="A263" s="12" t="n"/>
      <c r="B263" s="12" t="n"/>
      <c r="C263" s="12" t="n"/>
      <c r="D263" s="20" t="n"/>
    </row>
    <row r="264">
      <c r="A264" s="12" t="n"/>
      <c r="B264" s="12" t="n"/>
      <c r="C264" s="12" t="n"/>
      <c r="D264" s="20" t="n"/>
    </row>
    <row r="265">
      <c r="A265" s="12" t="n"/>
      <c r="B265" s="12" t="n"/>
      <c r="C265" s="12" t="n"/>
      <c r="D265" s="20" t="n"/>
    </row>
    <row r="266">
      <c r="A266" s="12" t="n"/>
      <c r="B266" s="12" t="n"/>
      <c r="C266" s="12" t="n"/>
      <c r="D266" s="20" t="n"/>
    </row>
    <row r="267">
      <c r="A267" s="12" t="n"/>
      <c r="B267" s="12" t="n"/>
      <c r="C267" s="12" t="n"/>
      <c r="D267" s="20" t="n"/>
    </row>
    <row r="268">
      <c r="A268" s="12" t="n"/>
      <c r="B268" s="12" t="n"/>
      <c r="C268" s="12" t="n"/>
      <c r="D268" s="20" t="n"/>
    </row>
    <row r="269">
      <c r="A269" s="12" t="n"/>
      <c r="B269" s="12" t="n"/>
      <c r="C269" s="12" t="n"/>
      <c r="D269" s="20" t="n"/>
    </row>
    <row r="270">
      <c r="A270" s="12" t="n"/>
      <c r="B270" s="12" t="n"/>
      <c r="C270" s="12" t="n"/>
      <c r="D270" s="20" t="n"/>
    </row>
    <row r="271">
      <c r="A271" s="12" t="n"/>
      <c r="B271" s="12" t="n"/>
      <c r="C271" s="12" t="n"/>
      <c r="D271" s="20" t="n"/>
    </row>
    <row r="272">
      <c r="A272" s="12" t="n"/>
      <c r="B272" s="12" t="n"/>
      <c r="C272" s="12" t="n"/>
      <c r="D272" s="20" t="n"/>
    </row>
    <row r="273">
      <c r="A273" s="12" t="n"/>
      <c r="B273" s="12" t="n"/>
      <c r="C273" s="12" t="n"/>
      <c r="D273" s="20" t="n"/>
    </row>
    <row r="274">
      <c r="A274" s="12" t="n"/>
      <c r="B274" s="12" t="n"/>
      <c r="C274" s="12" t="n"/>
      <c r="D274" s="20" t="n"/>
    </row>
    <row r="275">
      <c r="A275" s="12" t="n"/>
      <c r="B275" s="12" t="n"/>
      <c r="C275" s="12" t="n"/>
      <c r="D275" s="20" t="n"/>
    </row>
    <row r="276">
      <c r="A276" s="12" t="n"/>
      <c r="B276" s="12" t="n"/>
      <c r="C276" s="12" t="n"/>
      <c r="D276" s="20" t="n"/>
    </row>
    <row r="277">
      <c r="A277" s="12" t="n"/>
      <c r="B277" s="12" t="n"/>
      <c r="C277" s="12" t="n"/>
      <c r="D277" s="20" t="n"/>
    </row>
    <row r="278">
      <c r="A278" s="12" t="n"/>
      <c r="B278" s="12" t="n"/>
      <c r="C278" s="12" t="n"/>
      <c r="D278" s="20" t="n"/>
    </row>
    <row r="279">
      <c r="A279" s="12" t="n"/>
      <c r="B279" s="12" t="n"/>
      <c r="C279" s="12" t="n"/>
      <c r="D279" s="20" t="n"/>
    </row>
    <row r="280">
      <c r="A280" s="12" t="n"/>
      <c r="B280" s="12" t="n"/>
      <c r="C280" s="12" t="n"/>
      <c r="D280" s="20" t="n"/>
    </row>
    <row r="281">
      <c r="A281" s="12" t="n"/>
      <c r="B281" s="12" t="n"/>
      <c r="C281" s="12" t="n"/>
      <c r="D281" s="20" t="n"/>
    </row>
    <row r="282">
      <c r="A282" s="12" t="n"/>
      <c r="B282" s="12" t="n"/>
      <c r="C282" s="12" t="n"/>
      <c r="D282" s="20" t="n"/>
    </row>
    <row r="283">
      <c r="A283" s="12" t="n"/>
      <c r="B283" s="12" t="n"/>
      <c r="C283" s="12" t="n"/>
      <c r="D283" s="20" t="n"/>
    </row>
    <row r="284">
      <c r="A284" s="12" t="n"/>
      <c r="B284" s="12" t="n"/>
      <c r="C284" s="12" t="n"/>
      <c r="D284" s="20" t="n"/>
    </row>
    <row r="285">
      <c r="A285" s="12" t="n"/>
      <c r="B285" s="12" t="n"/>
      <c r="C285" s="12" t="n"/>
      <c r="D285" s="20" t="n"/>
    </row>
    <row r="286">
      <c r="A286" s="12" t="n"/>
      <c r="B286" s="12" t="n"/>
      <c r="C286" s="12" t="n"/>
      <c r="D286" s="20" t="n"/>
    </row>
    <row r="287">
      <c r="A287" s="12" t="n"/>
      <c r="B287" s="12" t="n"/>
      <c r="C287" s="12" t="n"/>
      <c r="D287" s="20" t="n"/>
    </row>
    <row r="288">
      <c r="A288" s="12" t="n"/>
      <c r="B288" s="12" t="n"/>
      <c r="C288" s="12" t="n"/>
      <c r="D288" s="20" t="n"/>
    </row>
    <row r="289">
      <c r="A289" s="12" t="n"/>
      <c r="B289" s="12" t="n"/>
      <c r="C289" s="12" t="n"/>
      <c r="D289" s="20" t="n"/>
    </row>
    <row r="290">
      <c r="A290" s="12" t="n"/>
      <c r="B290" s="12" t="n"/>
      <c r="C290" s="12" t="n"/>
      <c r="D290" s="20" t="n"/>
    </row>
    <row r="291">
      <c r="A291" s="12" t="n"/>
      <c r="B291" s="12" t="n"/>
      <c r="C291" s="12" t="n"/>
      <c r="D291" s="20" t="n"/>
    </row>
    <row r="292">
      <c r="A292" s="12" t="n"/>
      <c r="B292" s="12" t="n"/>
      <c r="C292" s="12" t="n"/>
      <c r="D292" s="20" t="n"/>
    </row>
    <row r="293">
      <c r="A293" s="12" t="n"/>
      <c r="B293" s="12" t="n"/>
      <c r="C293" s="12" t="n"/>
      <c r="D293" s="20" t="n"/>
    </row>
    <row r="294">
      <c r="A294" s="12" t="n"/>
      <c r="B294" s="12" t="n"/>
      <c r="C294" s="12" t="n"/>
      <c r="D294" s="20" t="n"/>
    </row>
    <row r="295">
      <c r="A295" s="12" t="n"/>
      <c r="B295" s="12" t="n"/>
      <c r="C295" s="12" t="n"/>
      <c r="D295" s="20" t="n"/>
    </row>
    <row r="296">
      <c r="A296" s="12" t="n"/>
      <c r="B296" s="12" t="n"/>
      <c r="C296" s="12" t="n"/>
      <c r="D296" s="20" t="n"/>
    </row>
    <row r="297">
      <c r="A297" s="12" t="n"/>
      <c r="B297" s="12" t="n"/>
      <c r="C297" s="12" t="n"/>
      <c r="D297" s="20" t="n"/>
    </row>
    <row r="298">
      <c r="A298" s="12" t="n"/>
      <c r="B298" s="12" t="n"/>
      <c r="C298" s="12" t="n"/>
      <c r="D298" s="20" t="n"/>
    </row>
    <row r="299">
      <c r="A299" s="12" t="n"/>
      <c r="B299" s="12" t="n"/>
      <c r="C299" s="12" t="n"/>
      <c r="D299" s="20" t="n"/>
    </row>
    <row r="300">
      <c r="A300" s="12" t="n"/>
      <c r="B300" s="12" t="n"/>
      <c r="C300" s="12" t="n"/>
      <c r="D300" s="20" t="n"/>
    </row>
    <row r="301">
      <c r="A301" s="12" t="n"/>
      <c r="B301" s="12" t="n"/>
      <c r="C301" s="12" t="n"/>
      <c r="D301" s="20" t="n"/>
    </row>
    <row r="302">
      <c r="A302" s="12" t="n"/>
      <c r="B302" s="12" t="n"/>
      <c r="C302" s="12" t="n"/>
      <c r="D302" s="20" t="n"/>
    </row>
    <row r="303">
      <c r="A303" s="12" t="n"/>
      <c r="B303" s="12" t="n"/>
      <c r="C303" s="12" t="n"/>
      <c r="D303" s="20" t="n"/>
    </row>
    <row r="304">
      <c r="A304" s="12" t="n"/>
      <c r="B304" s="12" t="n"/>
      <c r="C304" s="12" t="n"/>
      <c r="D304" s="20" t="n"/>
    </row>
    <row r="305">
      <c r="A305" s="12" t="n"/>
      <c r="B305" s="12" t="n"/>
      <c r="C305" s="12" t="n"/>
      <c r="D305" s="20" t="n"/>
    </row>
    <row r="306">
      <c r="A306" s="12" t="n"/>
      <c r="B306" s="12" t="n"/>
      <c r="C306" s="12" t="n"/>
      <c r="D306" s="20" t="n"/>
    </row>
    <row r="307">
      <c r="A307" s="12" t="n"/>
      <c r="B307" s="12" t="n"/>
      <c r="C307" s="12" t="n"/>
      <c r="D307" s="20" t="n"/>
    </row>
    <row r="308">
      <c r="A308" s="12" t="n"/>
      <c r="B308" s="12" t="n"/>
      <c r="C308" s="12" t="n"/>
      <c r="D308" s="20" t="n"/>
    </row>
    <row r="309">
      <c r="A309" s="12" t="n"/>
      <c r="B309" s="12" t="n"/>
      <c r="C309" s="12" t="n"/>
      <c r="D309" s="20" t="n"/>
    </row>
    <row r="310">
      <c r="A310" s="12" t="n"/>
      <c r="B310" s="12" t="n"/>
      <c r="C310" s="12" t="n"/>
      <c r="D310" s="20" t="n"/>
    </row>
    <row r="311">
      <c r="A311" s="12" t="n"/>
      <c r="B311" s="12" t="n"/>
      <c r="C311" s="12" t="n"/>
      <c r="D311" s="20" t="n"/>
    </row>
    <row r="312">
      <c r="A312" s="12" t="n"/>
      <c r="B312" s="12" t="n"/>
      <c r="C312" s="12" t="n"/>
      <c r="D312" s="20" t="n"/>
    </row>
    <row r="313">
      <c r="A313" s="12" t="n"/>
      <c r="B313" s="12" t="n"/>
      <c r="C313" s="12" t="n"/>
      <c r="D313" s="20" t="n"/>
    </row>
    <row r="314">
      <c r="A314" s="12" t="n"/>
      <c r="B314" s="12" t="n"/>
      <c r="C314" s="12" t="n"/>
      <c r="D314" s="20" t="n"/>
    </row>
    <row r="315">
      <c r="A315" s="12" t="n"/>
      <c r="B315" s="12" t="n"/>
      <c r="C315" s="12" t="n"/>
      <c r="D315" s="20" t="n"/>
    </row>
    <row r="316">
      <c r="A316" s="12" t="n"/>
      <c r="B316" s="12" t="n"/>
      <c r="C316" s="12" t="n"/>
      <c r="D316" s="20" t="n"/>
    </row>
    <row r="317">
      <c r="A317" s="12" t="n"/>
      <c r="B317" s="12" t="n"/>
      <c r="C317" s="12" t="n"/>
      <c r="D317" s="20" t="n"/>
    </row>
    <row r="318">
      <c r="A318" s="12" t="n"/>
      <c r="B318" s="12" t="n"/>
      <c r="C318" s="12" t="n"/>
      <c r="D318" s="20" t="n"/>
    </row>
    <row r="319">
      <c r="A319" s="12" t="n"/>
      <c r="B319" s="12" t="n"/>
      <c r="C319" s="12" t="n"/>
      <c r="D319" s="20" t="n"/>
    </row>
    <row r="320">
      <c r="A320" s="12" t="n"/>
      <c r="B320" s="12" t="n"/>
      <c r="C320" s="12" t="n"/>
      <c r="D320" s="20" t="n"/>
    </row>
    <row r="321">
      <c r="A321" s="12" t="n"/>
      <c r="B321" s="12" t="n"/>
      <c r="C321" s="12" t="n"/>
      <c r="D321" s="20" t="n"/>
    </row>
    <row r="322">
      <c r="A322" s="12" t="n"/>
      <c r="B322" s="12" t="n"/>
      <c r="C322" s="12" t="n"/>
      <c r="D322" s="20" t="n"/>
    </row>
    <row r="323">
      <c r="A323" s="12" t="n"/>
      <c r="B323" s="12" t="n"/>
      <c r="C323" s="12" t="n"/>
      <c r="D323" s="20" t="n"/>
    </row>
    <row r="324">
      <c r="A324" s="12" t="n"/>
      <c r="B324" s="12" t="n"/>
      <c r="C324" s="12" t="n"/>
      <c r="D324" s="20" t="n"/>
    </row>
    <row r="325">
      <c r="A325" s="12" t="n"/>
      <c r="B325" s="12" t="n"/>
      <c r="C325" s="12" t="n"/>
      <c r="D325" s="20" t="n"/>
    </row>
    <row r="326">
      <c r="A326" s="12" t="n"/>
      <c r="B326" s="12" t="n"/>
      <c r="C326" s="12" t="n"/>
      <c r="D326" s="20" t="n"/>
    </row>
    <row r="327">
      <c r="A327" s="12" t="n"/>
      <c r="B327" s="12" t="n"/>
      <c r="C327" s="12" t="n"/>
      <c r="D327" s="20" t="n"/>
    </row>
    <row r="328">
      <c r="A328" s="12" t="n"/>
      <c r="B328" s="12" t="n"/>
      <c r="C328" s="12" t="n"/>
      <c r="D328" s="20" t="n"/>
    </row>
    <row r="329">
      <c r="A329" s="12" t="n"/>
      <c r="B329" s="12" t="n"/>
      <c r="C329" s="12" t="n"/>
      <c r="D329" s="20" t="n"/>
    </row>
    <row r="330">
      <c r="A330" s="12" t="n"/>
      <c r="B330" s="12" t="n"/>
      <c r="C330" s="12" t="n"/>
      <c r="D330" s="20" t="n"/>
    </row>
    <row r="331">
      <c r="A331" s="12" t="n"/>
      <c r="B331" s="12" t="n"/>
      <c r="C331" s="12" t="n"/>
      <c r="D331" s="20" t="n"/>
    </row>
    <row r="332">
      <c r="A332" s="12" t="n"/>
      <c r="B332" s="12" t="n"/>
      <c r="C332" s="12" t="n"/>
      <c r="D332" s="20" t="n"/>
    </row>
    <row r="333">
      <c r="A333" s="12" t="n"/>
      <c r="B333" s="12" t="n"/>
      <c r="C333" s="12" t="n"/>
      <c r="D333" s="20" t="n"/>
    </row>
    <row r="334">
      <c r="A334" s="12" t="n"/>
      <c r="B334" s="12" t="n"/>
      <c r="C334" s="12" t="n"/>
      <c r="D334" s="20" t="n"/>
    </row>
    <row r="335">
      <c r="A335" s="12" t="n"/>
      <c r="B335" s="12" t="n"/>
      <c r="C335" s="12" t="n"/>
      <c r="D335" s="20" t="n"/>
    </row>
    <row r="336">
      <c r="A336" s="12" t="n"/>
      <c r="B336" s="12" t="n"/>
      <c r="C336" s="12" t="n"/>
      <c r="D336" s="20" t="n"/>
    </row>
    <row r="337">
      <c r="A337" s="12" t="n"/>
      <c r="B337" s="12" t="n"/>
      <c r="C337" s="12" t="n"/>
      <c r="D337" s="20" t="n"/>
    </row>
    <row r="338">
      <c r="A338" s="12" t="n"/>
      <c r="B338" s="12" t="n"/>
      <c r="C338" s="12" t="n"/>
      <c r="D338" s="20" t="n"/>
    </row>
    <row r="339">
      <c r="A339" s="12" t="n"/>
      <c r="B339" s="12" t="n"/>
      <c r="C339" s="12" t="n"/>
      <c r="D339" s="20" t="n"/>
    </row>
    <row r="340">
      <c r="A340" s="12" t="n"/>
      <c r="B340" s="12" t="n"/>
      <c r="C340" s="12" t="n"/>
      <c r="D340" s="20" t="n"/>
    </row>
    <row r="341">
      <c r="A341" s="12" t="n"/>
      <c r="B341" s="12" t="n"/>
      <c r="C341" s="12" t="n"/>
      <c r="D341" s="20" t="n"/>
    </row>
    <row r="342">
      <c r="A342" s="12" t="n"/>
      <c r="B342" s="12" t="n"/>
      <c r="C342" s="12" t="n"/>
      <c r="D342" s="20" t="n"/>
    </row>
    <row r="343">
      <c r="A343" s="12" t="n"/>
      <c r="B343" s="12" t="n"/>
      <c r="C343" s="12" t="n"/>
      <c r="D343" s="20" t="n"/>
    </row>
    <row r="344">
      <c r="A344" s="12" t="n"/>
      <c r="B344" s="12" t="n"/>
      <c r="C344" s="12" t="n"/>
      <c r="D344" s="20" t="n"/>
    </row>
    <row r="345">
      <c r="A345" s="12" t="n"/>
      <c r="B345" s="12" t="n"/>
      <c r="C345" s="12" t="n"/>
      <c r="D345" s="20" t="n"/>
    </row>
    <row r="346">
      <c r="A346" s="12" t="n"/>
      <c r="B346" s="12" t="n"/>
      <c r="C346" s="12" t="n"/>
      <c r="D346" s="20" t="n"/>
    </row>
    <row r="347">
      <c r="A347" s="12" t="n"/>
      <c r="B347" s="12" t="n"/>
      <c r="C347" s="12" t="n"/>
      <c r="D347" s="20" t="n"/>
    </row>
    <row r="348">
      <c r="A348" s="12" t="n"/>
      <c r="B348" s="12" t="n"/>
      <c r="C348" s="12" t="n"/>
      <c r="D348" s="20" t="n"/>
    </row>
    <row r="349">
      <c r="A349" s="12" t="n"/>
      <c r="B349" s="12" t="n"/>
      <c r="C349" s="12" t="n"/>
      <c r="D349" s="20" t="n"/>
    </row>
    <row r="350">
      <c r="A350" s="12" t="n"/>
      <c r="B350" s="12" t="n"/>
      <c r="C350" s="12" t="n"/>
      <c r="D350" s="20" t="n"/>
    </row>
    <row r="351">
      <c r="A351" s="12" t="n"/>
      <c r="B351" s="12" t="n"/>
      <c r="C351" s="12" t="n"/>
      <c r="D351" s="20" t="n"/>
    </row>
    <row r="352">
      <c r="A352" s="12" t="n"/>
      <c r="B352" s="12" t="n"/>
      <c r="C352" s="12" t="n"/>
      <c r="D352" s="20" t="n"/>
    </row>
    <row r="353">
      <c r="A353" s="12" t="n"/>
      <c r="B353" s="12" t="n"/>
      <c r="C353" s="12" t="n"/>
      <c r="D353" s="20" t="n"/>
    </row>
    <row r="354">
      <c r="A354" s="12" t="n"/>
      <c r="B354" s="12" t="n"/>
      <c r="C354" s="12" t="n"/>
      <c r="D354" s="20" t="n"/>
    </row>
    <row r="355">
      <c r="A355" s="12" t="n"/>
      <c r="B355" s="12" t="n"/>
      <c r="C355" s="12" t="n"/>
      <c r="D355" s="20" t="n"/>
    </row>
    <row r="356">
      <c r="A356" s="12" t="n"/>
      <c r="B356" s="12" t="n"/>
      <c r="C356" s="12" t="n"/>
      <c r="D356" s="20" t="n"/>
    </row>
    <row r="357">
      <c r="A357" s="12" t="n"/>
      <c r="B357" s="12" t="n"/>
      <c r="C357" s="12" t="n"/>
      <c r="D357" s="20" t="n"/>
    </row>
    <row r="358">
      <c r="A358" s="12" t="n"/>
      <c r="B358" s="12" t="n"/>
      <c r="C358" s="12" t="n"/>
      <c r="D358" s="20" t="n"/>
    </row>
    <row r="359">
      <c r="A359" s="12" t="n"/>
      <c r="B359" s="12" t="n"/>
      <c r="C359" s="12" t="n"/>
      <c r="D359" s="20" t="n"/>
    </row>
    <row r="360">
      <c r="A360" s="12" t="n"/>
      <c r="B360" s="12" t="n"/>
      <c r="C360" s="12" t="n"/>
      <c r="D360" s="20" t="n"/>
    </row>
    <row r="361">
      <c r="A361" s="12" t="n"/>
      <c r="B361" s="12" t="n"/>
      <c r="C361" s="12" t="n"/>
      <c r="D361" s="20" t="n"/>
    </row>
    <row r="362">
      <c r="A362" s="12" t="n"/>
      <c r="B362" s="12" t="n"/>
      <c r="C362" s="12" t="n"/>
      <c r="D362" s="20" t="n"/>
    </row>
    <row r="363">
      <c r="A363" s="12" t="n"/>
      <c r="B363" s="12" t="n"/>
      <c r="C363" s="12" t="n"/>
      <c r="D363" s="20" t="n"/>
    </row>
    <row r="364">
      <c r="A364" s="12" t="n"/>
      <c r="B364" s="12" t="n"/>
      <c r="C364" s="12" t="n"/>
      <c r="D364" s="20" t="n"/>
    </row>
    <row r="365">
      <c r="A365" s="12" t="n"/>
      <c r="B365" s="12" t="n"/>
      <c r="C365" s="12" t="n"/>
      <c r="D365" s="20" t="n"/>
    </row>
    <row r="366">
      <c r="A366" s="12" t="n"/>
      <c r="B366" s="12" t="n"/>
      <c r="C366" s="12" t="n"/>
      <c r="D366" s="20" t="n"/>
    </row>
    <row r="367">
      <c r="A367" s="12" t="n"/>
      <c r="B367" s="12" t="n"/>
      <c r="C367" s="12" t="n"/>
      <c r="D367" s="20" t="n"/>
    </row>
    <row r="368">
      <c r="A368" s="12" t="n"/>
      <c r="B368" s="12" t="n"/>
      <c r="C368" s="12" t="n"/>
      <c r="D368" s="20" t="n"/>
    </row>
    <row r="369">
      <c r="A369" s="12" t="n"/>
      <c r="B369" s="12" t="n"/>
      <c r="C369" s="12" t="n"/>
      <c r="D369" s="20" t="n"/>
    </row>
    <row r="370">
      <c r="A370" s="12" t="n"/>
      <c r="B370" s="12" t="n"/>
      <c r="C370" s="12" t="n"/>
      <c r="D370" s="20" t="n"/>
    </row>
    <row r="371">
      <c r="A371" s="12" t="n"/>
      <c r="B371" s="12" t="n"/>
      <c r="C371" s="12" t="n"/>
      <c r="D371" s="20" t="n"/>
    </row>
    <row r="372">
      <c r="A372" s="12" t="n"/>
      <c r="B372" s="12" t="n"/>
      <c r="C372" s="12" t="n"/>
      <c r="D372" s="20" t="n"/>
    </row>
    <row r="373">
      <c r="A373" s="12" t="n"/>
      <c r="B373" s="12" t="n"/>
      <c r="C373" s="12" t="n"/>
      <c r="D373" s="20" t="n"/>
    </row>
    <row r="374">
      <c r="A374" s="12" t="n"/>
      <c r="B374" s="12" t="n"/>
      <c r="C374" s="12" t="n"/>
      <c r="D374" s="20" t="n"/>
    </row>
    <row r="375">
      <c r="A375" s="12" t="n"/>
      <c r="B375" s="12" t="n"/>
      <c r="C375" s="12" t="n"/>
      <c r="D375" s="20" t="n"/>
    </row>
    <row r="376">
      <c r="A376" s="12" t="n"/>
      <c r="B376" s="12" t="n"/>
      <c r="C376" s="12" t="n"/>
      <c r="D376" s="20" t="n"/>
    </row>
    <row r="377">
      <c r="A377" s="12" t="n"/>
      <c r="B377" s="12" t="n"/>
      <c r="C377" s="12" t="n"/>
      <c r="D377" s="20" t="n"/>
    </row>
    <row r="378">
      <c r="A378" s="12" t="n"/>
      <c r="B378" s="12" t="n"/>
      <c r="C378" s="12" t="n"/>
      <c r="D378" s="20" t="n"/>
    </row>
    <row r="379">
      <c r="A379" s="12" t="n"/>
      <c r="B379" s="12" t="n"/>
      <c r="C379" s="12" t="n"/>
      <c r="D379" s="20" t="n"/>
    </row>
    <row r="380">
      <c r="A380" s="12" t="n"/>
      <c r="B380" s="12" t="n"/>
      <c r="C380" s="12" t="n"/>
      <c r="D380" s="20" t="n"/>
    </row>
    <row r="381">
      <c r="A381" s="12" t="n"/>
      <c r="B381" s="12" t="n"/>
      <c r="C381" s="12" t="n"/>
      <c r="D381" s="20" t="n"/>
    </row>
    <row r="382">
      <c r="A382" s="12" t="n"/>
      <c r="B382" s="12" t="n"/>
      <c r="C382" s="12" t="n"/>
      <c r="D382" s="20" t="n"/>
    </row>
    <row r="383">
      <c r="A383" s="12" t="n"/>
      <c r="B383" s="12" t="n"/>
      <c r="C383" s="12" t="n"/>
      <c r="D383" s="20" t="n"/>
    </row>
    <row r="384">
      <c r="A384" s="12" t="n"/>
      <c r="B384" s="12" t="n"/>
      <c r="C384" s="12" t="n"/>
      <c r="D384" s="20" t="n"/>
    </row>
    <row r="385">
      <c r="A385" s="12" t="n"/>
      <c r="B385" s="12" t="n"/>
      <c r="C385" s="12" t="n"/>
      <c r="D385" s="20" t="n"/>
    </row>
    <row r="386">
      <c r="A386" s="12" t="n"/>
      <c r="B386" s="12" t="n"/>
      <c r="C386" s="12" t="n"/>
      <c r="D386" s="20" t="n"/>
    </row>
    <row r="387">
      <c r="A387" s="12" t="n"/>
      <c r="B387" s="12" t="n"/>
      <c r="C387" s="12" t="n"/>
      <c r="D387" s="20" t="n"/>
    </row>
    <row r="388">
      <c r="A388" s="12" t="n"/>
      <c r="B388" s="12" t="n"/>
      <c r="C388" s="12" t="n"/>
      <c r="D388" s="20" t="n"/>
    </row>
    <row r="389">
      <c r="A389" s="12" t="n"/>
      <c r="B389" s="12" t="n"/>
      <c r="C389" s="12" t="n"/>
      <c r="D389" s="20" t="n"/>
    </row>
    <row r="390">
      <c r="A390" s="12" t="n"/>
      <c r="B390" s="12" t="n"/>
      <c r="C390" s="12" t="n"/>
      <c r="D390" s="20" t="n"/>
    </row>
    <row r="391">
      <c r="A391" s="12" t="n"/>
      <c r="B391" s="12" t="n"/>
      <c r="C391" s="12" t="n"/>
      <c r="D391" s="20" t="n"/>
    </row>
    <row r="392">
      <c r="A392" s="12" t="n"/>
      <c r="B392" s="12" t="n"/>
      <c r="C392" s="12" t="n"/>
      <c r="D392" s="20" t="n"/>
    </row>
    <row r="393">
      <c r="A393" s="12" t="n"/>
      <c r="B393" s="12" t="n"/>
      <c r="C393" s="12" t="n"/>
      <c r="D393" s="20" t="n"/>
    </row>
    <row r="394">
      <c r="A394" s="12" t="n"/>
      <c r="B394" s="12" t="n"/>
      <c r="C394" s="12" t="n"/>
      <c r="D394" s="20" t="n"/>
    </row>
    <row r="395">
      <c r="A395" s="12" t="n"/>
      <c r="B395" s="12" t="n"/>
      <c r="C395" s="12" t="n"/>
      <c r="D395" s="20" t="n"/>
    </row>
    <row r="396">
      <c r="A396" s="12" t="n"/>
      <c r="B396" s="12" t="n"/>
      <c r="C396" s="12" t="n"/>
      <c r="D396" s="20" t="n"/>
    </row>
    <row r="397">
      <c r="A397" s="12" t="n"/>
      <c r="B397" s="12" t="n"/>
      <c r="C397" s="12" t="n"/>
      <c r="D397" s="20" t="n"/>
    </row>
    <row r="398">
      <c r="A398" s="12" t="n"/>
      <c r="B398" s="12" t="n"/>
      <c r="C398" s="12" t="n"/>
      <c r="D398" s="20" t="n"/>
    </row>
    <row r="399">
      <c r="A399" s="12" t="n"/>
      <c r="B399" s="12" t="n"/>
      <c r="C399" s="12" t="n"/>
      <c r="D399" s="20" t="n"/>
    </row>
    <row r="400">
      <c r="A400" s="12" t="n"/>
      <c r="B400" s="12" t="n"/>
      <c r="C400" s="12" t="n"/>
      <c r="D400" s="20" t="n"/>
    </row>
    <row r="401">
      <c r="A401" s="12" t="n"/>
      <c r="B401" s="12" t="n"/>
      <c r="C401" s="12" t="n"/>
      <c r="D401" s="20" t="n"/>
    </row>
    <row r="402">
      <c r="A402" s="12" t="n"/>
      <c r="B402" s="12" t="n"/>
      <c r="C402" s="12" t="n"/>
      <c r="D402" s="20" t="n"/>
    </row>
    <row r="403">
      <c r="A403" s="12" t="n"/>
      <c r="B403" s="12" t="n"/>
      <c r="C403" s="12" t="n"/>
      <c r="D403" s="20" t="n"/>
    </row>
    <row r="404">
      <c r="A404" s="12" t="n"/>
      <c r="B404" s="12" t="n"/>
      <c r="C404" s="12" t="n"/>
      <c r="D404" s="20" t="n"/>
    </row>
    <row r="405">
      <c r="A405" s="12" t="n"/>
      <c r="B405" s="12" t="n"/>
      <c r="C405" s="12" t="n"/>
      <c r="D405" s="20" t="n"/>
    </row>
    <row r="406">
      <c r="A406" s="12" t="n"/>
      <c r="B406" s="12" t="n"/>
      <c r="C406" s="12" t="n"/>
      <c r="D406" s="20" t="n"/>
    </row>
    <row r="407">
      <c r="A407" s="12" t="n"/>
      <c r="B407" s="12" t="n"/>
      <c r="C407" s="12" t="n"/>
      <c r="D407" s="20" t="n"/>
    </row>
    <row r="408">
      <c r="A408" s="12" t="n"/>
      <c r="B408" s="12" t="n"/>
      <c r="C408" s="12" t="n"/>
      <c r="D408" s="20" t="n"/>
    </row>
    <row r="409">
      <c r="A409" s="12" t="n"/>
      <c r="B409" s="12" t="n"/>
      <c r="C409" s="12" t="n"/>
      <c r="D409" s="20" t="n"/>
    </row>
    <row r="410">
      <c r="A410" s="12" t="n"/>
      <c r="B410" s="12" t="n"/>
      <c r="C410" s="12" t="n"/>
      <c r="D410" s="20" t="n"/>
    </row>
    <row r="411">
      <c r="A411" s="12" t="n"/>
      <c r="B411" s="12" t="n"/>
      <c r="C411" s="12" t="n"/>
      <c r="D411" s="20" t="n"/>
    </row>
    <row r="412">
      <c r="A412" s="12" t="n"/>
      <c r="B412" s="12" t="n"/>
      <c r="C412" s="12" t="n"/>
      <c r="D412" s="20" t="n"/>
    </row>
    <row r="413">
      <c r="A413" s="12" t="n"/>
      <c r="B413" s="12" t="n"/>
      <c r="C413" s="12" t="n"/>
      <c r="D413" s="20" t="n"/>
    </row>
    <row r="414">
      <c r="A414" s="12" t="n"/>
      <c r="B414" s="12" t="n"/>
      <c r="C414" s="12" t="n"/>
      <c r="D414" s="20" t="n"/>
    </row>
    <row r="415">
      <c r="A415" s="12" t="n"/>
      <c r="B415" s="12" t="n"/>
      <c r="C415" s="12" t="n"/>
      <c r="D415" s="20" t="n"/>
    </row>
    <row r="416">
      <c r="A416" s="12" t="n"/>
      <c r="B416" s="12" t="n"/>
      <c r="C416" s="12" t="n"/>
      <c r="D416" s="20" t="n"/>
    </row>
    <row r="417">
      <c r="A417" s="12" t="n"/>
      <c r="B417" s="12" t="n"/>
      <c r="C417" s="12" t="n"/>
      <c r="D417" s="20" t="n"/>
    </row>
    <row r="418">
      <c r="A418" s="12" t="n"/>
      <c r="B418" s="12" t="n"/>
      <c r="C418" s="12" t="n"/>
      <c r="D418" s="20" t="n"/>
    </row>
    <row r="419">
      <c r="A419" s="12" t="n"/>
      <c r="B419" s="12" t="n"/>
      <c r="C419" s="12" t="n"/>
      <c r="D419" s="20" t="n"/>
    </row>
    <row r="420">
      <c r="A420" s="12" t="n"/>
      <c r="B420" s="12" t="n"/>
      <c r="C420" s="12" t="n"/>
      <c r="D420" s="20" t="n"/>
    </row>
    <row r="421">
      <c r="A421" s="12" t="n"/>
      <c r="B421" s="12" t="n"/>
      <c r="C421" s="12" t="n"/>
      <c r="D421" s="20" t="n"/>
    </row>
    <row r="422">
      <c r="A422" s="12" t="n"/>
      <c r="B422" s="12" t="n"/>
      <c r="C422" s="12" t="n"/>
      <c r="D422" s="20" t="n"/>
    </row>
    <row r="423">
      <c r="A423" s="12" t="n"/>
      <c r="B423" s="12" t="n"/>
      <c r="C423" s="12" t="n"/>
      <c r="D423" s="20" t="n"/>
    </row>
    <row r="424">
      <c r="A424" s="12" t="n"/>
      <c r="B424" s="12" t="n"/>
      <c r="C424" s="12" t="n"/>
      <c r="D424" s="20" t="n"/>
    </row>
    <row r="425">
      <c r="A425" s="12" t="n"/>
      <c r="B425" s="12" t="n"/>
      <c r="C425" s="12" t="n"/>
      <c r="D425" s="20" t="n"/>
    </row>
    <row r="426">
      <c r="A426" s="12" t="n"/>
      <c r="B426" s="12" t="n"/>
      <c r="C426" s="12" t="n"/>
      <c r="D426" s="20" t="n"/>
    </row>
    <row r="427">
      <c r="A427" s="12" t="n"/>
      <c r="B427" s="12" t="n"/>
      <c r="C427" s="12" t="n"/>
      <c r="D427" s="20" t="n"/>
    </row>
    <row r="428">
      <c r="A428" s="12" t="n"/>
      <c r="B428" s="12" t="n"/>
      <c r="C428" s="12" t="n"/>
      <c r="D428" s="20" t="n"/>
    </row>
    <row r="429">
      <c r="A429" s="12" t="n"/>
      <c r="B429" s="12" t="n"/>
      <c r="C429" s="12" t="n"/>
      <c r="D429" s="20" t="n"/>
    </row>
    <row r="430">
      <c r="A430" s="12" t="n"/>
      <c r="B430" s="12" t="n"/>
      <c r="C430" s="12" t="n"/>
      <c r="D430" s="20" t="n"/>
    </row>
    <row r="431">
      <c r="A431" s="12" t="n"/>
      <c r="B431" s="12" t="n"/>
      <c r="C431" s="12" t="n"/>
      <c r="D431" s="20" t="n"/>
    </row>
    <row r="432">
      <c r="A432" s="12" t="n"/>
      <c r="B432" s="12" t="n"/>
      <c r="C432" s="12" t="n"/>
      <c r="D432" s="20" t="n"/>
    </row>
    <row r="433">
      <c r="A433" s="12" t="n"/>
      <c r="B433" s="12" t="n"/>
      <c r="C433" s="12" t="n"/>
      <c r="D433" s="20" t="n"/>
    </row>
    <row r="434">
      <c r="A434" s="12" t="n"/>
      <c r="B434" s="12" t="n"/>
      <c r="C434" s="12" t="n"/>
      <c r="D434" s="20" t="n"/>
    </row>
    <row r="435">
      <c r="A435" s="12" t="n"/>
      <c r="B435" s="12" t="n"/>
      <c r="C435" s="12" t="n"/>
      <c r="D435" s="20" t="n"/>
    </row>
    <row r="436">
      <c r="A436" s="12" t="n"/>
      <c r="B436" s="12" t="n"/>
      <c r="C436" s="12" t="n"/>
      <c r="D436" s="20" t="n"/>
    </row>
    <row r="437">
      <c r="A437" s="12" t="n"/>
      <c r="B437" s="12" t="n"/>
      <c r="C437" s="12" t="n"/>
      <c r="D437" s="20" t="n"/>
    </row>
    <row r="438">
      <c r="A438" s="12" t="n"/>
      <c r="B438" s="12" t="n"/>
      <c r="C438" s="12" t="n"/>
      <c r="D438" s="20" t="n"/>
    </row>
    <row r="439">
      <c r="A439" s="12" t="n"/>
      <c r="B439" s="12" t="n"/>
      <c r="C439" s="12" t="n"/>
      <c r="D439" s="20" t="n"/>
    </row>
    <row r="440">
      <c r="A440" s="12" t="n"/>
      <c r="B440" s="12" t="n"/>
      <c r="C440" s="12" t="n"/>
      <c r="D440" s="20" t="n"/>
    </row>
    <row r="441">
      <c r="A441" s="12" t="n"/>
      <c r="B441" s="12" t="n"/>
      <c r="C441" s="12" t="n"/>
      <c r="D441" s="20" t="n"/>
    </row>
    <row r="442">
      <c r="A442" s="12" t="n"/>
      <c r="B442" s="12" t="n"/>
      <c r="C442" s="12" t="n"/>
      <c r="D442" s="20" t="n"/>
    </row>
    <row r="443">
      <c r="A443" s="12" t="n"/>
      <c r="B443" s="12" t="n"/>
      <c r="C443" s="12" t="n"/>
      <c r="D443" s="20" t="n"/>
    </row>
    <row r="444">
      <c r="A444" s="12" t="n"/>
      <c r="B444" s="12" t="n"/>
      <c r="C444" s="12" t="n"/>
      <c r="D444" s="20" t="n"/>
    </row>
    <row r="445">
      <c r="A445" s="12" t="n"/>
      <c r="B445" s="12" t="n"/>
      <c r="C445" s="12" t="n"/>
      <c r="D445" s="20" t="n"/>
    </row>
    <row r="446">
      <c r="A446" s="12" t="n"/>
      <c r="B446" s="12" t="n"/>
      <c r="C446" s="12" t="n"/>
      <c r="D446" s="20" t="n"/>
    </row>
    <row r="447">
      <c r="A447" s="12" t="n"/>
      <c r="B447" s="12" t="n"/>
      <c r="C447" s="12" t="n"/>
      <c r="D447" s="20" t="n"/>
    </row>
    <row r="448">
      <c r="A448" s="12" t="n"/>
      <c r="B448" s="12" t="n"/>
      <c r="C448" s="12" t="n"/>
      <c r="D448" s="20" t="n"/>
    </row>
    <row r="449">
      <c r="A449" s="12" t="n"/>
      <c r="B449" s="12" t="n"/>
      <c r="C449" s="12" t="n"/>
      <c r="D449" s="20" t="n"/>
    </row>
    <row r="450">
      <c r="A450" s="12" t="n"/>
      <c r="B450" s="12" t="n"/>
      <c r="C450" s="12" t="n"/>
      <c r="D450" s="20" t="n"/>
    </row>
    <row r="451">
      <c r="A451" s="12" t="n"/>
      <c r="B451" s="12" t="n"/>
      <c r="C451" s="12" t="n"/>
      <c r="D451" s="20" t="n"/>
    </row>
    <row r="452">
      <c r="A452" s="12" t="n"/>
      <c r="B452" s="12" t="n"/>
      <c r="C452" s="12" t="n"/>
      <c r="D452" s="20" t="n"/>
    </row>
    <row r="453">
      <c r="A453" s="12" t="n"/>
      <c r="B453" s="12" t="n"/>
      <c r="C453" s="12" t="n"/>
      <c r="D453" s="20" t="n"/>
    </row>
    <row r="454">
      <c r="A454" s="12" t="n"/>
      <c r="B454" s="12" t="n"/>
      <c r="C454" s="12" t="n"/>
      <c r="D454" s="20" t="n"/>
    </row>
    <row r="455">
      <c r="A455" s="12" t="n"/>
      <c r="B455" s="12" t="n"/>
      <c r="C455" s="12" t="n"/>
      <c r="D455" s="20" t="n"/>
    </row>
    <row r="456">
      <c r="A456" s="12" t="n"/>
      <c r="B456" s="12" t="n"/>
      <c r="C456" s="12" t="n"/>
      <c r="D456" s="20" t="n"/>
    </row>
    <row r="457">
      <c r="A457" s="12" t="n"/>
      <c r="B457" s="12" t="n"/>
      <c r="C457" s="12" t="n"/>
      <c r="D457" s="20" t="n"/>
    </row>
    <row r="458">
      <c r="A458" s="12" t="n"/>
      <c r="B458" s="12" t="n"/>
      <c r="C458" s="12" t="n"/>
      <c r="D458" s="20" t="n"/>
    </row>
    <row r="459">
      <c r="A459" s="12" t="n"/>
      <c r="B459" s="12" t="n"/>
      <c r="C459" s="12" t="n"/>
      <c r="D459" s="20" t="n"/>
    </row>
    <row r="460">
      <c r="A460" s="12" t="n"/>
      <c r="B460" s="12" t="n"/>
      <c r="C460" s="12" t="n"/>
      <c r="D460" s="20" t="n"/>
    </row>
    <row r="461">
      <c r="A461" s="12" t="n"/>
      <c r="B461" s="12" t="n"/>
      <c r="C461" s="12" t="n"/>
      <c r="D461" s="20" t="n"/>
    </row>
    <row r="462">
      <c r="A462" s="12" t="n"/>
      <c r="B462" s="12" t="n"/>
      <c r="C462" s="12" t="n"/>
      <c r="D462" s="20" t="n"/>
    </row>
    <row r="463">
      <c r="A463" s="12" t="n"/>
      <c r="B463" s="12" t="n"/>
      <c r="C463" s="12" t="n"/>
      <c r="D463" s="20" t="n"/>
    </row>
    <row r="464">
      <c r="A464" s="12" t="n"/>
      <c r="B464" s="12" t="n"/>
      <c r="C464" s="12" t="n"/>
      <c r="D464" s="20" t="n"/>
    </row>
    <row r="465">
      <c r="A465" s="12" t="n"/>
      <c r="B465" s="12" t="n"/>
      <c r="C465" s="12" t="n"/>
      <c r="D465" s="20" t="n"/>
    </row>
    <row r="466">
      <c r="A466" s="12" t="n"/>
      <c r="B466" s="12" t="n"/>
      <c r="C466" s="12" t="n"/>
      <c r="D466" s="20" t="n"/>
    </row>
    <row r="467">
      <c r="A467" s="12" t="n"/>
      <c r="B467" s="12" t="n"/>
      <c r="C467" s="12" t="n"/>
      <c r="D467" s="20" t="n"/>
    </row>
    <row r="468">
      <c r="A468" s="12" t="n"/>
      <c r="B468" s="12" t="n"/>
      <c r="C468" s="12" t="n"/>
      <c r="D468" s="20" t="n"/>
    </row>
    <row r="469">
      <c r="A469" s="12" t="n"/>
      <c r="B469" s="12" t="n"/>
      <c r="C469" s="12" t="n"/>
      <c r="D469" s="20" t="n"/>
    </row>
    <row r="470">
      <c r="A470" s="12" t="n"/>
      <c r="B470" s="12" t="n"/>
      <c r="C470" s="12" t="n"/>
      <c r="D470" s="20" t="n"/>
    </row>
    <row r="471">
      <c r="A471" s="12" t="n"/>
      <c r="B471" s="12" t="n"/>
      <c r="C471" s="12" t="n"/>
      <c r="D471" s="20" t="n"/>
    </row>
    <row r="472">
      <c r="A472" s="12" t="n"/>
      <c r="B472" s="12" t="n"/>
      <c r="C472" s="12" t="n"/>
      <c r="D472" s="20" t="n"/>
    </row>
    <row r="473">
      <c r="A473" s="12" t="n"/>
      <c r="B473" s="12" t="n"/>
      <c r="C473" s="12" t="n"/>
      <c r="D473" s="20" t="n"/>
    </row>
    <row r="474">
      <c r="A474" s="12" t="n"/>
      <c r="B474" s="12" t="n"/>
      <c r="C474" s="12" t="n"/>
      <c r="D474" s="20" t="n"/>
    </row>
    <row r="475">
      <c r="A475" s="12" t="n"/>
      <c r="B475" s="12" t="n"/>
      <c r="C475" s="12" t="n"/>
      <c r="D475" s="20" t="n"/>
    </row>
    <row r="476">
      <c r="A476" s="12" t="n"/>
      <c r="B476" s="12" t="n"/>
      <c r="C476" s="12" t="n"/>
      <c r="D476" s="20" t="n"/>
    </row>
    <row r="477">
      <c r="A477" s="12" t="n"/>
      <c r="B477" s="12" t="n"/>
      <c r="C477" s="12" t="n"/>
      <c r="D477" s="20" t="n"/>
    </row>
    <row r="478">
      <c r="A478" s="12" t="n"/>
      <c r="B478" s="12" t="n"/>
      <c r="C478" s="12" t="n"/>
      <c r="D478" s="20" t="n"/>
    </row>
    <row r="479">
      <c r="A479" s="12" t="n"/>
      <c r="B479" s="12" t="n"/>
      <c r="C479" s="12" t="n"/>
      <c r="D479" s="20" t="n"/>
    </row>
    <row r="480">
      <c r="A480" s="12" t="n"/>
      <c r="B480" s="12" t="n"/>
      <c r="C480" s="12" t="n"/>
      <c r="D480" s="20" t="n"/>
    </row>
    <row r="481">
      <c r="A481" s="12" t="n"/>
      <c r="B481" s="12" t="n"/>
      <c r="C481" s="12" t="n"/>
      <c r="D481" s="20" t="n"/>
    </row>
    <row r="482">
      <c r="A482" s="12" t="n"/>
      <c r="B482" s="12" t="n"/>
      <c r="C482" s="12" t="n"/>
      <c r="D482" s="20" t="n"/>
    </row>
    <row r="483">
      <c r="A483" s="12" t="n"/>
      <c r="B483" s="12" t="n"/>
      <c r="C483" s="12" t="n"/>
      <c r="D483" s="20" t="n"/>
    </row>
    <row r="484">
      <c r="A484" s="12" t="n"/>
      <c r="B484" s="12" t="n"/>
      <c r="C484" s="12" t="n"/>
      <c r="D484" s="20" t="n"/>
    </row>
    <row r="485">
      <c r="A485" s="12" t="n"/>
      <c r="B485" s="12" t="n"/>
      <c r="C485" s="12" t="n"/>
      <c r="D485" s="20" t="n"/>
    </row>
    <row r="486">
      <c r="A486" s="12" t="n"/>
      <c r="B486" s="12" t="n"/>
      <c r="C486" s="12" t="n"/>
      <c r="D486" s="20" t="n"/>
    </row>
    <row r="487">
      <c r="A487" s="12" t="n"/>
      <c r="B487" s="12" t="n"/>
      <c r="C487" s="12" t="n"/>
      <c r="D487" s="20" t="n"/>
    </row>
    <row r="488">
      <c r="A488" s="12" t="n"/>
      <c r="B488" s="12" t="n"/>
      <c r="C488" s="12" t="n"/>
      <c r="D488" s="20" t="n"/>
    </row>
    <row r="489">
      <c r="A489" s="12" t="n"/>
      <c r="B489" s="12" t="n"/>
      <c r="C489" s="12" t="n"/>
      <c r="D489" s="20" t="n"/>
    </row>
    <row r="490">
      <c r="A490" s="12" t="n"/>
      <c r="B490" s="12" t="n"/>
      <c r="C490" s="12" t="n"/>
      <c r="D490" s="20" t="n"/>
    </row>
    <row r="491">
      <c r="A491" s="12" t="n"/>
      <c r="B491" s="12" t="n"/>
      <c r="C491" s="12" t="n"/>
      <c r="D491" s="20" t="n"/>
    </row>
    <row r="492">
      <c r="A492" s="12" t="n"/>
      <c r="B492" s="12" t="n"/>
      <c r="C492" s="12" t="n"/>
      <c r="D492" s="20" t="n"/>
    </row>
    <row r="493">
      <c r="A493" s="12" t="n"/>
      <c r="B493" s="12" t="n"/>
      <c r="C493" s="12" t="n"/>
      <c r="D493" s="20" t="n"/>
    </row>
    <row r="494">
      <c r="A494" s="12" t="n"/>
      <c r="B494" s="12" t="n"/>
      <c r="C494" s="12" t="n"/>
      <c r="D494" s="20" t="n"/>
    </row>
    <row r="495">
      <c r="A495" s="12" t="n"/>
      <c r="B495" s="12" t="n"/>
      <c r="C495" s="12" t="n"/>
      <c r="D495" s="20" t="n"/>
    </row>
    <row r="496">
      <c r="A496" s="12" t="n"/>
      <c r="B496" s="12" t="n"/>
      <c r="C496" s="12" t="n"/>
      <c r="D496" s="20" t="n"/>
    </row>
    <row r="497">
      <c r="A497" s="12" t="n"/>
      <c r="B497" s="12" t="n"/>
      <c r="C497" s="12" t="n"/>
      <c r="D497" s="20" t="n"/>
    </row>
    <row r="498">
      <c r="A498" s="12" t="n"/>
      <c r="B498" s="12" t="n"/>
      <c r="C498" s="12" t="n"/>
      <c r="D498" s="20" t="n"/>
    </row>
    <row r="499">
      <c r="A499" s="12" t="n"/>
      <c r="B499" s="12" t="n"/>
      <c r="C499" s="12" t="n"/>
      <c r="D499" s="20" t="n"/>
    </row>
    <row r="500">
      <c r="A500" s="12" t="n"/>
      <c r="B500" s="12" t="n"/>
      <c r="C500" s="12" t="n"/>
      <c r="D500" s="20" t="n"/>
    </row>
    <row r="501">
      <c r="A501" s="12" t="n"/>
      <c r="B501" s="12" t="n"/>
      <c r="C501" s="12" t="n"/>
      <c r="D501" s="20" t="n"/>
    </row>
    <row r="502">
      <c r="A502" s="12" t="n"/>
      <c r="B502" s="12" t="n"/>
      <c r="C502" s="12" t="n"/>
      <c r="D502" s="20" t="n"/>
    </row>
    <row r="503">
      <c r="A503" s="12" t="n"/>
      <c r="B503" s="12" t="n"/>
      <c r="C503" s="12" t="n"/>
      <c r="D503" s="20" t="n"/>
    </row>
    <row r="504">
      <c r="A504" s="12" t="n"/>
      <c r="B504" s="12" t="n"/>
      <c r="C504" s="12" t="n"/>
      <c r="D504" s="20" t="n"/>
    </row>
    <row r="505">
      <c r="A505" s="12" t="n"/>
      <c r="B505" s="12" t="n"/>
      <c r="C505" s="12" t="n"/>
      <c r="D505" s="2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6" customWidth="1" min="4" max="4"/>
    <col width="13" customWidth="1" min="5" max="5"/>
    <col width="13" customWidth="1" min="6" max="6"/>
    <col width="13" customWidth="1" min="7" max="7"/>
    <col width="12" customWidth="1" min="8" max="8"/>
    <col width="12" customWidth="1" min="9" max="9"/>
  </cols>
  <sheetData>
    <row r="1">
      <c r="A1" s="1" t="inlineStr">
        <is>
          <t>NİRENGİ DANIŞMANLIK</t>
        </is>
      </c>
      <c r="I1" s="2" t="inlineStr">
        <is>
          <t>emreceran.github.io/nirengi-danismanlik</t>
        </is>
      </c>
    </row>
    <row r="2">
      <c r="A2" s="3" t="inlineStr">
        <is>
          <t>Ürün bazında fiyat özeti</t>
        </is>
      </c>
    </row>
    <row r="3">
      <c r="A3" s="4" t="inlineStr">
        <is>
          <t>Standart ürün adlarını yazın; alım sayısı, fiyat aralığı ve incelenecek kalemler hesaplanır.</t>
        </is>
      </c>
    </row>
    <row r="5" ht="32" customHeight="1">
      <c r="A5" s="10" t="inlineStr">
        <is>
          <t>Standart ürün</t>
        </is>
      </c>
      <c r="B5" s="10" t="inlineStr">
        <is>
          <t>Alım sayısı</t>
        </is>
      </c>
      <c r="C5" s="10" t="inlineStr">
        <is>
          <t>Toplam miktar (std.)</t>
        </is>
      </c>
      <c r="D5" s="10" t="inlineStr">
        <is>
          <t>Toplam tutar</t>
        </is>
      </c>
      <c r="E5" s="10" t="inlineStr">
        <is>
          <t>En düşük</t>
        </is>
      </c>
      <c r="F5" s="10" t="inlineStr">
        <is>
          <t>En yüksek</t>
        </is>
      </c>
      <c r="G5" s="10" t="inlineStr">
        <is>
          <t>Ortalama</t>
        </is>
      </c>
      <c r="H5" s="10" t="inlineStr">
        <is>
          <t>Fiyat aralığı</t>
        </is>
      </c>
      <c r="I5" s="10" t="inlineStr">
        <is>
          <t>İncelenecek</t>
        </is>
      </c>
    </row>
    <row r="6">
      <c r="A6" s="12" t="inlineStr">
        <is>
          <t>Hidrolik yağ 46</t>
        </is>
      </c>
      <c r="B6">
        <f>IF(A6="","",COUNTIF(Alımlar!$K$10:$K$1009,A6))</f>
        <v/>
      </c>
      <c r="C6" s="21">
        <f>IF(A6="","",SUMIFS(Alımlar!$S$10:$S$1009,Alımlar!$K$10:$K$1009,A6))</f>
        <v/>
      </c>
      <c r="D6" s="16">
        <f>IF(A6="","",SUMIFS(Alımlar!$J$10:$J$1009,Alımlar!$K$10:$K$1009,A6))</f>
        <v/>
      </c>
      <c r="E6" s="16">
        <f>IF(OR(A6="",B6=0),"",_xlfn.MINIFS(Alımlar!$M$10:$M$1009,Alımlar!$K$10:$K$1009,A6))</f>
        <v/>
      </c>
      <c r="F6" s="16">
        <f>IF(OR(A6="",B6=0),"",_xlfn.MAXIFS(Alımlar!$M$10:$M$1009,Alımlar!$K$10:$K$1009,A6))</f>
        <v/>
      </c>
      <c r="G6" s="16">
        <f>IF(OR(A6="",B6=0),"",AVERAGEIFS(Alımlar!$M$10:$M$1009,Alımlar!$K$10:$K$1009,A6))</f>
        <v/>
      </c>
      <c r="H6" s="18">
        <f>IF(OR(E6="",E6=0),"",F6/E6-1)</f>
        <v/>
      </c>
      <c r="I6">
        <f>IF(A6="","",COUNTIFS(Alımlar!$K$10:$K$1009,A6,Alımlar!$Q$10:$Q$1009,"İNCELE"))</f>
        <v/>
      </c>
    </row>
    <row r="7">
      <c r="A7" s="12" t="inlineStr">
        <is>
          <t>Kaynak teli SG2 1,2 mm</t>
        </is>
      </c>
      <c r="B7">
        <f>IF(A7="","",COUNTIF(Alımlar!$K$10:$K$1009,A7))</f>
        <v/>
      </c>
      <c r="C7" s="21">
        <f>IF(A7="","",SUMIFS(Alımlar!$S$10:$S$1009,Alımlar!$K$10:$K$1009,A7))</f>
        <v/>
      </c>
      <c r="D7" s="16">
        <f>IF(A7="","",SUMIFS(Alımlar!$J$10:$J$1009,Alımlar!$K$10:$K$1009,A7))</f>
        <v/>
      </c>
      <c r="E7" s="16">
        <f>IF(OR(A7="",B7=0),"",_xlfn.MINIFS(Alımlar!$M$10:$M$1009,Alımlar!$K$10:$K$1009,A7))</f>
        <v/>
      </c>
      <c r="F7" s="16">
        <f>IF(OR(A7="",B7=0),"",_xlfn.MAXIFS(Alımlar!$M$10:$M$1009,Alımlar!$K$10:$K$1009,A7))</f>
        <v/>
      </c>
      <c r="G7" s="16">
        <f>IF(OR(A7="",B7=0),"",AVERAGEIFS(Alımlar!$M$10:$M$1009,Alımlar!$K$10:$K$1009,A7))</f>
        <v/>
      </c>
      <c r="H7" s="18">
        <f>IF(OR(E7="",E7=0),"",F7/E7-1)</f>
        <v/>
      </c>
      <c r="I7">
        <f>IF(A7="","",COUNTIFS(Alımlar!$K$10:$K$1009,A7,Alımlar!$Q$10:$Q$1009,"İNCELE"))</f>
        <v/>
      </c>
    </row>
    <row r="8">
      <c r="A8" s="12" t="inlineStr">
        <is>
          <t>Kraft koli 60x40x40</t>
        </is>
      </c>
      <c r="B8">
        <f>IF(A8="","",COUNTIF(Alımlar!$K$10:$K$1009,A8))</f>
        <v/>
      </c>
      <c r="C8" s="21">
        <f>IF(A8="","",SUMIFS(Alımlar!$S$10:$S$1009,Alımlar!$K$10:$K$1009,A8))</f>
        <v/>
      </c>
      <c r="D8" s="16">
        <f>IF(A8="","",SUMIFS(Alımlar!$J$10:$J$1009,Alımlar!$K$10:$K$1009,A8))</f>
        <v/>
      </c>
      <c r="E8" s="16">
        <f>IF(OR(A8="",B8=0),"",_xlfn.MINIFS(Alımlar!$M$10:$M$1009,Alımlar!$K$10:$K$1009,A8))</f>
        <v/>
      </c>
      <c r="F8" s="16">
        <f>IF(OR(A8="",B8=0),"",_xlfn.MAXIFS(Alımlar!$M$10:$M$1009,Alımlar!$K$10:$K$1009,A8))</f>
        <v/>
      </c>
      <c r="G8" s="16">
        <f>IF(OR(A8="",B8=0),"",AVERAGEIFS(Alımlar!$M$10:$M$1009,Alımlar!$K$10:$K$1009,A8))</f>
        <v/>
      </c>
      <c r="H8" s="18">
        <f>IF(OR(E8="",E8=0),"",F8/E8-1)</f>
        <v/>
      </c>
      <c r="I8">
        <f>IF(A8="","",COUNTIFS(Alımlar!$K$10:$K$1009,A8,Alımlar!$Q$10:$Q$1009,"İNCELE"))</f>
        <v/>
      </c>
    </row>
    <row r="9">
      <c r="A9" s="12" t="inlineStr">
        <is>
          <t>Kutu profil 40x40x2</t>
        </is>
      </c>
      <c r="B9">
        <f>IF(A9="","",COUNTIF(Alımlar!$K$10:$K$1009,A9))</f>
        <v/>
      </c>
      <c r="C9" s="21">
        <f>IF(A9="","",SUMIFS(Alımlar!$S$10:$S$1009,Alımlar!$K$10:$K$1009,A9))</f>
        <v/>
      </c>
      <c r="D9" s="16">
        <f>IF(A9="","",SUMIFS(Alımlar!$J$10:$J$1009,Alımlar!$K$10:$K$1009,A9))</f>
        <v/>
      </c>
      <c r="E9" s="16">
        <f>IF(OR(A9="",B9=0),"",_xlfn.MINIFS(Alımlar!$M$10:$M$1009,Alımlar!$K$10:$K$1009,A9))</f>
        <v/>
      </c>
      <c r="F9" s="16">
        <f>IF(OR(A9="",B9=0),"",_xlfn.MAXIFS(Alımlar!$M$10:$M$1009,Alımlar!$K$10:$K$1009,A9))</f>
        <v/>
      </c>
      <c r="G9" s="16">
        <f>IF(OR(A9="",B9=0),"",AVERAGEIFS(Alımlar!$M$10:$M$1009,Alımlar!$K$10:$K$1009,A9))</f>
        <v/>
      </c>
      <c r="H9" s="18">
        <f>IF(OR(E9="",E9=0),"",F9/E9-1)</f>
        <v/>
      </c>
      <c r="I9">
        <f>IF(A9="","",COUNTIFS(Alımlar!$K$10:$K$1009,A9,Alımlar!$Q$10:$Q$1009,"İNCELE"))</f>
        <v/>
      </c>
    </row>
    <row r="10">
      <c r="A10" s="12" t="n"/>
      <c r="B10">
        <f>IF(A10="","",COUNTIF(Alımlar!$K$10:$K$1009,A10))</f>
        <v/>
      </c>
      <c r="C10" s="21">
        <f>IF(A10="","",SUMIFS(Alımlar!$S$10:$S$1009,Alımlar!$K$10:$K$1009,A10))</f>
        <v/>
      </c>
      <c r="D10" s="16">
        <f>IF(A10="","",SUMIFS(Alımlar!$J$10:$J$1009,Alımlar!$K$10:$K$1009,A10))</f>
        <v/>
      </c>
      <c r="E10" s="16">
        <f>IF(OR(A10="",B10=0),"",_xlfn.MINIFS(Alımlar!$M$10:$M$1009,Alımlar!$K$10:$K$1009,A10))</f>
        <v/>
      </c>
      <c r="F10" s="16">
        <f>IF(OR(A10="",B10=0),"",_xlfn.MAXIFS(Alımlar!$M$10:$M$1009,Alımlar!$K$10:$K$1009,A10))</f>
        <v/>
      </c>
      <c r="G10" s="16">
        <f>IF(OR(A10="",B10=0),"",AVERAGEIFS(Alımlar!$M$10:$M$1009,Alımlar!$K$10:$K$1009,A10))</f>
        <v/>
      </c>
      <c r="H10" s="18">
        <f>IF(OR(E10="",E10=0),"",F10/E10-1)</f>
        <v/>
      </c>
      <c r="I10">
        <f>IF(A10="","",COUNTIFS(Alımlar!$K$10:$K$1009,A10,Alımlar!$Q$10:$Q$1009,"İNCELE"))</f>
        <v/>
      </c>
    </row>
    <row r="11">
      <c r="A11" s="12" t="n"/>
      <c r="B11">
        <f>IF(A11="","",COUNTIF(Alımlar!$K$10:$K$1009,A11))</f>
        <v/>
      </c>
      <c r="C11" s="21">
        <f>IF(A11="","",SUMIFS(Alımlar!$S$10:$S$1009,Alımlar!$K$10:$K$1009,A11))</f>
        <v/>
      </c>
      <c r="D11" s="16">
        <f>IF(A11="","",SUMIFS(Alımlar!$J$10:$J$1009,Alımlar!$K$10:$K$1009,A11))</f>
        <v/>
      </c>
      <c r="E11" s="16">
        <f>IF(OR(A11="",B11=0),"",_xlfn.MINIFS(Alımlar!$M$10:$M$1009,Alımlar!$K$10:$K$1009,A11))</f>
        <v/>
      </c>
      <c r="F11" s="16">
        <f>IF(OR(A11="",B11=0),"",_xlfn.MAXIFS(Alımlar!$M$10:$M$1009,Alımlar!$K$10:$K$1009,A11))</f>
        <v/>
      </c>
      <c r="G11" s="16">
        <f>IF(OR(A11="",B11=0),"",AVERAGEIFS(Alımlar!$M$10:$M$1009,Alımlar!$K$10:$K$1009,A11))</f>
        <v/>
      </c>
      <c r="H11" s="18">
        <f>IF(OR(E11="",E11=0),"",F11/E11-1)</f>
        <v/>
      </c>
      <c r="I11">
        <f>IF(A11="","",COUNTIFS(Alımlar!$K$10:$K$1009,A11,Alımlar!$Q$10:$Q$1009,"İNCELE"))</f>
        <v/>
      </c>
    </row>
    <row r="12">
      <c r="A12" s="12" t="n"/>
      <c r="B12">
        <f>IF(A12="","",COUNTIF(Alımlar!$K$10:$K$1009,A12))</f>
        <v/>
      </c>
      <c r="C12" s="21">
        <f>IF(A12="","",SUMIFS(Alımlar!$S$10:$S$1009,Alımlar!$K$10:$K$1009,A12))</f>
        <v/>
      </c>
      <c r="D12" s="16">
        <f>IF(A12="","",SUMIFS(Alımlar!$J$10:$J$1009,Alımlar!$K$10:$K$1009,A12))</f>
        <v/>
      </c>
      <c r="E12" s="16">
        <f>IF(OR(A12="",B12=0),"",_xlfn.MINIFS(Alımlar!$M$10:$M$1009,Alımlar!$K$10:$K$1009,A12))</f>
        <v/>
      </c>
      <c r="F12" s="16">
        <f>IF(OR(A12="",B12=0),"",_xlfn.MAXIFS(Alımlar!$M$10:$M$1009,Alımlar!$K$10:$K$1009,A12))</f>
        <v/>
      </c>
      <c r="G12" s="16">
        <f>IF(OR(A12="",B12=0),"",AVERAGEIFS(Alımlar!$M$10:$M$1009,Alımlar!$K$10:$K$1009,A12))</f>
        <v/>
      </c>
      <c r="H12" s="18">
        <f>IF(OR(E12="",E12=0),"",F12/E12-1)</f>
        <v/>
      </c>
      <c r="I12">
        <f>IF(A12="","",COUNTIFS(Alımlar!$K$10:$K$1009,A12,Alımlar!$Q$10:$Q$1009,"İNCELE"))</f>
        <v/>
      </c>
    </row>
    <row r="13">
      <c r="A13" s="12" t="n"/>
      <c r="B13">
        <f>IF(A13="","",COUNTIF(Alımlar!$K$10:$K$1009,A13))</f>
        <v/>
      </c>
      <c r="C13" s="21">
        <f>IF(A13="","",SUMIFS(Alımlar!$S$10:$S$1009,Alımlar!$K$10:$K$1009,A13))</f>
        <v/>
      </c>
      <c r="D13" s="16">
        <f>IF(A13="","",SUMIFS(Alımlar!$J$10:$J$1009,Alımlar!$K$10:$K$1009,A13))</f>
        <v/>
      </c>
      <c r="E13" s="16">
        <f>IF(OR(A13="",B13=0),"",_xlfn.MINIFS(Alımlar!$M$10:$M$1009,Alımlar!$K$10:$K$1009,A13))</f>
        <v/>
      </c>
      <c r="F13" s="16">
        <f>IF(OR(A13="",B13=0),"",_xlfn.MAXIFS(Alımlar!$M$10:$M$1009,Alımlar!$K$10:$K$1009,A13))</f>
        <v/>
      </c>
      <c r="G13" s="16">
        <f>IF(OR(A13="",B13=0),"",AVERAGEIFS(Alımlar!$M$10:$M$1009,Alımlar!$K$10:$K$1009,A13))</f>
        <v/>
      </c>
      <c r="H13" s="18">
        <f>IF(OR(E13="",E13=0),"",F13/E13-1)</f>
        <v/>
      </c>
      <c r="I13">
        <f>IF(A13="","",COUNTIFS(Alımlar!$K$10:$K$1009,A13,Alımlar!$Q$10:$Q$1009,"İNCELE"))</f>
        <v/>
      </c>
    </row>
    <row r="14">
      <c r="A14" s="12" t="n"/>
      <c r="B14">
        <f>IF(A14="","",COUNTIF(Alımlar!$K$10:$K$1009,A14))</f>
        <v/>
      </c>
      <c r="C14" s="21">
        <f>IF(A14="","",SUMIFS(Alımlar!$S$10:$S$1009,Alımlar!$K$10:$K$1009,A14))</f>
        <v/>
      </c>
      <c r="D14" s="16">
        <f>IF(A14="","",SUMIFS(Alımlar!$J$10:$J$1009,Alımlar!$K$10:$K$1009,A14))</f>
        <v/>
      </c>
      <c r="E14" s="16">
        <f>IF(OR(A14="",B14=0),"",_xlfn.MINIFS(Alımlar!$M$10:$M$1009,Alımlar!$K$10:$K$1009,A14))</f>
        <v/>
      </c>
      <c r="F14" s="16">
        <f>IF(OR(A14="",B14=0),"",_xlfn.MAXIFS(Alımlar!$M$10:$M$1009,Alımlar!$K$10:$K$1009,A14))</f>
        <v/>
      </c>
      <c r="G14" s="16">
        <f>IF(OR(A14="",B14=0),"",AVERAGEIFS(Alımlar!$M$10:$M$1009,Alımlar!$K$10:$K$1009,A14))</f>
        <v/>
      </c>
      <c r="H14" s="18">
        <f>IF(OR(E14="",E14=0),"",F14/E14-1)</f>
        <v/>
      </c>
      <c r="I14">
        <f>IF(A14="","",COUNTIFS(Alımlar!$K$10:$K$1009,A14,Alımlar!$Q$10:$Q$1009,"İNCELE"))</f>
        <v/>
      </c>
    </row>
    <row r="15">
      <c r="A15" s="12" t="n"/>
      <c r="B15">
        <f>IF(A15="","",COUNTIF(Alımlar!$K$10:$K$1009,A15))</f>
        <v/>
      </c>
      <c r="C15" s="21">
        <f>IF(A15="","",SUMIFS(Alımlar!$S$10:$S$1009,Alımlar!$K$10:$K$1009,A15))</f>
        <v/>
      </c>
      <c r="D15" s="16">
        <f>IF(A15="","",SUMIFS(Alımlar!$J$10:$J$1009,Alımlar!$K$10:$K$1009,A15))</f>
        <v/>
      </c>
      <c r="E15" s="16">
        <f>IF(OR(A15="",B15=0),"",_xlfn.MINIFS(Alımlar!$M$10:$M$1009,Alımlar!$K$10:$K$1009,A15))</f>
        <v/>
      </c>
      <c r="F15" s="16">
        <f>IF(OR(A15="",B15=0),"",_xlfn.MAXIFS(Alımlar!$M$10:$M$1009,Alımlar!$K$10:$K$1009,A15))</f>
        <v/>
      </c>
      <c r="G15" s="16">
        <f>IF(OR(A15="",B15=0),"",AVERAGEIFS(Alımlar!$M$10:$M$1009,Alımlar!$K$10:$K$1009,A15))</f>
        <v/>
      </c>
      <c r="H15" s="18">
        <f>IF(OR(E15="",E15=0),"",F15/E15-1)</f>
        <v/>
      </c>
      <c r="I15">
        <f>IF(A15="","",COUNTIFS(Alımlar!$K$10:$K$1009,A15,Alımlar!$Q$10:$Q$1009,"İNCELE"))</f>
        <v/>
      </c>
    </row>
    <row r="16">
      <c r="A16" s="12" t="n"/>
      <c r="B16">
        <f>IF(A16="","",COUNTIF(Alımlar!$K$10:$K$1009,A16))</f>
        <v/>
      </c>
      <c r="C16" s="21">
        <f>IF(A16="","",SUMIFS(Alımlar!$S$10:$S$1009,Alımlar!$K$10:$K$1009,A16))</f>
        <v/>
      </c>
      <c r="D16" s="16">
        <f>IF(A16="","",SUMIFS(Alımlar!$J$10:$J$1009,Alımlar!$K$10:$K$1009,A16))</f>
        <v/>
      </c>
      <c r="E16" s="16">
        <f>IF(OR(A16="",B16=0),"",_xlfn.MINIFS(Alımlar!$M$10:$M$1009,Alımlar!$K$10:$K$1009,A16))</f>
        <v/>
      </c>
      <c r="F16" s="16">
        <f>IF(OR(A16="",B16=0),"",_xlfn.MAXIFS(Alımlar!$M$10:$M$1009,Alımlar!$K$10:$K$1009,A16))</f>
        <v/>
      </c>
      <c r="G16" s="16">
        <f>IF(OR(A16="",B16=0),"",AVERAGEIFS(Alımlar!$M$10:$M$1009,Alımlar!$K$10:$K$1009,A16))</f>
        <v/>
      </c>
      <c r="H16" s="18">
        <f>IF(OR(E16="",E16=0),"",F16/E16-1)</f>
        <v/>
      </c>
      <c r="I16">
        <f>IF(A16="","",COUNTIFS(Alımlar!$K$10:$K$1009,A16,Alımlar!$Q$10:$Q$1009,"İNCELE"))</f>
        <v/>
      </c>
    </row>
    <row r="17">
      <c r="A17" s="12" t="n"/>
      <c r="B17">
        <f>IF(A17="","",COUNTIF(Alımlar!$K$10:$K$1009,A17))</f>
        <v/>
      </c>
      <c r="C17" s="21">
        <f>IF(A17="","",SUMIFS(Alımlar!$S$10:$S$1009,Alımlar!$K$10:$K$1009,A17))</f>
        <v/>
      </c>
      <c r="D17" s="16">
        <f>IF(A17="","",SUMIFS(Alımlar!$J$10:$J$1009,Alımlar!$K$10:$K$1009,A17))</f>
        <v/>
      </c>
      <c r="E17" s="16">
        <f>IF(OR(A17="",B17=0),"",_xlfn.MINIFS(Alımlar!$M$10:$M$1009,Alımlar!$K$10:$K$1009,A17))</f>
        <v/>
      </c>
      <c r="F17" s="16">
        <f>IF(OR(A17="",B17=0),"",_xlfn.MAXIFS(Alımlar!$M$10:$M$1009,Alımlar!$K$10:$K$1009,A17))</f>
        <v/>
      </c>
      <c r="G17" s="16">
        <f>IF(OR(A17="",B17=0),"",AVERAGEIFS(Alımlar!$M$10:$M$1009,Alımlar!$K$10:$K$1009,A17))</f>
        <v/>
      </c>
      <c r="H17" s="18">
        <f>IF(OR(E17="",E17=0),"",F17/E17-1)</f>
        <v/>
      </c>
      <c r="I17">
        <f>IF(A17="","",COUNTIFS(Alımlar!$K$10:$K$1009,A17,Alımlar!$Q$10:$Q$1009,"İNCELE"))</f>
        <v/>
      </c>
    </row>
    <row r="18">
      <c r="A18" s="12" t="n"/>
      <c r="B18">
        <f>IF(A18="","",COUNTIF(Alımlar!$K$10:$K$1009,A18))</f>
        <v/>
      </c>
      <c r="C18" s="21">
        <f>IF(A18="","",SUMIFS(Alımlar!$S$10:$S$1009,Alımlar!$K$10:$K$1009,A18))</f>
        <v/>
      </c>
      <c r="D18" s="16">
        <f>IF(A18="","",SUMIFS(Alımlar!$J$10:$J$1009,Alımlar!$K$10:$K$1009,A18))</f>
        <v/>
      </c>
      <c r="E18" s="16">
        <f>IF(OR(A18="",B18=0),"",_xlfn.MINIFS(Alımlar!$M$10:$M$1009,Alımlar!$K$10:$K$1009,A18))</f>
        <v/>
      </c>
      <c r="F18" s="16">
        <f>IF(OR(A18="",B18=0),"",_xlfn.MAXIFS(Alımlar!$M$10:$M$1009,Alımlar!$K$10:$K$1009,A18))</f>
        <v/>
      </c>
      <c r="G18" s="16">
        <f>IF(OR(A18="",B18=0),"",AVERAGEIFS(Alımlar!$M$10:$M$1009,Alımlar!$K$10:$K$1009,A18))</f>
        <v/>
      </c>
      <c r="H18" s="18">
        <f>IF(OR(E18="",E18=0),"",F18/E18-1)</f>
        <v/>
      </c>
      <c r="I18">
        <f>IF(A18="","",COUNTIFS(Alımlar!$K$10:$K$1009,A18,Alımlar!$Q$10:$Q$1009,"İNCELE"))</f>
        <v/>
      </c>
    </row>
    <row r="19">
      <c r="A19" s="12" t="n"/>
      <c r="B19">
        <f>IF(A19="","",COUNTIF(Alımlar!$K$10:$K$1009,A19))</f>
        <v/>
      </c>
      <c r="C19" s="21">
        <f>IF(A19="","",SUMIFS(Alımlar!$S$10:$S$1009,Alımlar!$K$10:$K$1009,A19))</f>
        <v/>
      </c>
      <c r="D19" s="16">
        <f>IF(A19="","",SUMIFS(Alımlar!$J$10:$J$1009,Alımlar!$K$10:$K$1009,A19))</f>
        <v/>
      </c>
      <c r="E19" s="16">
        <f>IF(OR(A19="",B19=0),"",_xlfn.MINIFS(Alımlar!$M$10:$M$1009,Alımlar!$K$10:$K$1009,A19))</f>
        <v/>
      </c>
      <c r="F19" s="16">
        <f>IF(OR(A19="",B19=0),"",_xlfn.MAXIFS(Alımlar!$M$10:$M$1009,Alımlar!$K$10:$K$1009,A19))</f>
        <v/>
      </c>
      <c r="G19" s="16">
        <f>IF(OR(A19="",B19=0),"",AVERAGEIFS(Alımlar!$M$10:$M$1009,Alımlar!$K$10:$K$1009,A19))</f>
        <v/>
      </c>
      <c r="H19" s="18">
        <f>IF(OR(E19="",E19=0),"",F19/E19-1)</f>
        <v/>
      </c>
      <c r="I19">
        <f>IF(A19="","",COUNTIFS(Alımlar!$K$10:$K$1009,A19,Alımlar!$Q$10:$Q$1009,"İNCELE"))</f>
        <v/>
      </c>
    </row>
    <row r="20">
      <c r="A20" s="12" t="n"/>
      <c r="B20">
        <f>IF(A20="","",COUNTIF(Alımlar!$K$10:$K$1009,A20))</f>
        <v/>
      </c>
      <c r="C20" s="21">
        <f>IF(A20="","",SUMIFS(Alımlar!$S$10:$S$1009,Alımlar!$K$10:$K$1009,A20))</f>
        <v/>
      </c>
      <c r="D20" s="16">
        <f>IF(A20="","",SUMIFS(Alımlar!$J$10:$J$1009,Alımlar!$K$10:$K$1009,A20))</f>
        <v/>
      </c>
      <c r="E20" s="16">
        <f>IF(OR(A20="",B20=0),"",_xlfn.MINIFS(Alımlar!$M$10:$M$1009,Alımlar!$K$10:$K$1009,A20))</f>
        <v/>
      </c>
      <c r="F20" s="16">
        <f>IF(OR(A20="",B20=0),"",_xlfn.MAXIFS(Alımlar!$M$10:$M$1009,Alımlar!$K$10:$K$1009,A20))</f>
        <v/>
      </c>
      <c r="G20" s="16">
        <f>IF(OR(A20="",B20=0),"",AVERAGEIFS(Alımlar!$M$10:$M$1009,Alımlar!$K$10:$K$1009,A20))</f>
        <v/>
      </c>
      <c r="H20" s="18">
        <f>IF(OR(E20="",E20=0),"",F20/E20-1)</f>
        <v/>
      </c>
      <c r="I20">
        <f>IF(A20="","",COUNTIFS(Alımlar!$K$10:$K$1009,A20,Alımlar!$Q$10:$Q$1009,"İNCELE"))</f>
        <v/>
      </c>
    </row>
    <row r="21">
      <c r="A21" s="12" t="n"/>
      <c r="B21">
        <f>IF(A21="","",COUNTIF(Alımlar!$K$10:$K$1009,A21))</f>
        <v/>
      </c>
      <c r="C21" s="21">
        <f>IF(A21="","",SUMIFS(Alımlar!$S$10:$S$1009,Alımlar!$K$10:$K$1009,A21))</f>
        <v/>
      </c>
      <c r="D21" s="16">
        <f>IF(A21="","",SUMIFS(Alımlar!$J$10:$J$1009,Alımlar!$K$10:$K$1009,A21))</f>
        <v/>
      </c>
      <c r="E21" s="16">
        <f>IF(OR(A21="",B21=0),"",_xlfn.MINIFS(Alımlar!$M$10:$M$1009,Alımlar!$K$10:$K$1009,A21))</f>
        <v/>
      </c>
      <c r="F21" s="16">
        <f>IF(OR(A21="",B21=0),"",_xlfn.MAXIFS(Alımlar!$M$10:$M$1009,Alımlar!$K$10:$K$1009,A21))</f>
        <v/>
      </c>
      <c r="G21" s="16">
        <f>IF(OR(A21="",B21=0),"",AVERAGEIFS(Alımlar!$M$10:$M$1009,Alımlar!$K$10:$K$1009,A21))</f>
        <v/>
      </c>
      <c r="H21" s="18">
        <f>IF(OR(E21="",E21=0),"",F21/E21-1)</f>
        <v/>
      </c>
      <c r="I21">
        <f>IF(A21="","",COUNTIFS(Alımlar!$K$10:$K$1009,A21,Alımlar!$Q$10:$Q$1009,"İNCELE"))</f>
        <v/>
      </c>
    </row>
    <row r="22">
      <c r="A22" s="12" t="n"/>
      <c r="B22">
        <f>IF(A22="","",COUNTIF(Alımlar!$K$10:$K$1009,A22))</f>
        <v/>
      </c>
      <c r="C22" s="21">
        <f>IF(A22="","",SUMIFS(Alımlar!$S$10:$S$1009,Alımlar!$K$10:$K$1009,A22))</f>
        <v/>
      </c>
      <c r="D22" s="16">
        <f>IF(A22="","",SUMIFS(Alımlar!$J$10:$J$1009,Alımlar!$K$10:$K$1009,A22))</f>
        <v/>
      </c>
      <c r="E22" s="16">
        <f>IF(OR(A22="",B22=0),"",_xlfn.MINIFS(Alımlar!$M$10:$M$1009,Alımlar!$K$10:$K$1009,A22))</f>
        <v/>
      </c>
      <c r="F22" s="16">
        <f>IF(OR(A22="",B22=0),"",_xlfn.MAXIFS(Alımlar!$M$10:$M$1009,Alımlar!$K$10:$K$1009,A22))</f>
        <v/>
      </c>
      <c r="G22" s="16">
        <f>IF(OR(A22="",B22=0),"",AVERAGEIFS(Alımlar!$M$10:$M$1009,Alımlar!$K$10:$K$1009,A22))</f>
        <v/>
      </c>
      <c r="H22" s="18">
        <f>IF(OR(E22="",E22=0),"",F22/E22-1)</f>
        <v/>
      </c>
      <c r="I22">
        <f>IF(A22="","",COUNTIFS(Alımlar!$K$10:$K$1009,A22,Alımlar!$Q$10:$Q$1009,"İNCELE"))</f>
        <v/>
      </c>
    </row>
    <row r="23">
      <c r="A23" s="12" t="n"/>
      <c r="B23">
        <f>IF(A23="","",COUNTIF(Alımlar!$K$10:$K$1009,A23))</f>
        <v/>
      </c>
      <c r="C23" s="21">
        <f>IF(A23="","",SUMIFS(Alımlar!$S$10:$S$1009,Alımlar!$K$10:$K$1009,A23))</f>
        <v/>
      </c>
      <c r="D23" s="16">
        <f>IF(A23="","",SUMIFS(Alımlar!$J$10:$J$1009,Alımlar!$K$10:$K$1009,A23))</f>
        <v/>
      </c>
      <c r="E23" s="16">
        <f>IF(OR(A23="",B23=0),"",_xlfn.MINIFS(Alımlar!$M$10:$M$1009,Alımlar!$K$10:$K$1009,A23))</f>
        <v/>
      </c>
      <c r="F23" s="16">
        <f>IF(OR(A23="",B23=0),"",_xlfn.MAXIFS(Alımlar!$M$10:$M$1009,Alımlar!$K$10:$K$1009,A23))</f>
        <v/>
      </c>
      <c r="G23" s="16">
        <f>IF(OR(A23="",B23=0),"",AVERAGEIFS(Alımlar!$M$10:$M$1009,Alımlar!$K$10:$K$1009,A23))</f>
        <v/>
      </c>
      <c r="H23" s="18">
        <f>IF(OR(E23="",E23=0),"",F23/E23-1)</f>
        <v/>
      </c>
      <c r="I23">
        <f>IF(A23="","",COUNTIFS(Alımlar!$K$10:$K$1009,A23,Alımlar!$Q$10:$Q$1009,"İNCELE"))</f>
        <v/>
      </c>
    </row>
    <row r="24">
      <c r="A24" s="12" t="n"/>
      <c r="B24">
        <f>IF(A24="","",COUNTIF(Alımlar!$K$10:$K$1009,A24))</f>
        <v/>
      </c>
      <c r="C24" s="21">
        <f>IF(A24="","",SUMIFS(Alımlar!$S$10:$S$1009,Alımlar!$K$10:$K$1009,A24))</f>
        <v/>
      </c>
      <c r="D24" s="16">
        <f>IF(A24="","",SUMIFS(Alımlar!$J$10:$J$1009,Alımlar!$K$10:$K$1009,A24))</f>
        <v/>
      </c>
      <c r="E24" s="16">
        <f>IF(OR(A24="",B24=0),"",_xlfn.MINIFS(Alımlar!$M$10:$M$1009,Alımlar!$K$10:$K$1009,A24))</f>
        <v/>
      </c>
      <c r="F24" s="16">
        <f>IF(OR(A24="",B24=0),"",_xlfn.MAXIFS(Alımlar!$M$10:$M$1009,Alımlar!$K$10:$K$1009,A24))</f>
        <v/>
      </c>
      <c r="G24" s="16">
        <f>IF(OR(A24="",B24=0),"",AVERAGEIFS(Alımlar!$M$10:$M$1009,Alımlar!$K$10:$K$1009,A24))</f>
        <v/>
      </c>
      <c r="H24" s="18">
        <f>IF(OR(E24="",E24=0),"",F24/E24-1)</f>
        <v/>
      </c>
      <c r="I24">
        <f>IF(A24="","",COUNTIFS(Alımlar!$K$10:$K$1009,A24,Alımlar!$Q$10:$Q$1009,"İNCELE"))</f>
        <v/>
      </c>
    </row>
    <row r="25">
      <c r="A25" s="12" t="n"/>
      <c r="B25">
        <f>IF(A25="","",COUNTIF(Alımlar!$K$10:$K$1009,A25))</f>
        <v/>
      </c>
      <c r="C25" s="21">
        <f>IF(A25="","",SUMIFS(Alımlar!$S$10:$S$1009,Alımlar!$K$10:$K$1009,A25))</f>
        <v/>
      </c>
      <c r="D25" s="16">
        <f>IF(A25="","",SUMIFS(Alımlar!$J$10:$J$1009,Alımlar!$K$10:$K$1009,A25))</f>
        <v/>
      </c>
      <c r="E25" s="16">
        <f>IF(OR(A25="",B25=0),"",_xlfn.MINIFS(Alımlar!$M$10:$M$1009,Alımlar!$K$10:$K$1009,A25))</f>
        <v/>
      </c>
      <c r="F25" s="16">
        <f>IF(OR(A25="",B25=0),"",_xlfn.MAXIFS(Alımlar!$M$10:$M$1009,Alımlar!$K$10:$K$1009,A25))</f>
        <v/>
      </c>
      <c r="G25" s="16">
        <f>IF(OR(A25="",B25=0),"",AVERAGEIFS(Alımlar!$M$10:$M$1009,Alımlar!$K$10:$K$1009,A25))</f>
        <v/>
      </c>
      <c r="H25" s="18">
        <f>IF(OR(E25="",E25=0),"",F25/E25-1)</f>
        <v/>
      </c>
      <c r="I25">
        <f>IF(A25="","",COUNTIFS(Alımlar!$K$10:$K$1009,A25,Alımlar!$Q$10:$Q$1009,"İNCELE"))</f>
        <v/>
      </c>
    </row>
    <row r="26">
      <c r="A26" s="12" t="n"/>
      <c r="B26">
        <f>IF(A26="","",COUNTIF(Alımlar!$K$10:$K$1009,A26))</f>
        <v/>
      </c>
      <c r="C26" s="21">
        <f>IF(A26="","",SUMIFS(Alımlar!$S$10:$S$1009,Alımlar!$K$10:$K$1009,A26))</f>
        <v/>
      </c>
      <c r="D26" s="16">
        <f>IF(A26="","",SUMIFS(Alımlar!$J$10:$J$1009,Alımlar!$K$10:$K$1009,A26))</f>
        <v/>
      </c>
      <c r="E26" s="16">
        <f>IF(OR(A26="",B26=0),"",_xlfn.MINIFS(Alımlar!$M$10:$M$1009,Alımlar!$K$10:$K$1009,A26))</f>
        <v/>
      </c>
      <c r="F26" s="16">
        <f>IF(OR(A26="",B26=0),"",_xlfn.MAXIFS(Alımlar!$M$10:$M$1009,Alımlar!$K$10:$K$1009,A26))</f>
        <v/>
      </c>
      <c r="G26" s="16">
        <f>IF(OR(A26="",B26=0),"",AVERAGEIFS(Alımlar!$M$10:$M$1009,Alımlar!$K$10:$K$1009,A26))</f>
        <v/>
      </c>
      <c r="H26" s="18">
        <f>IF(OR(E26="",E26=0),"",F26/E26-1)</f>
        <v/>
      </c>
      <c r="I26">
        <f>IF(A26="","",COUNTIFS(Alımlar!$K$10:$K$1009,A26,Alımlar!$Q$10:$Q$1009,"İNCELE"))</f>
        <v/>
      </c>
    </row>
    <row r="27">
      <c r="A27" s="12" t="n"/>
      <c r="B27">
        <f>IF(A27="","",COUNTIF(Alımlar!$K$10:$K$1009,A27))</f>
        <v/>
      </c>
      <c r="C27" s="21">
        <f>IF(A27="","",SUMIFS(Alımlar!$S$10:$S$1009,Alımlar!$K$10:$K$1009,A27))</f>
        <v/>
      </c>
      <c r="D27" s="16">
        <f>IF(A27="","",SUMIFS(Alımlar!$J$10:$J$1009,Alımlar!$K$10:$K$1009,A27))</f>
        <v/>
      </c>
      <c r="E27" s="16">
        <f>IF(OR(A27="",B27=0),"",_xlfn.MINIFS(Alımlar!$M$10:$M$1009,Alımlar!$K$10:$K$1009,A27))</f>
        <v/>
      </c>
      <c r="F27" s="16">
        <f>IF(OR(A27="",B27=0),"",_xlfn.MAXIFS(Alımlar!$M$10:$M$1009,Alımlar!$K$10:$K$1009,A27))</f>
        <v/>
      </c>
      <c r="G27" s="16">
        <f>IF(OR(A27="",B27=0),"",AVERAGEIFS(Alımlar!$M$10:$M$1009,Alımlar!$K$10:$K$1009,A27))</f>
        <v/>
      </c>
      <c r="H27" s="18">
        <f>IF(OR(E27="",E27=0),"",F27/E27-1)</f>
        <v/>
      </c>
      <c r="I27">
        <f>IF(A27="","",COUNTIFS(Alımlar!$K$10:$K$1009,A27,Alımlar!$Q$10:$Q$1009,"İNCELE"))</f>
        <v/>
      </c>
    </row>
    <row r="28">
      <c r="A28" s="12" t="n"/>
      <c r="B28">
        <f>IF(A28="","",COUNTIF(Alımlar!$K$10:$K$1009,A28))</f>
        <v/>
      </c>
      <c r="C28" s="21">
        <f>IF(A28="","",SUMIFS(Alımlar!$S$10:$S$1009,Alımlar!$K$10:$K$1009,A28))</f>
        <v/>
      </c>
      <c r="D28" s="16">
        <f>IF(A28="","",SUMIFS(Alımlar!$J$10:$J$1009,Alımlar!$K$10:$K$1009,A28))</f>
        <v/>
      </c>
      <c r="E28" s="16">
        <f>IF(OR(A28="",B28=0),"",_xlfn.MINIFS(Alımlar!$M$10:$M$1009,Alımlar!$K$10:$K$1009,A28))</f>
        <v/>
      </c>
      <c r="F28" s="16">
        <f>IF(OR(A28="",B28=0),"",_xlfn.MAXIFS(Alımlar!$M$10:$M$1009,Alımlar!$K$10:$K$1009,A28))</f>
        <v/>
      </c>
      <c r="G28" s="16">
        <f>IF(OR(A28="",B28=0),"",AVERAGEIFS(Alımlar!$M$10:$M$1009,Alımlar!$K$10:$K$1009,A28))</f>
        <v/>
      </c>
      <c r="H28" s="18">
        <f>IF(OR(E28="",E28=0),"",F28/E28-1)</f>
        <v/>
      </c>
      <c r="I28">
        <f>IF(A28="","",COUNTIFS(Alımlar!$K$10:$K$1009,A28,Alımlar!$Q$10:$Q$1009,"İNCELE"))</f>
        <v/>
      </c>
    </row>
    <row r="29">
      <c r="A29" s="12" t="n"/>
      <c r="B29">
        <f>IF(A29="","",COUNTIF(Alımlar!$K$10:$K$1009,A29))</f>
        <v/>
      </c>
      <c r="C29" s="21">
        <f>IF(A29="","",SUMIFS(Alımlar!$S$10:$S$1009,Alımlar!$K$10:$K$1009,A29))</f>
        <v/>
      </c>
      <c r="D29" s="16">
        <f>IF(A29="","",SUMIFS(Alımlar!$J$10:$J$1009,Alımlar!$K$10:$K$1009,A29))</f>
        <v/>
      </c>
      <c r="E29" s="16">
        <f>IF(OR(A29="",B29=0),"",_xlfn.MINIFS(Alımlar!$M$10:$M$1009,Alımlar!$K$10:$K$1009,A29))</f>
        <v/>
      </c>
      <c r="F29" s="16">
        <f>IF(OR(A29="",B29=0),"",_xlfn.MAXIFS(Alımlar!$M$10:$M$1009,Alımlar!$K$10:$K$1009,A29))</f>
        <v/>
      </c>
      <c r="G29" s="16">
        <f>IF(OR(A29="",B29=0),"",AVERAGEIFS(Alımlar!$M$10:$M$1009,Alımlar!$K$10:$K$1009,A29))</f>
        <v/>
      </c>
      <c r="H29" s="18">
        <f>IF(OR(E29="",E29=0),"",F29/E29-1)</f>
        <v/>
      </c>
      <c r="I29">
        <f>IF(A29="","",COUNTIFS(Alımlar!$K$10:$K$1009,A29,Alımlar!$Q$10:$Q$1009,"İNCELE"))</f>
        <v/>
      </c>
    </row>
    <row r="30">
      <c r="A30" s="12" t="n"/>
      <c r="B30">
        <f>IF(A30="","",COUNTIF(Alımlar!$K$10:$K$1009,A30))</f>
        <v/>
      </c>
      <c r="C30" s="21">
        <f>IF(A30="","",SUMIFS(Alımlar!$S$10:$S$1009,Alımlar!$K$10:$K$1009,A30))</f>
        <v/>
      </c>
      <c r="D30" s="16">
        <f>IF(A30="","",SUMIFS(Alımlar!$J$10:$J$1009,Alımlar!$K$10:$K$1009,A30))</f>
        <v/>
      </c>
      <c r="E30" s="16">
        <f>IF(OR(A30="",B30=0),"",_xlfn.MINIFS(Alımlar!$M$10:$M$1009,Alımlar!$K$10:$K$1009,A30))</f>
        <v/>
      </c>
      <c r="F30" s="16">
        <f>IF(OR(A30="",B30=0),"",_xlfn.MAXIFS(Alımlar!$M$10:$M$1009,Alımlar!$K$10:$K$1009,A30))</f>
        <v/>
      </c>
      <c r="G30" s="16">
        <f>IF(OR(A30="",B30=0),"",AVERAGEIFS(Alımlar!$M$10:$M$1009,Alımlar!$K$10:$K$1009,A30))</f>
        <v/>
      </c>
      <c r="H30" s="18">
        <f>IF(OR(E30="",E30=0),"",F30/E30-1)</f>
        <v/>
      </c>
      <c r="I30">
        <f>IF(A30="","",COUNTIFS(Alımlar!$K$10:$K$1009,A30,Alımlar!$Q$10:$Q$1009,"İNCELE"))</f>
        <v/>
      </c>
    </row>
    <row r="31">
      <c r="A31" s="12" t="n"/>
      <c r="B31">
        <f>IF(A31="","",COUNTIF(Alımlar!$K$10:$K$1009,A31))</f>
        <v/>
      </c>
      <c r="C31" s="21">
        <f>IF(A31="","",SUMIFS(Alımlar!$S$10:$S$1009,Alımlar!$K$10:$K$1009,A31))</f>
        <v/>
      </c>
      <c r="D31" s="16">
        <f>IF(A31="","",SUMIFS(Alımlar!$J$10:$J$1009,Alımlar!$K$10:$K$1009,A31))</f>
        <v/>
      </c>
      <c r="E31" s="16">
        <f>IF(OR(A31="",B31=0),"",_xlfn.MINIFS(Alımlar!$M$10:$M$1009,Alımlar!$K$10:$K$1009,A31))</f>
        <v/>
      </c>
      <c r="F31" s="16">
        <f>IF(OR(A31="",B31=0),"",_xlfn.MAXIFS(Alımlar!$M$10:$M$1009,Alımlar!$K$10:$K$1009,A31))</f>
        <v/>
      </c>
      <c r="G31" s="16">
        <f>IF(OR(A31="",B31=0),"",AVERAGEIFS(Alımlar!$M$10:$M$1009,Alımlar!$K$10:$K$1009,A31))</f>
        <v/>
      </c>
      <c r="H31" s="18">
        <f>IF(OR(E31="",E31=0),"",F31/E31-1)</f>
        <v/>
      </c>
      <c r="I31">
        <f>IF(A31="","",COUNTIFS(Alımlar!$K$10:$K$1009,A31,Alımlar!$Q$10:$Q$1009,"İNCELE"))</f>
        <v/>
      </c>
    </row>
    <row r="32">
      <c r="A32" s="12" t="n"/>
      <c r="B32">
        <f>IF(A32="","",COUNTIF(Alımlar!$K$10:$K$1009,A32))</f>
        <v/>
      </c>
      <c r="C32" s="21">
        <f>IF(A32="","",SUMIFS(Alımlar!$S$10:$S$1009,Alımlar!$K$10:$K$1009,A32))</f>
        <v/>
      </c>
      <c r="D32" s="16">
        <f>IF(A32="","",SUMIFS(Alımlar!$J$10:$J$1009,Alımlar!$K$10:$K$1009,A32))</f>
        <v/>
      </c>
      <c r="E32" s="16">
        <f>IF(OR(A32="",B32=0),"",_xlfn.MINIFS(Alımlar!$M$10:$M$1009,Alımlar!$K$10:$K$1009,A32))</f>
        <v/>
      </c>
      <c r="F32" s="16">
        <f>IF(OR(A32="",B32=0),"",_xlfn.MAXIFS(Alımlar!$M$10:$M$1009,Alımlar!$K$10:$K$1009,A32))</f>
        <v/>
      </c>
      <c r="G32" s="16">
        <f>IF(OR(A32="",B32=0),"",AVERAGEIFS(Alımlar!$M$10:$M$1009,Alımlar!$K$10:$K$1009,A32))</f>
        <v/>
      </c>
      <c r="H32" s="18">
        <f>IF(OR(E32="",E32=0),"",F32/E32-1)</f>
        <v/>
      </c>
      <c r="I32">
        <f>IF(A32="","",COUNTIFS(Alımlar!$K$10:$K$1009,A32,Alımlar!$Q$10:$Q$1009,"İNCELE"))</f>
        <v/>
      </c>
    </row>
    <row r="33">
      <c r="A33" s="12" t="n"/>
      <c r="B33">
        <f>IF(A33="","",COUNTIF(Alımlar!$K$10:$K$1009,A33))</f>
        <v/>
      </c>
      <c r="C33" s="21">
        <f>IF(A33="","",SUMIFS(Alımlar!$S$10:$S$1009,Alımlar!$K$10:$K$1009,A33))</f>
        <v/>
      </c>
      <c r="D33" s="16">
        <f>IF(A33="","",SUMIFS(Alımlar!$J$10:$J$1009,Alımlar!$K$10:$K$1009,A33))</f>
        <v/>
      </c>
      <c r="E33" s="16">
        <f>IF(OR(A33="",B33=0),"",_xlfn.MINIFS(Alımlar!$M$10:$M$1009,Alımlar!$K$10:$K$1009,A33))</f>
        <v/>
      </c>
      <c r="F33" s="16">
        <f>IF(OR(A33="",B33=0),"",_xlfn.MAXIFS(Alımlar!$M$10:$M$1009,Alımlar!$K$10:$K$1009,A33))</f>
        <v/>
      </c>
      <c r="G33" s="16">
        <f>IF(OR(A33="",B33=0),"",AVERAGEIFS(Alımlar!$M$10:$M$1009,Alımlar!$K$10:$K$1009,A33))</f>
        <v/>
      </c>
      <c r="H33" s="18">
        <f>IF(OR(E33="",E33=0),"",F33/E33-1)</f>
        <v/>
      </c>
      <c r="I33">
        <f>IF(A33="","",COUNTIFS(Alımlar!$K$10:$K$1009,A33,Alımlar!$Q$10:$Q$1009,"İNCELE"))</f>
        <v/>
      </c>
    </row>
    <row r="34">
      <c r="A34" s="12" t="n"/>
      <c r="B34">
        <f>IF(A34="","",COUNTIF(Alımlar!$K$10:$K$1009,A34))</f>
        <v/>
      </c>
      <c r="C34" s="21">
        <f>IF(A34="","",SUMIFS(Alımlar!$S$10:$S$1009,Alımlar!$K$10:$K$1009,A34))</f>
        <v/>
      </c>
      <c r="D34" s="16">
        <f>IF(A34="","",SUMIFS(Alımlar!$J$10:$J$1009,Alımlar!$K$10:$K$1009,A34))</f>
        <v/>
      </c>
      <c r="E34" s="16">
        <f>IF(OR(A34="",B34=0),"",_xlfn.MINIFS(Alımlar!$M$10:$M$1009,Alımlar!$K$10:$K$1009,A34))</f>
        <v/>
      </c>
      <c r="F34" s="16">
        <f>IF(OR(A34="",B34=0),"",_xlfn.MAXIFS(Alımlar!$M$10:$M$1009,Alımlar!$K$10:$K$1009,A34))</f>
        <v/>
      </c>
      <c r="G34" s="16">
        <f>IF(OR(A34="",B34=0),"",AVERAGEIFS(Alımlar!$M$10:$M$1009,Alımlar!$K$10:$K$1009,A34))</f>
        <v/>
      </c>
      <c r="H34" s="18">
        <f>IF(OR(E34="",E34=0),"",F34/E34-1)</f>
        <v/>
      </c>
      <c r="I34">
        <f>IF(A34="","",COUNTIFS(Alımlar!$K$10:$K$1009,A34,Alımlar!$Q$10:$Q$1009,"İNCELE"))</f>
        <v/>
      </c>
    </row>
    <row r="35">
      <c r="A35" s="12" t="n"/>
      <c r="B35">
        <f>IF(A35="","",COUNTIF(Alımlar!$K$10:$K$1009,A35))</f>
        <v/>
      </c>
      <c r="C35" s="21">
        <f>IF(A35="","",SUMIFS(Alımlar!$S$10:$S$1009,Alımlar!$K$10:$K$1009,A35))</f>
        <v/>
      </c>
      <c r="D35" s="16">
        <f>IF(A35="","",SUMIFS(Alımlar!$J$10:$J$1009,Alımlar!$K$10:$K$1009,A35))</f>
        <v/>
      </c>
      <c r="E35" s="16">
        <f>IF(OR(A35="",B35=0),"",_xlfn.MINIFS(Alımlar!$M$10:$M$1009,Alımlar!$K$10:$K$1009,A35))</f>
        <v/>
      </c>
      <c r="F35" s="16">
        <f>IF(OR(A35="",B35=0),"",_xlfn.MAXIFS(Alımlar!$M$10:$M$1009,Alımlar!$K$10:$K$1009,A35))</f>
        <v/>
      </c>
      <c r="G35" s="16">
        <f>IF(OR(A35="",B35=0),"",AVERAGEIFS(Alımlar!$M$10:$M$1009,Alımlar!$K$10:$K$1009,A35))</f>
        <v/>
      </c>
      <c r="H35" s="18">
        <f>IF(OR(E35="",E35=0),"",F35/E35-1)</f>
        <v/>
      </c>
      <c r="I35">
        <f>IF(A35="","",COUNTIFS(Alımlar!$K$10:$K$1009,A35,Alımlar!$Q$10:$Q$1009,"İNCELE"))</f>
        <v/>
      </c>
    </row>
    <row r="36">
      <c r="A36" s="12" t="n"/>
      <c r="B36">
        <f>IF(A36="","",COUNTIF(Alımlar!$K$10:$K$1009,A36))</f>
        <v/>
      </c>
      <c r="C36" s="21">
        <f>IF(A36="","",SUMIFS(Alımlar!$S$10:$S$1009,Alımlar!$K$10:$K$1009,A36))</f>
        <v/>
      </c>
      <c r="D36" s="16">
        <f>IF(A36="","",SUMIFS(Alımlar!$J$10:$J$1009,Alımlar!$K$10:$K$1009,A36))</f>
        <v/>
      </c>
      <c r="E36" s="16">
        <f>IF(OR(A36="",B36=0),"",_xlfn.MINIFS(Alımlar!$M$10:$M$1009,Alımlar!$K$10:$K$1009,A36))</f>
        <v/>
      </c>
      <c r="F36" s="16">
        <f>IF(OR(A36="",B36=0),"",_xlfn.MAXIFS(Alımlar!$M$10:$M$1009,Alımlar!$K$10:$K$1009,A36))</f>
        <v/>
      </c>
      <c r="G36" s="16">
        <f>IF(OR(A36="",B36=0),"",AVERAGEIFS(Alımlar!$M$10:$M$1009,Alımlar!$K$10:$K$1009,A36))</f>
        <v/>
      </c>
      <c r="H36" s="18">
        <f>IF(OR(E36="",E36=0),"",F36/E36-1)</f>
        <v/>
      </c>
      <c r="I36">
        <f>IF(A36="","",COUNTIFS(Alımlar!$K$10:$K$1009,A36,Alımlar!$Q$10:$Q$1009,"İNCELE"))</f>
        <v/>
      </c>
    </row>
    <row r="37">
      <c r="A37" s="12" t="n"/>
      <c r="B37">
        <f>IF(A37="","",COUNTIF(Alımlar!$K$10:$K$1009,A37))</f>
        <v/>
      </c>
      <c r="C37" s="21">
        <f>IF(A37="","",SUMIFS(Alımlar!$S$10:$S$1009,Alımlar!$K$10:$K$1009,A37))</f>
        <v/>
      </c>
      <c r="D37" s="16">
        <f>IF(A37="","",SUMIFS(Alımlar!$J$10:$J$1009,Alımlar!$K$10:$K$1009,A37))</f>
        <v/>
      </c>
      <c r="E37" s="16">
        <f>IF(OR(A37="",B37=0),"",_xlfn.MINIFS(Alımlar!$M$10:$M$1009,Alımlar!$K$10:$K$1009,A37))</f>
        <v/>
      </c>
      <c r="F37" s="16">
        <f>IF(OR(A37="",B37=0),"",_xlfn.MAXIFS(Alımlar!$M$10:$M$1009,Alımlar!$K$10:$K$1009,A37))</f>
        <v/>
      </c>
      <c r="G37" s="16">
        <f>IF(OR(A37="",B37=0),"",AVERAGEIFS(Alımlar!$M$10:$M$1009,Alımlar!$K$10:$K$1009,A37))</f>
        <v/>
      </c>
      <c r="H37" s="18">
        <f>IF(OR(E37="",E37=0),"",F37/E37-1)</f>
        <v/>
      </c>
      <c r="I37">
        <f>IF(A37="","",COUNTIFS(Alımlar!$K$10:$K$1009,A37,Alımlar!$Q$10:$Q$1009,"İNCELE"))</f>
        <v/>
      </c>
    </row>
    <row r="38">
      <c r="A38" s="12" t="n"/>
      <c r="B38">
        <f>IF(A38="","",COUNTIF(Alımlar!$K$10:$K$1009,A38))</f>
        <v/>
      </c>
      <c r="C38" s="21">
        <f>IF(A38="","",SUMIFS(Alımlar!$S$10:$S$1009,Alımlar!$K$10:$K$1009,A38))</f>
        <v/>
      </c>
      <c r="D38" s="16">
        <f>IF(A38="","",SUMIFS(Alımlar!$J$10:$J$1009,Alımlar!$K$10:$K$1009,A38))</f>
        <v/>
      </c>
      <c r="E38" s="16">
        <f>IF(OR(A38="",B38=0),"",_xlfn.MINIFS(Alımlar!$M$10:$M$1009,Alımlar!$K$10:$K$1009,A38))</f>
        <v/>
      </c>
      <c r="F38" s="16">
        <f>IF(OR(A38="",B38=0),"",_xlfn.MAXIFS(Alımlar!$M$10:$M$1009,Alımlar!$K$10:$K$1009,A38))</f>
        <v/>
      </c>
      <c r="G38" s="16">
        <f>IF(OR(A38="",B38=0),"",AVERAGEIFS(Alımlar!$M$10:$M$1009,Alımlar!$K$10:$K$1009,A38))</f>
        <v/>
      </c>
      <c r="H38" s="18">
        <f>IF(OR(E38="",E38=0),"",F38/E38-1)</f>
        <v/>
      </c>
      <c r="I38">
        <f>IF(A38="","",COUNTIFS(Alımlar!$K$10:$K$1009,A38,Alımlar!$Q$10:$Q$1009,"İNCELE"))</f>
        <v/>
      </c>
    </row>
    <row r="39">
      <c r="A39" s="12" t="n"/>
      <c r="B39">
        <f>IF(A39="","",COUNTIF(Alımlar!$K$10:$K$1009,A39))</f>
        <v/>
      </c>
      <c r="C39" s="21">
        <f>IF(A39="","",SUMIFS(Alımlar!$S$10:$S$1009,Alımlar!$K$10:$K$1009,A39))</f>
        <v/>
      </c>
      <c r="D39" s="16">
        <f>IF(A39="","",SUMIFS(Alımlar!$J$10:$J$1009,Alımlar!$K$10:$K$1009,A39))</f>
        <v/>
      </c>
      <c r="E39" s="16">
        <f>IF(OR(A39="",B39=0),"",_xlfn.MINIFS(Alımlar!$M$10:$M$1009,Alımlar!$K$10:$K$1009,A39))</f>
        <v/>
      </c>
      <c r="F39" s="16">
        <f>IF(OR(A39="",B39=0),"",_xlfn.MAXIFS(Alımlar!$M$10:$M$1009,Alımlar!$K$10:$K$1009,A39))</f>
        <v/>
      </c>
      <c r="G39" s="16">
        <f>IF(OR(A39="",B39=0),"",AVERAGEIFS(Alımlar!$M$10:$M$1009,Alımlar!$K$10:$K$1009,A39))</f>
        <v/>
      </c>
      <c r="H39" s="18">
        <f>IF(OR(E39="",E39=0),"",F39/E39-1)</f>
        <v/>
      </c>
      <c r="I39">
        <f>IF(A39="","",COUNTIFS(Alımlar!$K$10:$K$1009,A39,Alımlar!$Q$10:$Q$1009,"İNCELE"))</f>
        <v/>
      </c>
    </row>
    <row r="40">
      <c r="A40" s="12" t="n"/>
      <c r="B40">
        <f>IF(A40="","",COUNTIF(Alımlar!$K$10:$K$1009,A40))</f>
        <v/>
      </c>
      <c r="C40" s="21">
        <f>IF(A40="","",SUMIFS(Alımlar!$S$10:$S$1009,Alımlar!$K$10:$K$1009,A40))</f>
        <v/>
      </c>
      <c r="D40" s="16">
        <f>IF(A40="","",SUMIFS(Alımlar!$J$10:$J$1009,Alımlar!$K$10:$K$1009,A40))</f>
        <v/>
      </c>
      <c r="E40" s="16">
        <f>IF(OR(A40="",B40=0),"",_xlfn.MINIFS(Alımlar!$M$10:$M$1009,Alımlar!$K$10:$K$1009,A40))</f>
        <v/>
      </c>
      <c r="F40" s="16">
        <f>IF(OR(A40="",B40=0),"",_xlfn.MAXIFS(Alımlar!$M$10:$M$1009,Alımlar!$K$10:$K$1009,A40))</f>
        <v/>
      </c>
      <c r="G40" s="16">
        <f>IF(OR(A40="",B40=0),"",AVERAGEIFS(Alımlar!$M$10:$M$1009,Alımlar!$K$10:$K$1009,A40))</f>
        <v/>
      </c>
      <c r="H40" s="18">
        <f>IF(OR(E40="",E40=0),"",F40/E40-1)</f>
        <v/>
      </c>
      <c r="I40">
        <f>IF(A40="","",COUNTIFS(Alımlar!$K$10:$K$1009,A40,Alımlar!$Q$10:$Q$1009,"İNCELE"))</f>
        <v/>
      </c>
    </row>
    <row r="41">
      <c r="A41" s="12" t="n"/>
      <c r="B41">
        <f>IF(A41="","",COUNTIF(Alımlar!$K$10:$K$1009,A41))</f>
        <v/>
      </c>
      <c r="C41" s="21">
        <f>IF(A41="","",SUMIFS(Alımlar!$S$10:$S$1009,Alımlar!$K$10:$K$1009,A41))</f>
        <v/>
      </c>
      <c r="D41" s="16">
        <f>IF(A41="","",SUMIFS(Alımlar!$J$10:$J$1009,Alımlar!$K$10:$K$1009,A41))</f>
        <v/>
      </c>
      <c r="E41" s="16">
        <f>IF(OR(A41="",B41=0),"",_xlfn.MINIFS(Alımlar!$M$10:$M$1009,Alımlar!$K$10:$K$1009,A41))</f>
        <v/>
      </c>
      <c r="F41" s="16">
        <f>IF(OR(A41="",B41=0),"",_xlfn.MAXIFS(Alımlar!$M$10:$M$1009,Alımlar!$K$10:$K$1009,A41))</f>
        <v/>
      </c>
      <c r="G41" s="16">
        <f>IF(OR(A41="",B41=0),"",AVERAGEIFS(Alımlar!$M$10:$M$1009,Alımlar!$K$10:$K$1009,A41))</f>
        <v/>
      </c>
      <c r="H41" s="18">
        <f>IF(OR(E41="",E41=0),"",F41/E41-1)</f>
        <v/>
      </c>
      <c r="I41">
        <f>IF(A41="","",COUNTIFS(Alımlar!$K$10:$K$1009,A41,Alımlar!$Q$10:$Q$1009,"İNCELE"))</f>
        <v/>
      </c>
    </row>
    <row r="42">
      <c r="A42" s="12" t="n"/>
      <c r="B42">
        <f>IF(A42="","",COUNTIF(Alımlar!$K$10:$K$1009,A42))</f>
        <v/>
      </c>
      <c r="C42" s="21">
        <f>IF(A42="","",SUMIFS(Alımlar!$S$10:$S$1009,Alımlar!$K$10:$K$1009,A42))</f>
        <v/>
      </c>
      <c r="D42" s="16">
        <f>IF(A42="","",SUMIFS(Alımlar!$J$10:$J$1009,Alımlar!$K$10:$K$1009,A42))</f>
        <v/>
      </c>
      <c r="E42" s="16">
        <f>IF(OR(A42="",B42=0),"",_xlfn.MINIFS(Alımlar!$M$10:$M$1009,Alımlar!$K$10:$K$1009,A42))</f>
        <v/>
      </c>
      <c r="F42" s="16">
        <f>IF(OR(A42="",B42=0),"",_xlfn.MAXIFS(Alımlar!$M$10:$M$1009,Alımlar!$K$10:$K$1009,A42))</f>
        <v/>
      </c>
      <c r="G42" s="16">
        <f>IF(OR(A42="",B42=0),"",AVERAGEIFS(Alımlar!$M$10:$M$1009,Alımlar!$K$10:$K$1009,A42))</f>
        <v/>
      </c>
      <c r="H42" s="18">
        <f>IF(OR(E42="",E42=0),"",F42/E42-1)</f>
        <v/>
      </c>
      <c r="I42">
        <f>IF(A42="","",COUNTIFS(Alımlar!$K$10:$K$1009,A42,Alımlar!$Q$10:$Q$1009,"İNCELE"))</f>
        <v/>
      </c>
    </row>
    <row r="43">
      <c r="A43" s="12" t="n"/>
      <c r="B43">
        <f>IF(A43="","",COUNTIF(Alımlar!$K$10:$K$1009,A43))</f>
        <v/>
      </c>
      <c r="C43" s="21">
        <f>IF(A43="","",SUMIFS(Alımlar!$S$10:$S$1009,Alımlar!$K$10:$K$1009,A43))</f>
        <v/>
      </c>
      <c r="D43" s="16">
        <f>IF(A43="","",SUMIFS(Alımlar!$J$10:$J$1009,Alımlar!$K$10:$K$1009,A43))</f>
        <v/>
      </c>
      <c r="E43" s="16">
        <f>IF(OR(A43="",B43=0),"",_xlfn.MINIFS(Alımlar!$M$10:$M$1009,Alımlar!$K$10:$K$1009,A43))</f>
        <v/>
      </c>
      <c r="F43" s="16">
        <f>IF(OR(A43="",B43=0),"",_xlfn.MAXIFS(Alımlar!$M$10:$M$1009,Alımlar!$K$10:$K$1009,A43))</f>
        <v/>
      </c>
      <c r="G43" s="16">
        <f>IF(OR(A43="",B43=0),"",AVERAGEIFS(Alımlar!$M$10:$M$1009,Alımlar!$K$10:$K$1009,A43))</f>
        <v/>
      </c>
      <c r="H43" s="18">
        <f>IF(OR(E43="",E43=0),"",F43/E43-1)</f>
        <v/>
      </c>
      <c r="I43">
        <f>IF(A43="","",COUNTIFS(Alımlar!$K$10:$K$1009,A43,Alımlar!$Q$10:$Q$1009,"İNCELE"))</f>
        <v/>
      </c>
    </row>
    <row r="44">
      <c r="A44" s="12" t="n"/>
      <c r="B44">
        <f>IF(A44="","",COUNTIF(Alımlar!$K$10:$K$1009,A44))</f>
        <v/>
      </c>
      <c r="C44" s="21">
        <f>IF(A44="","",SUMIFS(Alımlar!$S$10:$S$1009,Alımlar!$K$10:$K$1009,A44))</f>
        <v/>
      </c>
      <c r="D44" s="16">
        <f>IF(A44="","",SUMIFS(Alımlar!$J$10:$J$1009,Alımlar!$K$10:$K$1009,A44))</f>
        <v/>
      </c>
      <c r="E44" s="16">
        <f>IF(OR(A44="",B44=0),"",_xlfn.MINIFS(Alımlar!$M$10:$M$1009,Alımlar!$K$10:$K$1009,A44))</f>
        <v/>
      </c>
      <c r="F44" s="16">
        <f>IF(OR(A44="",B44=0),"",_xlfn.MAXIFS(Alımlar!$M$10:$M$1009,Alımlar!$K$10:$K$1009,A44))</f>
        <v/>
      </c>
      <c r="G44" s="16">
        <f>IF(OR(A44="",B44=0),"",AVERAGEIFS(Alımlar!$M$10:$M$1009,Alımlar!$K$10:$K$1009,A44))</f>
        <v/>
      </c>
      <c r="H44" s="18">
        <f>IF(OR(E44="",E44=0),"",F44/E44-1)</f>
        <v/>
      </c>
      <c r="I44">
        <f>IF(A44="","",COUNTIFS(Alımlar!$K$10:$K$1009,A44,Alımlar!$Q$10:$Q$1009,"İNCELE"))</f>
        <v/>
      </c>
    </row>
    <row r="45">
      <c r="A45" s="12" t="n"/>
      <c r="B45">
        <f>IF(A45="","",COUNTIF(Alımlar!$K$10:$K$1009,A45))</f>
        <v/>
      </c>
      <c r="C45" s="21">
        <f>IF(A45="","",SUMIFS(Alımlar!$S$10:$S$1009,Alımlar!$K$10:$K$1009,A45))</f>
        <v/>
      </c>
      <c r="D45" s="16">
        <f>IF(A45="","",SUMIFS(Alımlar!$J$10:$J$1009,Alımlar!$K$10:$K$1009,A45))</f>
        <v/>
      </c>
      <c r="E45" s="16">
        <f>IF(OR(A45="",B45=0),"",_xlfn.MINIFS(Alımlar!$M$10:$M$1009,Alımlar!$K$10:$K$1009,A45))</f>
        <v/>
      </c>
      <c r="F45" s="16">
        <f>IF(OR(A45="",B45=0),"",_xlfn.MAXIFS(Alımlar!$M$10:$M$1009,Alımlar!$K$10:$K$1009,A45))</f>
        <v/>
      </c>
      <c r="G45" s="16">
        <f>IF(OR(A45="",B45=0),"",AVERAGEIFS(Alımlar!$M$10:$M$1009,Alımlar!$K$10:$K$1009,A45))</f>
        <v/>
      </c>
      <c r="H45" s="18">
        <f>IF(OR(E45="",E45=0),"",F45/E45-1)</f>
        <v/>
      </c>
      <c r="I45">
        <f>IF(A45="","",COUNTIFS(Alımlar!$K$10:$K$1009,A45,Alımlar!$Q$10:$Q$1009,"İNCELE"))</f>
        <v/>
      </c>
    </row>
    <row r="46">
      <c r="A46" s="12" t="n"/>
      <c r="B46">
        <f>IF(A46="","",COUNTIF(Alımlar!$K$10:$K$1009,A46))</f>
        <v/>
      </c>
      <c r="C46" s="21">
        <f>IF(A46="","",SUMIFS(Alımlar!$S$10:$S$1009,Alımlar!$K$10:$K$1009,A46))</f>
        <v/>
      </c>
      <c r="D46" s="16">
        <f>IF(A46="","",SUMIFS(Alımlar!$J$10:$J$1009,Alımlar!$K$10:$K$1009,A46))</f>
        <v/>
      </c>
      <c r="E46" s="16">
        <f>IF(OR(A46="",B46=0),"",_xlfn.MINIFS(Alımlar!$M$10:$M$1009,Alımlar!$K$10:$K$1009,A46))</f>
        <v/>
      </c>
      <c r="F46" s="16">
        <f>IF(OR(A46="",B46=0),"",_xlfn.MAXIFS(Alımlar!$M$10:$M$1009,Alımlar!$K$10:$K$1009,A46))</f>
        <v/>
      </c>
      <c r="G46" s="16">
        <f>IF(OR(A46="",B46=0),"",AVERAGEIFS(Alımlar!$M$10:$M$1009,Alımlar!$K$10:$K$1009,A46))</f>
        <v/>
      </c>
      <c r="H46" s="18">
        <f>IF(OR(E46="",E46=0),"",F46/E46-1)</f>
        <v/>
      </c>
      <c r="I46">
        <f>IF(A46="","",COUNTIFS(Alımlar!$K$10:$K$1009,A46,Alımlar!$Q$10:$Q$1009,"İNCELE"))</f>
        <v/>
      </c>
    </row>
    <row r="47">
      <c r="A47" s="12" t="n"/>
      <c r="B47">
        <f>IF(A47="","",COUNTIF(Alımlar!$K$10:$K$1009,A47))</f>
        <v/>
      </c>
      <c r="C47" s="21">
        <f>IF(A47="","",SUMIFS(Alımlar!$S$10:$S$1009,Alımlar!$K$10:$K$1009,A47))</f>
        <v/>
      </c>
      <c r="D47" s="16">
        <f>IF(A47="","",SUMIFS(Alımlar!$J$10:$J$1009,Alımlar!$K$10:$K$1009,A47))</f>
        <v/>
      </c>
      <c r="E47" s="16">
        <f>IF(OR(A47="",B47=0),"",_xlfn.MINIFS(Alımlar!$M$10:$M$1009,Alımlar!$K$10:$K$1009,A47))</f>
        <v/>
      </c>
      <c r="F47" s="16">
        <f>IF(OR(A47="",B47=0),"",_xlfn.MAXIFS(Alımlar!$M$10:$M$1009,Alımlar!$K$10:$K$1009,A47))</f>
        <v/>
      </c>
      <c r="G47" s="16">
        <f>IF(OR(A47="",B47=0),"",AVERAGEIFS(Alımlar!$M$10:$M$1009,Alımlar!$K$10:$K$1009,A47))</f>
        <v/>
      </c>
      <c r="H47" s="18">
        <f>IF(OR(E47="",E47=0),"",F47/E47-1)</f>
        <v/>
      </c>
      <c r="I47">
        <f>IF(A47="","",COUNTIFS(Alımlar!$K$10:$K$1009,A47,Alımlar!$Q$10:$Q$1009,"İNCELE"))</f>
        <v/>
      </c>
    </row>
    <row r="48">
      <c r="A48" s="12" t="n"/>
      <c r="B48">
        <f>IF(A48="","",COUNTIF(Alımlar!$K$10:$K$1009,A48))</f>
        <v/>
      </c>
      <c r="C48" s="21">
        <f>IF(A48="","",SUMIFS(Alımlar!$S$10:$S$1009,Alımlar!$K$10:$K$1009,A48))</f>
        <v/>
      </c>
      <c r="D48" s="16">
        <f>IF(A48="","",SUMIFS(Alımlar!$J$10:$J$1009,Alımlar!$K$10:$K$1009,A48))</f>
        <v/>
      </c>
      <c r="E48" s="16">
        <f>IF(OR(A48="",B48=0),"",_xlfn.MINIFS(Alımlar!$M$10:$M$1009,Alımlar!$K$10:$K$1009,A48))</f>
        <v/>
      </c>
      <c r="F48" s="16">
        <f>IF(OR(A48="",B48=0),"",_xlfn.MAXIFS(Alımlar!$M$10:$M$1009,Alımlar!$K$10:$K$1009,A48))</f>
        <v/>
      </c>
      <c r="G48" s="16">
        <f>IF(OR(A48="",B48=0),"",AVERAGEIFS(Alımlar!$M$10:$M$1009,Alımlar!$K$10:$K$1009,A48))</f>
        <v/>
      </c>
      <c r="H48" s="18">
        <f>IF(OR(E48="",E48=0),"",F48/E48-1)</f>
        <v/>
      </c>
      <c r="I48">
        <f>IF(A48="","",COUNTIFS(Alımlar!$K$10:$K$1009,A48,Alımlar!$Q$10:$Q$1009,"İNCELE"))</f>
        <v/>
      </c>
    </row>
    <row r="49">
      <c r="A49" s="12" t="n"/>
      <c r="B49">
        <f>IF(A49="","",COUNTIF(Alımlar!$K$10:$K$1009,A49))</f>
        <v/>
      </c>
      <c r="C49" s="21">
        <f>IF(A49="","",SUMIFS(Alımlar!$S$10:$S$1009,Alımlar!$K$10:$K$1009,A49))</f>
        <v/>
      </c>
      <c r="D49" s="16">
        <f>IF(A49="","",SUMIFS(Alımlar!$J$10:$J$1009,Alımlar!$K$10:$K$1009,A49))</f>
        <v/>
      </c>
      <c r="E49" s="16">
        <f>IF(OR(A49="",B49=0),"",_xlfn.MINIFS(Alımlar!$M$10:$M$1009,Alımlar!$K$10:$K$1009,A49))</f>
        <v/>
      </c>
      <c r="F49" s="16">
        <f>IF(OR(A49="",B49=0),"",_xlfn.MAXIFS(Alımlar!$M$10:$M$1009,Alımlar!$K$10:$K$1009,A49))</f>
        <v/>
      </c>
      <c r="G49" s="16">
        <f>IF(OR(A49="",B49=0),"",AVERAGEIFS(Alımlar!$M$10:$M$1009,Alımlar!$K$10:$K$1009,A49))</f>
        <v/>
      </c>
      <c r="H49" s="18">
        <f>IF(OR(E49="",E49=0),"",F49/E49-1)</f>
        <v/>
      </c>
      <c r="I49">
        <f>IF(A49="","",COUNTIFS(Alımlar!$K$10:$K$1009,A49,Alımlar!$Q$10:$Q$1009,"İNCELE"))</f>
        <v/>
      </c>
    </row>
    <row r="50">
      <c r="A50" s="12" t="n"/>
      <c r="B50">
        <f>IF(A50="","",COUNTIF(Alımlar!$K$10:$K$1009,A50))</f>
        <v/>
      </c>
      <c r="C50" s="21">
        <f>IF(A50="","",SUMIFS(Alımlar!$S$10:$S$1009,Alımlar!$K$10:$K$1009,A50))</f>
        <v/>
      </c>
      <c r="D50" s="16">
        <f>IF(A50="","",SUMIFS(Alımlar!$J$10:$J$1009,Alımlar!$K$10:$K$1009,A50))</f>
        <v/>
      </c>
      <c r="E50" s="16">
        <f>IF(OR(A50="",B50=0),"",_xlfn.MINIFS(Alımlar!$M$10:$M$1009,Alımlar!$K$10:$K$1009,A50))</f>
        <v/>
      </c>
      <c r="F50" s="16">
        <f>IF(OR(A50="",B50=0),"",_xlfn.MAXIFS(Alımlar!$M$10:$M$1009,Alımlar!$K$10:$K$1009,A50))</f>
        <v/>
      </c>
      <c r="G50" s="16">
        <f>IF(OR(A50="",B50=0),"",AVERAGEIFS(Alımlar!$M$10:$M$1009,Alımlar!$K$10:$K$1009,A50))</f>
        <v/>
      </c>
      <c r="H50" s="18">
        <f>IF(OR(E50="",E50=0),"",F50/E50-1)</f>
        <v/>
      </c>
      <c r="I50">
        <f>IF(A50="","",COUNTIFS(Alımlar!$K$10:$K$1009,A50,Alımlar!$Q$10:$Q$1009,"İNCELE"))</f>
        <v/>
      </c>
    </row>
    <row r="51">
      <c r="A51" s="12" t="n"/>
      <c r="B51">
        <f>IF(A51="","",COUNTIF(Alımlar!$K$10:$K$1009,A51))</f>
        <v/>
      </c>
      <c r="C51" s="21">
        <f>IF(A51="","",SUMIFS(Alımlar!$S$10:$S$1009,Alımlar!$K$10:$K$1009,A51))</f>
        <v/>
      </c>
      <c r="D51" s="16">
        <f>IF(A51="","",SUMIFS(Alımlar!$J$10:$J$1009,Alımlar!$K$10:$K$1009,A51))</f>
        <v/>
      </c>
      <c r="E51" s="16">
        <f>IF(OR(A51="",B51=0),"",_xlfn.MINIFS(Alımlar!$M$10:$M$1009,Alımlar!$K$10:$K$1009,A51))</f>
        <v/>
      </c>
      <c r="F51" s="16">
        <f>IF(OR(A51="",B51=0),"",_xlfn.MAXIFS(Alımlar!$M$10:$M$1009,Alımlar!$K$10:$K$1009,A51))</f>
        <v/>
      </c>
      <c r="G51" s="16">
        <f>IF(OR(A51="",B51=0),"",AVERAGEIFS(Alımlar!$M$10:$M$1009,Alımlar!$K$10:$K$1009,A51))</f>
        <v/>
      </c>
      <c r="H51" s="18">
        <f>IF(OR(E51="",E51=0),"",F51/E51-1)</f>
        <v/>
      </c>
      <c r="I51">
        <f>IF(A51="","",COUNTIFS(Alımlar!$K$10:$K$1009,A51,Alımlar!$Q$10:$Q$1009,"İNCELE"))</f>
        <v/>
      </c>
    </row>
    <row r="52">
      <c r="A52" s="12" t="n"/>
      <c r="B52">
        <f>IF(A52="","",COUNTIF(Alımlar!$K$10:$K$1009,A52))</f>
        <v/>
      </c>
      <c r="C52" s="21">
        <f>IF(A52="","",SUMIFS(Alımlar!$S$10:$S$1009,Alımlar!$K$10:$K$1009,A52))</f>
        <v/>
      </c>
      <c r="D52" s="16">
        <f>IF(A52="","",SUMIFS(Alımlar!$J$10:$J$1009,Alımlar!$K$10:$K$1009,A52))</f>
        <v/>
      </c>
      <c r="E52" s="16">
        <f>IF(OR(A52="",B52=0),"",_xlfn.MINIFS(Alımlar!$M$10:$M$1009,Alımlar!$K$10:$K$1009,A52))</f>
        <v/>
      </c>
      <c r="F52" s="16">
        <f>IF(OR(A52="",B52=0),"",_xlfn.MAXIFS(Alımlar!$M$10:$M$1009,Alımlar!$K$10:$K$1009,A52))</f>
        <v/>
      </c>
      <c r="G52" s="16">
        <f>IF(OR(A52="",B52=0),"",AVERAGEIFS(Alımlar!$M$10:$M$1009,Alımlar!$K$10:$K$1009,A52))</f>
        <v/>
      </c>
      <c r="H52" s="18">
        <f>IF(OR(E52="",E52=0),"",F52/E52-1)</f>
        <v/>
      </c>
      <c r="I52">
        <f>IF(A52="","",COUNTIFS(Alımlar!$K$10:$K$1009,A52,Alımlar!$Q$10:$Q$1009,"İNCELE"))</f>
        <v/>
      </c>
    </row>
    <row r="53">
      <c r="A53" s="12" t="n"/>
      <c r="B53">
        <f>IF(A53="","",COUNTIF(Alımlar!$K$10:$K$1009,A53))</f>
        <v/>
      </c>
      <c r="C53" s="21">
        <f>IF(A53="","",SUMIFS(Alımlar!$S$10:$S$1009,Alımlar!$K$10:$K$1009,A53))</f>
        <v/>
      </c>
      <c r="D53" s="16">
        <f>IF(A53="","",SUMIFS(Alımlar!$J$10:$J$1009,Alımlar!$K$10:$K$1009,A53))</f>
        <v/>
      </c>
      <c r="E53" s="16">
        <f>IF(OR(A53="",B53=0),"",_xlfn.MINIFS(Alımlar!$M$10:$M$1009,Alımlar!$K$10:$K$1009,A53))</f>
        <v/>
      </c>
      <c r="F53" s="16">
        <f>IF(OR(A53="",B53=0),"",_xlfn.MAXIFS(Alımlar!$M$10:$M$1009,Alımlar!$K$10:$K$1009,A53))</f>
        <v/>
      </c>
      <c r="G53" s="16">
        <f>IF(OR(A53="",B53=0),"",AVERAGEIFS(Alımlar!$M$10:$M$1009,Alımlar!$K$10:$K$1009,A53))</f>
        <v/>
      </c>
      <c r="H53" s="18">
        <f>IF(OR(E53="",E53=0),"",F53/E53-1)</f>
        <v/>
      </c>
      <c r="I53">
        <f>IF(A53="","",COUNTIFS(Alımlar!$K$10:$K$1009,A53,Alımlar!$Q$10:$Q$1009,"İNCELE"))</f>
        <v/>
      </c>
    </row>
    <row r="54">
      <c r="A54" s="12" t="n"/>
      <c r="B54">
        <f>IF(A54="","",COUNTIF(Alımlar!$K$10:$K$1009,A54))</f>
        <v/>
      </c>
      <c r="C54" s="21">
        <f>IF(A54="","",SUMIFS(Alımlar!$S$10:$S$1009,Alımlar!$K$10:$K$1009,A54))</f>
        <v/>
      </c>
      <c r="D54" s="16">
        <f>IF(A54="","",SUMIFS(Alımlar!$J$10:$J$1009,Alımlar!$K$10:$K$1009,A54))</f>
        <v/>
      </c>
      <c r="E54" s="16">
        <f>IF(OR(A54="",B54=0),"",_xlfn.MINIFS(Alımlar!$M$10:$M$1009,Alımlar!$K$10:$K$1009,A54))</f>
        <v/>
      </c>
      <c r="F54" s="16">
        <f>IF(OR(A54="",B54=0),"",_xlfn.MAXIFS(Alımlar!$M$10:$M$1009,Alımlar!$K$10:$K$1009,A54))</f>
        <v/>
      </c>
      <c r="G54" s="16">
        <f>IF(OR(A54="",B54=0),"",AVERAGEIFS(Alımlar!$M$10:$M$1009,Alımlar!$K$10:$K$1009,A54))</f>
        <v/>
      </c>
      <c r="H54" s="18">
        <f>IF(OR(E54="",E54=0),"",F54/E54-1)</f>
        <v/>
      </c>
      <c r="I54">
        <f>IF(A54="","",COUNTIFS(Alımlar!$K$10:$K$1009,A54,Alımlar!$Q$10:$Q$1009,"İNCELE"))</f>
        <v/>
      </c>
    </row>
    <row r="55">
      <c r="A55" s="12" t="n"/>
      <c r="B55">
        <f>IF(A55="","",COUNTIF(Alımlar!$K$10:$K$1009,A55))</f>
        <v/>
      </c>
      <c r="C55" s="21">
        <f>IF(A55="","",SUMIFS(Alımlar!$S$10:$S$1009,Alımlar!$K$10:$K$1009,A55))</f>
        <v/>
      </c>
      <c r="D55" s="16">
        <f>IF(A55="","",SUMIFS(Alımlar!$J$10:$J$1009,Alımlar!$K$10:$K$1009,A55))</f>
        <v/>
      </c>
      <c r="E55" s="16">
        <f>IF(OR(A55="",B55=0),"",_xlfn.MINIFS(Alımlar!$M$10:$M$1009,Alımlar!$K$10:$K$1009,A55))</f>
        <v/>
      </c>
      <c r="F55" s="16">
        <f>IF(OR(A55="",B55=0),"",_xlfn.MAXIFS(Alımlar!$M$10:$M$1009,Alımlar!$K$10:$K$1009,A55))</f>
        <v/>
      </c>
      <c r="G55" s="16">
        <f>IF(OR(A55="",B55=0),"",AVERAGEIFS(Alımlar!$M$10:$M$1009,Alımlar!$K$10:$K$1009,A55))</f>
        <v/>
      </c>
      <c r="H55" s="18">
        <f>IF(OR(E55="",E55=0),"",F55/E55-1)</f>
        <v/>
      </c>
      <c r="I55">
        <f>IF(A55="","",COUNTIFS(Alımlar!$K$10:$K$1009,A55,Alımlar!$Q$10:$Q$1009,"İNCELE"))</f>
        <v/>
      </c>
    </row>
    <row r="56">
      <c r="A56" s="12" t="n"/>
      <c r="B56">
        <f>IF(A56="","",COUNTIF(Alımlar!$K$10:$K$1009,A56))</f>
        <v/>
      </c>
      <c r="C56" s="21">
        <f>IF(A56="","",SUMIFS(Alımlar!$S$10:$S$1009,Alımlar!$K$10:$K$1009,A56))</f>
        <v/>
      </c>
      <c r="D56" s="16">
        <f>IF(A56="","",SUMIFS(Alımlar!$J$10:$J$1009,Alımlar!$K$10:$K$1009,A56))</f>
        <v/>
      </c>
      <c r="E56" s="16">
        <f>IF(OR(A56="",B56=0),"",_xlfn.MINIFS(Alımlar!$M$10:$M$1009,Alımlar!$K$10:$K$1009,A56))</f>
        <v/>
      </c>
      <c r="F56" s="16">
        <f>IF(OR(A56="",B56=0),"",_xlfn.MAXIFS(Alımlar!$M$10:$M$1009,Alımlar!$K$10:$K$1009,A56))</f>
        <v/>
      </c>
      <c r="G56" s="16">
        <f>IF(OR(A56="",B56=0),"",AVERAGEIFS(Alımlar!$M$10:$M$1009,Alımlar!$K$10:$K$1009,A56))</f>
        <v/>
      </c>
      <c r="H56" s="18">
        <f>IF(OR(E56="",E56=0),"",F56/E56-1)</f>
        <v/>
      </c>
      <c r="I56">
        <f>IF(A56="","",COUNTIFS(Alımlar!$K$10:$K$1009,A56,Alımlar!$Q$10:$Q$1009,"İNCELE"))</f>
        <v/>
      </c>
    </row>
    <row r="57">
      <c r="A57" s="12" t="n"/>
      <c r="B57">
        <f>IF(A57="","",COUNTIF(Alımlar!$K$10:$K$1009,A57))</f>
        <v/>
      </c>
      <c r="C57" s="21">
        <f>IF(A57="","",SUMIFS(Alımlar!$S$10:$S$1009,Alımlar!$K$10:$K$1009,A57))</f>
        <v/>
      </c>
      <c r="D57" s="16">
        <f>IF(A57="","",SUMIFS(Alımlar!$J$10:$J$1009,Alımlar!$K$10:$K$1009,A57))</f>
        <v/>
      </c>
      <c r="E57" s="16">
        <f>IF(OR(A57="",B57=0),"",_xlfn.MINIFS(Alımlar!$M$10:$M$1009,Alımlar!$K$10:$K$1009,A57))</f>
        <v/>
      </c>
      <c r="F57" s="16">
        <f>IF(OR(A57="",B57=0),"",_xlfn.MAXIFS(Alımlar!$M$10:$M$1009,Alımlar!$K$10:$K$1009,A57))</f>
        <v/>
      </c>
      <c r="G57" s="16">
        <f>IF(OR(A57="",B57=0),"",AVERAGEIFS(Alımlar!$M$10:$M$1009,Alımlar!$K$10:$K$1009,A57))</f>
        <v/>
      </c>
      <c r="H57" s="18">
        <f>IF(OR(E57="",E57=0),"",F57/E57-1)</f>
        <v/>
      </c>
      <c r="I57">
        <f>IF(A57="","",COUNTIFS(Alımlar!$K$10:$K$1009,A57,Alımlar!$Q$10:$Q$1009,"İNCELE"))</f>
        <v/>
      </c>
    </row>
    <row r="58">
      <c r="A58" s="12" t="n"/>
      <c r="B58">
        <f>IF(A58="","",COUNTIF(Alımlar!$K$10:$K$1009,A58))</f>
        <v/>
      </c>
      <c r="C58" s="21">
        <f>IF(A58="","",SUMIFS(Alımlar!$S$10:$S$1009,Alımlar!$K$10:$K$1009,A58))</f>
        <v/>
      </c>
      <c r="D58" s="16">
        <f>IF(A58="","",SUMIFS(Alımlar!$J$10:$J$1009,Alımlar!$K$10:$K$1009,A58))</f>
        <v/>
      </c>
      <c r="E58" s="16">
        <f>IF(OR(A58="",B58=0),"",_xlfn.MINIFS(Alımlar!$M$10:$M$1009,Alımlar!$K$10:$K$1009,A58))</f>
        <v/>
      </c>
      <c r="F58" s="16">
        <f>IF(OR(A58="",B58=0),"",_xlfn.MAXIFS(Alımlar!$M$10:$M$1009,Alımlar!$K$10:$K$1009,A58))</f>
        <v/>
      </c>
      <c r="G58" s="16">
        <f>IF(OR(A58="",B58=0),"",AVERAGEIFS(Alımlar!$M$10:$M$1009,Alımlar!$K$10:$K$1009,A58))</f>
        <v/>
      </c>
      <c r="H58" s="18">
        <f>IF(OR(E58="",E58=0),"",F58/E58-1)</f>
        <v/>
      </c>
      <c r="I58">
        <f>IF(A58="","",COUNTIFS(Alımlar!$K$10:$K$1009,A58,Alımlar!$Q$10:$Q$1009,"İNCELE"))</f>
        <v/>
      </c>
    </row>
    <row r="59">
      <c r="A59" s="12" t="n"/>
      <c r="B59">
        <f>IF(A59="","",COUNTIF(Alımlar!$K$10:$K$1009,A59))</f>
        <v/>
      </c>
      <c r="C59" s="21">
        <f>IF(A59="","",SUMIFS(Alımlar!$S$10:$S$1009,Alımlar!$K$10:$K$1009,A59))</f>
        <v/>
      </c>
      <c r="D59" s="16">
        <f>IF(A59="","",SUMIFS(Alımlar!$J$10:$J$1009,Alımlar!$K$10:$K$1009,A59))</f>
        <v/>
      </c>
      <c r="E59" s="16">
        <f>IF(OR(A59="",B59=0),"",_xlfn.MINIFS(Alımlar!$M$10:$M$1009,Alımlar!$K$10:$K$1009,A59))</f>
        <v/>
      </c>
      <c r="F59" s="16">
        <f>IF(OR(A59="",B59=0),"",_xlfn.MAXIFS(Alımlar!$M$10:$M$1009,Alımlar!$K$10:$K$1009,A59))</f>
        <v/>
      </c>
      <c r="G59" s="16">
        <f>IF(OR(A59="",B59=0),"",AVERAGEIFS(Alımlar!$M$10:$M$1009,Alımlar!$K$10:$K$1009,A59))</f>
        <v/>
      </c>
      <c r="H59" s="18">
        <f>IF(OR(E59="",E59=0),"",F59/E59-1)</f>
        <v/>
      </c>
      <c r="I59">
        <f>IF(A59="","",COUNTIFS(Alımlar!$K$10:$K$1009,A59,Alımlar!$Q$10:$Q$1009,"İNCELE"))</f>
        <v/>
      </c>
    </row>
    <row r="60">
      <c r="A60" s="12" t="n"/>
      <c r="B60">
        <f>IF(A60="","",COUNTIF(Alımlar!$K$10:$K$1009,A60))</f>
        <v/>
      </c>
      <c r="C60" s="21">
        <f>IF(A60="","",SUMIFS(Alımlar!$S$10:$S$1009,Alımlar!$K$10:$K$1009,A60))</f>
        <v/>
      </c>
      <c r="D60" s="16">
        <f>IF(A60="","",SUMIFS(Alımlar!$J$10:$J$1009,Alımlar!$K$10:$K$1009,A60))</f>
        <v/>
      </c>
      <c r="E60" s="16">
        <f>IF(OR(A60="",B60=0),"",_xlfn.MINIFS(Alımlar!$M$10:$M$1009,Alımlar!$K$10:$K$1009,A60))</f>
        <v/>
      </c>
      <c r="F60" s="16">
        <f>IF(OR(A60="",B60=0),"",_xlfn.MAXIFS(Alımlar!$M$10:$M$1009,Alımlar!$K$10:$K$1009,A60))</f>
        <v/>
      </c>
      <c r="G60" s="16">
        <f>IF(OR(A60="",B60=0),"",AVERAGEIFS(Alımlar!$M$10:$M$1009,Alımlar!$K$10:$K$1009,A60))</f>
        <v/>
      </c>
      <c r="H60" s="18">
        <f>IF(OR(E60="",E60=0),"",F60/E60-1)</f>
        <v/>
      </c>
      <c r="I60">
        <f>IF(A60="","",COUNTIFS(Alımlar!$K$10:$K$1009,A60,Alımlar!$Q$10:$Q$1009,"İNCELE"))</f>
        <v/>
      </c>
    </row>
    <row r="61">
      <c r="A61" s="12" t="n"/>
      <c r="B61">
        <f>IF(A61="","",COUNTIF(Alımlar!$K$10:$K$1009,A61))</f>
        <v/>
      </c>
      <c r="C61" s="21">
        <f>IF(A61="","",SUMIFS(Alımlar!$S$10:$S$1009,Alımlar!$K$10:$K$1009,A61))</f>
        <v/>
      </c>
      <c r="D61" s="16">
        <f>IF(A61="","",SUMIFS(Alımlar!$J$10:$J$1009,Alımlar!$K$10:$K$1009,A61))</f>
        <v/>
      </c>
      <c r="E61" s="16">
        <f>IF(OR(A61="",B61=0),"",_xlfn.MINIFS(Alımlar!$M$10:$M$1009,Alımlar!$K$10:$K$1009,A61))</f>
        <v/>
      </c>
      <c r="F61" s="16">
        <f>IF(OR(A61="",B61=0),"",_xlfn.MAXIFS(Alımlar!$M$10:$M$1009,Alımlar!$K$10:$K$1009,A61))</f>
        <v/>
      </c>
      <c r="G61" s="16">
        <f>IF(OR(A61="",B61=0),"",AVERAGEIFS(Alımlar!$M$10:$M$1009,Alımlar!$K$10:$K$1009,A61))</f>
        <v/>
      </c>
      <c r="H61" s="18">
        <f>IF(OR(E61="",E61=0),"",F61/E61-1)</f>
        <v/>
      </c>
      <c r="I61">
        <f>IF(A61="","",COUNTIFS(Alımlar!$K$10:$K$1009,A61,Alımlar!$Q$10:$Q$1009,"İNCELE"))</f>
        <v/>
      </c>
    </row>
    <row r="62">
      <c r="A62" s="12" t="n"/>
      <c r="B62">
        <f>IF(A62="","",COUNTIF(Alımlar!$K$10:$K$1009,A62))</f>
        <v/>
      </c>
      <c r="C62" s="21">
        <f>IF(A62="","",SUMIFS(Alımlar!$S$10:$S$1009,Alımlar!$K$10:$K$1009,A62))</f>
        <v/>
      </c>
      <c r="D62" s="16">
        <f>IF(A62="","",SUMIFS(Alımlar!$J$10:$J$1009,Alımlar!$K$10:$K$1009,A62))</f>
        <v/>
      </c>
      <c r="E62" s="16">
        <f>IF(OR(A62="",B62=0),"",_xlfn.MINIFS(Alımlar!$M$10:$M$1009,Alımlar!$K$10:$K$1009,A62))</f>
        <v/>
      </c>
      <c r="F62" s="16">
        <f>IF(OR(A62="",B62=0),"",_xlfn.MAXIFS(Alımlar!$M$10:$M$1009,Alımlar!$K$10:$K$1009,A62))</f>
        <v/>
      </c>
      <c r="G62" s="16">
        <f>IF(OR(A62="",B62=0),"",AVERAGEIFS(Alımlar!$M$10:$M$1009,Alımlar!$K$10:$K$1009,A62))</f>
        <v/>
      </c>
      <c r="H62" s="18">
        <f>IF(OR(E62="",E62=0),"",F62/E62-1)</f>
        <v/>
      </c>
      <c r="I62">
        <f>IF(A62="","",COUNTIFS(Alımlar!$K$10:$K$1009,A62,Alımlar!$Q$10:$Q$1009,"İNCELE"))</f>
        <v/>
      </c>
    </row>
    <row r="63">
      <c r="A63" s="12" t="n"/>
      <c r="B63">
        <f>IF(A63="","",COUNTIF(Alımlar!$K$10:$K$1009,A63))</f>
        <v/>
      </c>
      <c r="C63" s="21">
        <f>IF(A63="","",SUMIFS(Alımlar!$S$10:$S$1009,Alımlar!$K$10:$K$1009,A63))</f>
        <v/>
      </c>
      <c r="D63" s="16">
        <f>IF(A63="","",SUMIFS(Alımlar!$J$10:$J$1009,Alımlar!$K$10:$K$1009,A63))</f>
        <v/>
      </c>
      <c r="E63" s="16">
        <f>IF(OR(A63="",B63=0),"",_xlfn.MINIFS(Alımlar!$M$10:$M$1009,Alımlar!$K$10:$K$1009,A63))</f>
        <v/>
      </c>
      <c r="F63" s="16">
        <f>IF(OR(A63="",B63=0),"",_xlfn.MAXIFS(Alımlar!$M$10:$M$1009,Alımlar!$K$10:$K$1009,A63))</f>
        <v/>
      </c>
      <c r="G63" s="16">
        <f>IF(OR(A63="",B63=0),"",AVERAGEIFS(Alımlar!$M$10:$M$1009,Alımlar!$K$10:$K$1009,A63))</f>
        <v/>
      </c>
      <c r="H63" s="18">
        <f>IF(OR(E63="",E63=0),"",F63/E63-1)</f>
        <v/>
      </c>
      <c r="I63">
        <f>IF(A63="","",COUNTIFS(Alımlar!$K$10:$K$1009,A63,Alımlar!$Q$10:$Q$1009,"İNCELE"))</f>
        <v/>
      </c>
    </row>
    <row r="64">
      <c r="A64" s="12" t="n"/>
      <c r="B64">
        <f>IF(A64="","",COUNTIF(Alımlar!$K$10:$K$1009,A64))</f>
        <v/>
      </c>
      <c r="C64" s="21">
        <f>IF(A64="","",SUMIFS(Alımlar!$S$10:$S$1009,Alımlar!$K$10:$K$1009,A64))</f>
        <v/>
      </c>
      <c r="D64" s="16">
        <f>IF(A64="","",SUMIFS(Alımlar!$J$10:$J$1009,Alımlar!$K$10:$K$1009,A64))</f>
        <v/>
      </c>
      <c r="E64" s="16">
        <f>IF(OR(A64="",B64=0),"",_xlfn.MINIFS(Alımlar!$M$10:$M$1009,Alımlar!$K$10:$K$1009,A64))</f>
        <v/>
      </c>
      <c r="F64" s="16">
        <f>IF(OR(A64="",B64=0),"",_xlfn.MAXIFS(Alımlar!$M$10:$M$1009,Alımlar!$K$10:$K$1009,A64))</f>
        <v/>
      </c>
      <c r="G64" s="16">
        <f>IF(OR(A64="",B64=0),"",AVERAGEIFS(Alımlar!$M$10:$M$1009,Alımlar!$K$10:$K$1009,A64))</f>
        <v/>
      </c>
      <c r="H64" s="18">
        <f>IF(OR(E64="",E64=0),"",F64/E64-1)</f>
        <v/>
      </c>
      <c r="I64">
        <f>IF(A64="","",COUNTIFS(Alımlar!$K$10:$K$1009,A64,Alımlar!$Q$10:$Q$1009,"İNCELE"))</f>
        <v/>
      </c>
    </row>
    <row r="65">
      <c r="A65" s="12" t="n"/>
      <c r="B65">
        <f>IF(A65="","",COUNTIF(Alımlar!$K$10:$K$1009,A65))</f>
        <v/>
      </c>
      <c r="C65" s="21">
        <f>IF(A65="","",SUMIFS(Alımlar!$S$10:$S$1009,Alımlar!$K$10:$K$1009,A65))</f>
        <v/>
      </c>
      <c r="D65" s="16">
        <f>IF(A65="","",SUMIFS(Alımlar!$J$10:$J$1009,Alımlar!$K$10:$K$1009,A65))</f>
        <v/>
      </c>
      <c r="E65" s="16">
        <f>IF(OR(A65="",B65=0),"",_xlfn.MINIFS(Alımlar!$M$10:$M$1009,Alımlar!$K$10:$K$1009,A65))</f>
        <v/>
      </c>
      <c r="F65" s="16">
        <f>IF(OR(A65="",B65=0),"",_xlfn.MAXIFS(Alımlar!$M$10:$M$1009,Alımlar!$K$10:$K$1009,A65))</f>
        <v/>
      </c>
      <c r="G65" s="16">
        <f>IF(OR(A65="",B65=0),"",AVERAGEIFS(Alımlar!$M$10:$M$1009,Alımlar!$K$10:$K$1009,A65))</f>
        <v/>
      </c>
      <c r="H65" s="18">
        <f>IF(OR(E65="",E65=0),"",F65/E65-1)</f>
        <v/>
      </c>
      <c r="I65">
        <f>IF(A65="","",COUNTIFS(Alımlar!$K$10:$K$1009,A65,Alımlar!$Q$10:$Q$1009,"İNCELE"))</f>
        <v/>
      </c>
    </row>
    <row r="66">
      <c r="A66" s="12" t="n"/>
      <c r="B66">
        <f>IF(A66="","",COUNTIF(Alımlar!$K$10:$K$1009,A66))</f>
        <v/>
      </c>
      <c r="C66" s="21">
        <f>IF(A66="","",SUMIFS(Alımlar!$S$10:$S$1009,Alımlar!$K$10:$K$1009,A66))</f>
        <v/>
      </c>
      <c r="D66" s="16">
        <f>IF(A66="","",SUMIFS(Alımlar!$J$10:$J$1009,Alımlar!$K$10:$K$1009,A66))</f>
        <v/>
      </c>
      <c r="E66" s="16">
        <f>IF(OR(A66="",B66=0),"",_xlfn.MINIFS(Alımlar!$M$10:$M$1009,Alımlar!$K$10:$K$1009,A66))</f>
        <v/>
      </c>
      <c r="F66" s="16">
        <f>IF(OR(A66="",B66=0),"",_xlfn.MAXIFS(Alımlar!$M$10:$M$1009,Alımlar!$K$10:$K$1009,A66))</f>
        <v/>
      </c>
      <c r="G66" s="16">
        <f>IF(OR(A66="",B66=0),"",AVERAGEIFS(Alımlar!$M$10:$M$1009,Alımlar!$K$10:$K$1009,A66))</f>
        <v/>
      </c>
      <c r="H66" s="18">
        <f>IF(OR(E66="",E66=0),"",F66/E66-1)</f>
        <v/>
      </c>
      <c r="I66">
        <f>IF(A66="","",COUNTIFS(Alımlar!$K$10:$K$1009,A66,Alımlar!$Q$10:$Q$1009,"İNCELE"))</f>
        <v/>
      </c>
    </row>
    <row r="67">
      <c r="A67" s="12" t="n"/>
      <c r="B67">
        <f>IF(A67="","",COUNTIF(Alımlar!$K$10:$K$1009,A67))</f>
        <v/>
      </c>
      <c r="C67" s="21">
        <f>IF(A67="","",SUMIFS(Alımlar!$S$10:$S$1009,Alımlar!$K$10:$K$1009,A67))</f>
        <v/>
      </c>
      <c r="D67" s="16">
        <f>IF(A67="","",SUMIFS(Alımlar!$J$10:$J$1009,Alımlar!$K$10:$K$1009,A67))</f>
        <v/>
      </c>
      <c r="E67" s="16">
        <f>IF(OR(A67="",B67=0),"",_xlfn.MINIFS(Alımlar!$M$10:$M$1009,Alımlar!$K$10:$K$1009,A67))</f>
        <v/>
      </c>
      <c r="F67" s="16">
        <f>IF(OR(A67="",B67=0),"",_xlfn.MAXIFS(Alımlar!$M$10:$M$1009,Alımlar!$K$10:$K$1009,A67))</f>
        <v/>
      </c>
      <c r="G67" s="16">
        <f>IF(OR(A67="",B67=0),"",AVERAGEIFS(Alımlar!$M$10:$M$1009,Alımlar!$K$10:$K$1009,A67))</f>
        <v/>
      </c>
      <c r="H67" s="18">
        <f>IF(OR(E67="",E67=0),"",F67/E67-1)</f>
        <v/>
      </c>
      <c r="I67">
        <f>IF(A67="","",COUNTIFS(Alımlar!$K$10:$K$1009,A67,Alımlar!$Q$10:$Q$1009,"İNCELE"))</f>
        <v/>
      </c>
    </row>
    <row r="68">
      <c r="A68" s="12" t="n"/>
      <c r="B68">
        <f>IF(A68="","",COUNTIF(Alımlar!$K$10:$K$1009,A68))</f>
        <v/>
      </c>
      <c r="C68" s="21">
        <f>IF(A68="","",SUMIFS(Alımlar!$S$10:$S$1009,Alımlar!$K$10:$K$1009,A68))</f>
        <v/>
      </c>
      <c r="D68" s="16">
        <f>IF(A68="","",SUMIFS(Alımlar!$J$10:$J$1009,Alımlar!$K$10:$K$1009,A68))</f>
        <v/>
      </c>
      <c r="E68" s="16">
        <f>IF(OR(A68="",B68=0),"",_xlfn.MINIFS(Alımlar!$M$10:$M$1009,Alımlar!$K$10:$K$1009,A68))</f>
        <v/>
      </c>
      <c r="F68" s="16">
        <f>IF(OR(A68="",B68=0),"",_xlfn.MAXIFS(Alımlar!$M$10:$M$1009,Alımlar!$K$10:$K$1009,A68))</f>
        <v/>
      </c>
      <c r="G68" s="16">
        <f>IF(OR(A68="",B68=0),"",AVERAGEIFS(Alımlar!$M$10:$M$1009,Alımlar!$K$10:$K$1009,A68))</f>
        <v/>
      </c>
      <c r="H68" s="18">
        <f>IF(OR(E68="",E68=0),"",F68/E68-1)</f>
        <v/>
      </c>
      <c r="I68">
        <f>IF(A68="","",COUNTIFS(Alımlar!$K$10:$K$1009,A68,Alımlar!$Q$10:$Q$1009,"İNCELE"))</f>
        <v/>
      </c>
    </row>
    <row r="69">
      <c r="A69" s="12" t="n"/>
      <c r="B69">
        <f>IF(A69="","",COUNTIF(Alımlar!$K$10:$K$1009,A69))</f>
        <v/>
      </c>
      <c r="C69" s="21">
        <f>IF(A69="","",SUMIFS(Alımlar!$S$10:$S$1009,Alımlar!$K$10:$K$1009,A69))</f>
        <v/>
      </c>
      <c r="D69" s="16">
        <f>IF(A69="","",SUMIFS(Alımlar!$J$10:$J$1009,Alımlar!$K$10:$K$1009,A69))</f>
        <v/>
      </c>
      <c r="E69" s="16">
        <f>IF(OR(A69="",B69=0),"",_xlfn.MINIFS(Alımlar!$M$10:$M$1009,Alımlar!$K$10:$K$1009,A69))</f>
        <v/>
      </c>
      <c r="F69" s="16">
        <f>IF(OR(A69="",B69=0),"",_xlfn.MAXIFS(Alımlar!$M$10:$M$1009,Alımlar!$K$10:$K$1009,A69))</f>
        <v/>
      </c>
      <c r="G69" s="16">
        <f>IF(OR(A69="",B69=0),"",AVERAGEIFS(Alımlar!$M$10:$M$1009,Alımlar!$K$10:$K$1009,A69))</f>
        <v/>
      </c>
      <c r="H69" s="18">
        <f>IF(OR(E69="",E69=0),"",F69/E69-1)</f>
        <v/>
      </c>
      <c r="I69">
        <f>IF(A69="","",COUNTIFS(Alımlar!$K$10:$K$1009,A69,Alımlar!$Q$10:$Q$1009,"İNCELE"))</f>
        <v/>
      </c>
    </row>
    <row r="70">
      <c r="A70" s="12" t="n"/>
      <c r="B70">
        <f>IF(A70="","",COUNTIF(Alımlar!$K$10:$K$1009,A70))</f>
        <v/>
      </c>
      <c r="C70" s="21">
        <f>IF(A70="","",SUMIFS(Alımlar!$S$10:$S$1009,Alımlar!$K$10:$K$1009,A70))</f>
        <v/>
      </c>
      <c r="D70" s="16">
        <f>IF(A70="","",SUMIFS(Alımlar!$J$10:$J$1009,Alımlar!$K$10:$K$1009,A70))</f>
        <v/>
      </c>
      <c r="E70" s="16">
        <f>IF(OR(A70="",B70=0),"",_xlfn.MINIFS(Alımlar!$M$10:$M$1009,Alımlar!$K$10:$K$1009,A70))</f>
        <v/>
      </c>
      <c r="F70" s="16">
        <f>IF(OR(A70="",B70=0),"",_xlfn.MAXIFS(Alımlar!$M$10:$M$1009,Alımlar!$K$10:$K$1009,A70))</f>
        <v/>
      </c>
      <c r="G70" s="16">
        <f>IF(OR(A70="",B70=0),"",AVERAGEIFS(Alımlar!$M$10:$M$1009,Alımlar!$K$10:$K$1009,A70))</f>
        <v/>
      </c>
      <c r="H70" s="18">
        <f>IF(OR(E70="",E70=0),"",F70/E70-1)</f>
        <v/>
      </c>
      <c r="I70">
        <f>IF(A70="","",COUNTIFS(Alımlar!$K$10:$K$1009,A70,Alımlar!$Q$10:$Q$1009,"İNCELE"))</f>
        <v/>
      </c>
    </row>
    <row r="71">
      <c r="A71" s="12" t="n"/>
      <c r="B71">
        <f>IF(A71="","",COUNTIF(Alımlar!$K$10:$K$1009,A71))</f>
        <v/>
      </c>
      <c r="C71" s="21">
        <f>IF(A71="","",SUMIFS(Alımlar!$S$10:$S$1009,Alımlar!$K$10:$K$1009,A71))</f>
        <v/>
      </c>
      <c r="D71" s="16">
        <f>IF(A71="","",SUMIFS(Alımlar!$J$10:$J$1009,Alımlar!$K$10:$K$1009,A71))</f>
        <v/>
      </c>
      <c r="E71" s="16">
        <f>IF(OR(A71="",B71=0),"",_xlfn.MINIFS(Alımlar!$M$10:$M$1009,Alımlar!$K$10:$K$1009,A71))</f>
        <v/>
      </c>
      <c r="F71" s="16">
        <f>IF(OR(A71="",B71=0),"",_xlfn.MAXIFS(Alımlar!$M$10:$M$1009,Alımlar!$K$10:$K$1009,A71))</f>
        <v/>
      </c>
      <c r="G71" s="16">
        <f>IF(OR(A71="",B71=0),"",AVERAGEIFS(Alımlar!$M$10:$M$1009,Alımlar!$K$10:$K$1009,A71))</f>
        <v/>
      </c>
      <c r="H71" s="18">
        <f>IF(OR(E71="",E71=0),"",F71/E71-1)</f>
        <v/>
      </c>
      <c r="I71">
        <f>IF(A71="","",COUNTIFS(Alımlar!$K$10:$K$1009,A71,Alımlar!$Q$10:$Q$1009,"İNCELE"))</f>
        <v/>
      </c>
    </row>
    <row r="72">
      <c r="A72" s="12" t="n"/>
      <c r="B72">
        <f>IF(A72="","",COUNTIF(Alımlar!$K$10:$K$1009,A72))</f>
        <v/>
      </c>
      <c r="C72" s="21">
        <f>IF(A72="","",SUMIFS(Alımlar!$S$10:$S$1009,Alımlar!$K$10:$K$1009,A72))</f>
        <v/>
      </c>
      <c r="D72" s="16">
        <f>IF(A72="","",SUMIFS(Alımlar!$J$10:$J$1009,Alımlar!$K$10:$K$1009,A72))</f>
        <v/>
      </c>
      <c r="E72" s="16">
        <f>IF(OR(A72="",B72=0),"",_xlfn.MINIFS(Alımlar!$M$10:$M$1009,Alımlar!$K$10:$K$1009,A72))</f>
        <v/>
      </c>
      <c r="F72" s="16">
        <f>IF(OR(A72="",B72=0),"",_xlfn.MAXIFS(Alımlar!$M$10:$M$1009,Alımlar!$K$10:$K$1009,A72))</f>
        <v/>
      </c>
      <c r="G72" s="16">
        <f>IF(OR(A72="",B72=0),"",AVERAGEIFS(Alımlar!$M$10:$M$1009,Alımlar!$K$10:$K$1009,A72))</f>
        <v/>
      </c>
      <c r="H72" s="18">
        <f>IF(OR(E72="",E72=0),"",F72/E72-1)</f>
        <v/>
      </c>
      <c r="I72">
        <f>IF(A72="","",COUNTIFS(Alımlar!$K$10:$K$1009,A72,Alımlar!$Q$10:$Q$1009,"İNCELE"))</f>
        <v/>
      </c>
    </row>
    <row r="73">
      <c r="A73" s="12" t="n"/>
      <c r="B73">
        <f>IF(A73="","",COUNTIF(Alımlar!$K$10:$K$1009,A73))</f>
        <v/>
      </c>
      <c r="C73" s="21">
        <f>IF(A73="","",SUMIFS(Alımlar!$S$10:$S$1009,Alımlar!$K$10:$K$1009,A73))</f>
        <v/>
      </c>
      <c r="D73" s="16">
        <f>IF(A73="","",SUMIFS(Alımlar!$J$10:$J$1009,Alımlar!$K$10:$K$1009,A73))</f>
        <v/>
      </c>
      <c r="E73" s="16">
        <f>IF(OR(A73="",B73=0),"",_xlfn.MINIFS(Alımlar!$M$10:$M$1009,Alımlar!$K$10:$K$1009,A73))</f>
        <v/>
      </c>
      <c r="F73" s="16">
        <f>IF(OR(A73="",B73=0),"",_xlfn.MAXIFS(Alımlar!$M$10:$M$1009,Alımlar!$K$10:$K$1009,A73))</f>
        <v/>
      </c>
      <c r="G73" s="16">
        <f>IF(OR(A73="",B73=0),"",AVERAGEIFS(Alımlar!$M$10:$M$1009,Alımlar!$K$10:$K$1009,A73))</f>
        <v/>
      </c>
      <c r="H73" s="18">
        <f>IF(OR(E73="",E73=0),"",F73/E73-1)</f>
        <v/>
      </c>
      <c r="I73">
        <f>IF(A73="","",COUNTIFS(Alımlar!$K$10:$K$1009,A73,Alımlar!$Q$10:$Q$1009,"İNCELE"))</f>
        <v/>
      </c>
    </row>
    <row r="74">
      <c r="A74" s="12" t="n"/>
      <c r="B74">
        <f>IF(A74="","",COUNTIF(Alımlar!$K$10:$K$1009,A74))</f>
        <v/>
      </c>
      <c r="C74" s="21">
        <f>IF(A74="","",SUMIFS(Alımlar!$S$10:$S$1009,Alımlar!$K$10:$K$1009,A74))</f>
        <v/>
      </c>
      <c r="D74" s="16">
        <f>IF(A74="","",SUMIFS(Alımlar!$J$10:$J$1009,Alımlar!$K$10:$K$1009,A74))</f>
        <v/>
      </c>
      <c r="E74" s="16">
        <f>IF(OR(A74="",B74=0),"",_xlfn.MINIFS(Alımlar!$M$10:$M$1009,Alımlar!$K$10:$K$1009,A74))</f>
        <v/>
      </c>
      <c r="F74" s="16">
        <f>IF(OR(A74="",B74=0),"",_xlfn.MAXIFS(Alımlar!$M$10:$M$1009,Alımlar!$K$10:$K$1009,A74))</f>
        <v/>
      </c>
      <c r="G74" s="16">
        <f>IF(OR(A74="",B74=0),"",AVERAGEIFS(Alımlar!$M$10:$M$1009,Alımlar!$K$10:$K$1009,A74))</f>
        <v/>
      </c>
      <c r="H74" s="18">
        <f>IF(OR(E74="",E74=0),"",F74/E74-1)</f>
        <v/>
      </c>
      <c r="I74">
        <f>IF(A74="","",COUNTIFS(Alımlar!$K$10:$K$1009,A74,Alımlar!$Q$10:$Q$1009,"İNCELE"))</f>
        <v/>
      </c>
    </row>
    <row r="75">
      <c r="A75" s="12" t="n"/>
      <c r="B75">
        <f>IF(A75="","",COUNTIF(Alımlar!$K$10:$K$1009,A75))</f>
        <v/>
      </c>
      <c r="C75" s="21">
        <f>IF(A75="","",SUMIFS(Alımlar!$S$10:$S$1009,Alımlar!$K$10:$K$1009,A75))</f>
        <v/>
      </c>
      <c r="D75" s="16">
        <f>IF(A75="","",SUMIFS(Alımlar!$J$10:$J$1009,Alımlar!$K$10:$K$1009,A75))</f>
        <v/>
      </c>
      <c r="E75" s="16">
        <f>IF(OR(A75="",B75=0),"",_xlfn.MINIFS(Alımlar!$M$10:$M$1009,Alımlar!$K$10:$K$1009,A75))</f>
        <v/>
      </c>
      <c r="F75" s="16">
        <f>IF(OR(A75="",B75=0),"",_xlfn.MAXIFS(Alımlar!$M$10:$M$1009,Alımlar!$K$10:$K$1009,A75))</f>
        <v/>
      </c>
      <c r="G75" s="16">
        <f>IF(OR(A75="",B75=0),"",AVERAGEIFS(Alımlar!$M$10:$M$1009,Alımlar!$K$10:$K$1009,A75))</f>
        <v/>
      </c>
      <c r="H75" s="18">
        <f>IF(OR(E75="",E75=0),"",F75/E75-1)</f>
        <v/>
      </c>
      <c r="I75">
        <f>IF(A75="","",COUNTIFS(Alımlar!$K$10:$K$1009,A75,Alımlar!$Q$10:$Q$1009,"İNCELE"))</f>
        <v/>
      </c>
    </row>
    <row r="76">
      <c r="A76" s="12" t="n"/>
      <c r="B76">
        <f>IF(A76="","",COUNTIF(Alımlar!$K$10:$K$1009,A76))</f>
        <v/>
      </c>
      <c r="C76" s="21">
        <f>IF(A76="","",SUMIFS(Alımlar!$S$10:$S$1009,Alımlar!$K$10:$K$1009,A76))</f>
        <v/>
      </c>
      <c r="D76" s="16">
        <f>IF(A76="","",SUMIFS(Alımlar!$J$10:$J$1009,Alımlar!$K$10:$K$1009,A76))</f>
        <v/>
      </c>
      <c r="E76" s="16">
        <f>IF(OR(A76="",B76=0),"",_xlfn.MINIFS(Alımlar!$M$10:$M$1009,Alımlar!$K$10:$K$1009,A76))</f>
        <v/>
      </c>
      <c r="F76" s="16">
        <f>IF(OR(A76="",B76=0),"",_xlfn.MAXIFS(Alımlar!$M$10:$M$1009,Alımlar!$K$10:$K$1009,A76))</f>
        <v/>
      </c>
      <c r="G76" s="16">
        <f>IF(OR(A76="",B76=0),"",AVERAGEIFS(Alımlar!$M$10:$M$1009,Alımlar!$K$10:$K$1009,A76))</f>
        <v/>
      </c>
      <c r="H76" s="18">
        <f>IF(OR(E76="",E76=0),"",F76/E76-1)</f>
        <v/>
      </c>
      <c r="I76">
        <f>IF(A76="","",COUNTIFS(Alımlar!$K$10:$K$1009,A76,Alımlar!$Q$10:$Q$1009,"İNCELE"))</f>
        <v/>
      </c>
    </row>
    <row r="77">
      <c r="A77" s="12" t="n"/>
      <c r="B77">
        <f>IF(A77="","",COUNTIF(Alımlar!$K$10:$K$1009,A77))</f>
        <v/>
      </c>
      <c r="C77" s="21">
        <f>IF(A77="","",SUMIFS(Alımlar!$S$10:$S$1009,Alımlar!$K$10:$K$1009,A77))</f>
        <v/>
      </c>
      <c r="D77" s="16">
        <f>IF(A77="","",SUMIFS(Alımlar!$J$10:$J$1009,Alımlar!$K$10:$K$1009,A77))</f>
        <v/>
      </c>
      <c r="E77" s="16">
        <f>IF(OR(A77="",B77=0),"",_xlfn.MINIFS(Alımlar!$M$10:$M$1009,Alımlar!$K$10:$K$1009,A77))</f>
        <v/>
      </c>
      <c r="F77" s="16">
        <f>IF(OR(A77="",B77=0),"",_xlfn.MAXIFS(Alımlar!$M$10:$M$1009,Alımlar!$K$10:$K$1009,A77))</f>
        <v/>
      </c>
      <c r="G77" s="16">
        <f>IF(OR(A77="",B77=0),"",AVERAGEIFS(Alımlar!$M$10:$M$1009,Alımlar!$K$10:$K$1009,A77))</f>
        <v/>
      </c>
      <c r="H77" s="18">
        <f>IF(OR(E77="",E77=0),"",F77/E77-1)</f>
        <v/>
      </c>
      <c r="I77">
        <f>IF(A77="","",COUNTIFS(Alımlar!$K$10:$K$1009,A77,Alımlar!$Q$10:$Q$1009,"İNCELE"))</f>
        <v/>
      </c>
    </row>
    <row r="78">
      <c r="A78" s="12" t="n"/>
      <c r="B78">
        <f>IF(A78="","",COUNTIF(Alımlar!$K$10:$K$1009,A78))</f>
        <v/>
      </c>
      <c r="C78" s="21">
        <f>IF(A78="","",SUMIFS(Alımlar!$S$10:$S$1009,Alımlar!$K$10:$K$1009,A78))</f>
        <v/>
      </c>
      <c r="D78" s="16">
        <f>IF(A78="","",SUMIFS(Alımlar!$J$10:$J$1009,Alımlar!$K$10:$K$1009,A78))</f>
        <v/>
      </c>
      <c r="E78" s="16">
        <f>IF(OR(A78="",B78=0),"",_xlfn.MINIFS(Alımlar!$M$10:$M$1009,Alımlar!$K$10:$K$1009,A78))</f>
        <v/>
      </c>
      <c r="F78" s="16">
        <f>IF(OR(A78="",B78=0),"",_xlfn.MAXIFS(Alımlar!$M$10:$M$1009,Alımlar!$K$10:$K$1009,A78))</f>
        <v/>
      </c>
      <c r="G78" s="16">
        <f>IF(OR(A78="",B78=0),"",AVERAGEIFS(Alımlar!$M$10:$M$1009,Alımlar!$K$10:$K$1009,A78))</f>
        <v/>
      </c>
      <c r="H78" s="18">
        <f>IF(OR(E78="",E78=0),"",F78/E78-1)</f>
        <v/>
      </c>
      <c r="I78">
        <f>IF(A78="","",COUNTIFS(Alımlar!$K$10:$K$1009,A78,Alımlar!$Q$10:$Q$1009,"İNCELE"))</f>
        <v/>
      </c>
    </row>
    <row r="79">
      <c r="A79" s="12" t="n"/>
      <c r="B79">
        <f>IF(A79="","",COUNTIF(Alımlar!$K$10:$K$1009,A79))</f>
        <v/>
      </c>
      <c r="C79" s="21">
        <f>IF(A79="","",SUMIFS(Alımlar!$S$10:$S$1009,Alımlar!$K$10:$K$1009,A79))</f>
        <v/>
      </c>
      <c r="D79" s="16">
        <f>IF(A79="","",SUMIFS(Alımlar!$J$10:$J$1009,Alımlar!$K$10:$K$1009,A79))</f>
        <v/>
      </c>
      <c r="E79" s="16">
        <f>IF(OR(A79="",B79=0),"",_xlfn.MINIFS(Alımlar!$M$10:$M$1009,Alımlar!$K$10:$K$1009,A79))</f>
        <v/>
      </c>
      <c r="F79" s="16">
        <f>IF(OR(A79="",B79=0),"",_xlfn.MAXIFS(Alımlar!$M$10:$M$1009,Alımlar!$K$10:$K$1009,A79))</f>
        <v/>
      </c>
      <c r="G79" s="16">
        <f>IF(OR(A79="",B79=0),"",AVERAGEIFS(Alımlar!$M$10:$M$1009,Alımlar!$K$10:$K$1009,A79))</f>
        <v/>
      </c>
      <c r="H79" s="18">
        <f>IF(OR(E79="",E79=0),"",F79/E79-1)</f>
        <v/>
      </c>
      <c r="I79">
        <f>IF(A79="","",COUNTIFS(Alımlar!$K$10:$K$1009,A79,Alımlar!$Q$10:$Q$1009,"İNCELE"))</f>
        <v/>
      </c>
    </row>
    <row r="80">
      <c r="A80" s="12" t="n"/>
      <c r="B80">
        <f>IF(A80="","",COUNTIF(Alımlar!$K$10:$K$1009,A80))</f>
        <v/>
      </c>
      <c r="C80" s="21">
        <f>IF(A80="","",SUMIFS(Alımlar!$S$10:$S$1009,Alımlar!$K$10:$K$1009,A80))</f>
        <v/>
      </c>
      <c r="D80" s="16">
        <f>IF(A80="","",SUMIFS(Alımlar!$J$10:$J$1009,Alımlar!$K$10:$K$1009,A80))</f>
        <v/>
      </c>
      <c r="E80" s="16">
        <f>IF(OR(A80="",B80=0),"",_xlfn.MINIFS(Alımlar!$M$10:$M$1009,Alımlar!$K$10:$K$1009,A80))</f>
        <v/>
      </c>
      <c r="F80" s="16">
        <f>IF(OR(A80="",B80=0),"",_xlfn.MAXIFS(Alımlar!$M$10:$M$1009,Alımlar!$K$10:$K$1009,A80))</f>
        <v/>
      </c>
      <c r="G80" s="16">
        <f>IF(OR(A80="",B80=0),"",AVERAGEIFS(Alımlar!$M$10:$M$1009,Alımlar!$K$10:$K$1009,A80))</f>
        <v/>
      </c>
      <c r="H80" s="18">
        <f>IF(OR(E80="",E80=0),"",F80/E80-1)</f>
        <v/>
      </c>
      <c r="I80">
        <f>IF(A80="","",COUNTIFS(Alımlar!$K$10:$K$1009,A80,Alımlar!$Q$10:$Q$1009,"İNCELE"))</f>
        <v/>
      </c>
    </row>
    <row r="81">
      <c r="A81" s="12" t="n"/>
      <c r="B81">
        <f>IF(A81="","",COUNTIF(Alımlar!$K$10:$K$1009,A81))</f>
        <v/>
      </c>
      <c r="C81" s="21">
        <f>IF(A81="","",SUMIFS(Alımlar!$S$10:$S$1009,Alımlar!$K$10:$K$1009,A81))</f>
        <v/>
      </c>
      <c r="D81" s="16">
        <f>IF(A81="","",SUMIFS(Alımlar!$J$10:$J$1009,Alımlar!$K$10:$K$1009,A81))</f>
        <v/>
      </c>
      <c r="E81" s="16">
        <f>IF(OR(A81="",B81=0),"",_xlfn.MINIFS(Alımlar!$M$10:$M$1009,Alımlar!$K$10:$K$1009,A81))</f>
        <v/>
      </c>
      <c r="F81" s="16">
        <f>IF(OR(A81="",B81=0),"",_xlfn.MAXIFS(Alımlar!$M$10:$M$1009,Alımlar!$K$10:$K$1009,A81))</f>
        <v/>
      </c>
      <c r="G81" s="16">
        <f>IF(OR(A81="",B81=0),"",AVERAGEIFS(Alımlar!$M$10:$M$1009,Alımlar!$K$10:$K$1009,A81))</f>
        <v/>
      </c>
      <c r="H81" s="18">
        <f>IF(OR(E81="",E81=0),"",F81/E81-1)</f>
        <v/>
      </c>
      <c r="I81">
        <f>IF(A81="","",COUNTIFS(Alımlar!$K$10:$K$1009,A81,Alımlar!$Q$10:$Q$1009,"İNCELE"))</f>
        <v/>
      </c>
    </row>
    <row r="82">
      <c r="A82" s="12" t="n"/>
      <c r="B82">
        <f>IF(A82="","",COUNTIF(Alımlar!$K$10:$K$1009,A82))</f>
        <v/>
      </c>
      <c r="C82" s="21">
        <f>IF(A82="","",SUMIFS(Alımlar!$S$10:$S$1009,Alımlar!$K$10:$K$1009,A82))</f>
        <v/>
      </c>
      <c r="D82" s="16">
        <f>IF(A82="","",SUMIFS(Alımlar!$J$10:$J$1009,Alımlar!$K$10:$K$1009,A82))</f>
        <v/>
      </c>
      <c r="E82" s="16">
        <f>IF(OR(A82="",B82=0),"",_xlfn.MINIFS(Alımlar!$M$10:$M$1009,Alımlar!$K$10:$K$1009,A82))</f>
        <v/>
      </c>
      <c r="F82" s="16">
        <f>IF(OR(A82="",B82=0),"",_xlfn.MAXIFS(Alımlar!$M$10:$M$1009,Alımlar!$K$10:$K$1009,A82))</f>
        <v/>
      </c>
      <c r="G82" s="16">
        <f>IF(OR(A82="",B82=0),"",AVERAGEIFS(Alımlar!$M$10:$M$1009,Alımlar!$K$10:$K$1009,A82))</f>
        <v/>
      </c>
      <c r="H82" s="18">
        <f>IF(OR(E82="",E82=0),"",F82/E82-1)</f>
        <v/>
      </c>
      <c r="I82">
        <f>IF(A82="","",COUNTIFS(Alımlar!$K$10:$K$1009,A82,Alımlar!$Q$10:$Q$1009,"İNCELE"))</f>
        <v/>
      </c>
    </row>
    <row r="83">
      <c r="A83" s="12" t="n"/>
      <c r="B83">
        <f>IF(A83="","",COUNTIF(Alımlar!$K$10:$K$1009,A83))</f>
        <v/>
      </c>
      <c r="C83" s="21">
        <f>IF(A83="","",SUMIFS(Alımlar!$S$10:$S$1009,Alımlar!$K$10:$K$1009,A83))</f>
        <v/>
      </c>
      <c r="D83" s="16">
        <f>IF(A83="","",SUMIFS(Alımlar!$J$10:$J$1009,Alımlar!$K$10:$K$1009,A83))</f>
        <v/>
      </c>
      <c r="E83" s="16">
        <f>IF(OR(A83="",B83=0),"",_xlfn.MINIFS(Alımlar!$M$10:$M$1009,Alımlar!$K$10:$K$1009,A83))</f>
        <v/>
      </c>
      <c r="F83" s="16">
        <f>IF(OR(A83="",B83=0),"",_xlfn.MAXIFS(Alımlar!$M$10:$M$1009,Alımlar!$K$10:$K$1009,A83))</f>
        <v/>
      </c>
      <c r="G83" s="16">
        <f>IF(OR(A83="",B83=0),"",AVERAGEIFS(Alımlar!$M$10:$M$1009,Alımlar!$K$10:$K$1009,A83))</f>
        <v/>
      </c>
      <c r="H83" s="18">
        <f>IF(OR(E83="",E83=0),"",F83/E83-1)</f>
        <v/>
      </c>
      <c r="I83">
        <f>IF(A83="","",COUNTIFS(Alımlar!$K$10:$K$1009,A83,Alımlar!$Q$10:$Q$1009,"İNCELE"))</f>
        <v/>
      </c>
    </row>
    <row r="84">
      <c r="A84" s="12" t="n"/>
      <c r="B84">
        <f>IF(A84="","",COUNTIF(Alımlar!$K$10:$K$1009,A84))</f>
        <v/>
      </c>
      <c r="C84" s="21">
        <f>IF(A84="","",SUMIFS(Alımlar!$S$10:$S$1009,Alımlar!$K$10:$K$1009,A84))</f>
        <v/>
      </c>
      <c r="D84" s="16">
        <f>IF(A84="","",SUMIFS(Alımlar!$J$10:$J$1009,Alımlar!$K$10:$K$1009,A84))</f>
        <v/>
      </c>
      <c r="E84" s="16">
        <f>IF(OR(A84="",B84=0),"",_xlfn.MINIFS(Alımlar!$M$10:$M$1009,Alımlar!$K$10:$K$1009,A84))</f>
        <v/>
      </c>
      <c r="F84" s="16">
        <f>IF(OR(A84="",B84=0),"",_xlfn.MAXIFS(Alımlar!$M$10:$M$1009,Alımlar!$K$10:$K$1009,A84))</f>
        <v/>
      </c>
      <c r="G84" s="16">
        <f>IF(OR(A84="",B84=0),"",AVERAGEIFS(Alımlar!$M$10:$M$1009,Alımlar!$K$10:$K$1009,A84))</f>
        <v/>
      </c>
      <c r="H84" s="18">
        <f>IF(OR(E84="",E84=0),"",F84/E84-1)</f>
        <v/>
      </c>
      <c r="I84">
        <f>IF(A84="","",COUNTIFS(Alımlar!$K$10:$K$1009,A84,Alımlar!$Q$10:$Q$1009,"İNCELE"))</f>
        <v/>
      </c>
    </row>
    <row r="85">
      <c r="A85" s="12" t="n"/>
      <c r="B85">
        <f>IF(A85="","",COUNTIF(Alımlar!$K$10:$K$1009,A85))</f>
        <v/>
      </c>
      <c r="C85" s="21">
        <f>IF(A85="","",SUMIFS(Alımlar!$S$10:$S$1009,Alımlar!$K$10:$K$1009,A85))</f>
        <v/>
      </c>
      <c r="D85" s="16">
        <f>IF(A85="","",SUMIFS(Alımlar!$J$10:$J$1009,Alımlar!$K$10:$K$1009,A85))</f>
        <v/>
      </c>
      <c r="E85" s="16">
        <f>IF(OR(A85="",B85=0),"",_xlfn.MINIFS(Alımlar!$M$10:$M$1009,Alımlar!$K$10:$K$1009,A85))</f>
        <v/>
      </c>
      <c r="F85" s="16">
        <f>IF(OR(A85="",B85=0),"",_xlfn.MAXIFS(Alımlar!$M$10:$M$1009,Alımlar!$K$10:$K$1009,A85))</f>
        <v/>
      </c>
      <c r="G85" s="16">
        <f>IF(OR(A85="",B85=0),"",AVERAGEIFS(Alımlar!$M$10:$M$1009,Alımlar!$K$10:$K$1009,A85))</f>
        <v/>
      </c>
      <c r="H85" s="18">
        <f>IF(OR(E85="",E85=0),"",F85/E85-1)</f>
        <v/>
      </c>
      <c r="I85">
        <f>IF(A85="","",COUNTIFS(Alımlar!$K$10:$K$1009,A85,Alımlar!$Q$10:$Q$1009,"İNCELE"))</f>
        <v/>
      </c>
    </row>
    <row r="86">
      <c r="A86" s="12" t="n"/>
      <c r="B86">
        <f>IF(A86="","",COUNTIF(Alımlar!$K$10:$K$1009,A86))</f>
        <v/>
      </c>
      <c r="C86" s="21">
        <f>IF(A86="","",SUMIFS(Alımlar!$S$10:$S$1009,Alımlar!$K$10:$K$1009,A86))</f>
        <v/>
      </c>
      <c r="D86" s="16">
        <f>IF(A86="","",SUMIFS(Alımlar!$J$10:$J$1009,Alımlar!$K$10:$K$1009,A86))</f>
        <v/>
      </c>
      <c r="E86" s="16">
        <f>IF(OR(A86="",B86=0),"",_xlfn.MINIFS(Alımlar!$M$10:$M$1009,Alımlar!$K$10:$K$1009,A86))</f>
        <v/>
      </c>
      <c r="F86" s="16">
        <f>IF(OR(A86="",B86=0),"",_xlfn.MAXIFS(Alımlar!$M$10:$M$1009,Alımlar!$K$10:$K$1009,A86))</f>
        <v/>
      </c>
      <c r="G86" s="16">
        <f>IF(OR(A86="",B86=0),"",AVERAGEIFS(Alımlar!$M$10:$M$1009,Alımlar!$K$10:$K$1009,A86))</f>
        <v/>
      </c>
      <c r="H86" s="18">
        <f>IF(OR(E86="",E86=0),"",F86/E86-1)</f>
        <v/>
      </c>
      <c r="I86">
        <f>IF(A86="","",COUNTIFS(Alımlar!$K$10:$K$1009,A86,Alımlar!$Q$10:$Q$1009,"İNCELE"))</f>
        <v/>
      </c>
    </row>
    <row r="87">
      <c r="A87" s="12" t="n"/>
      <c r="B87">
        <f>IF(A87="","",COUNTIF(Alımlar!$K$10:$K$1009,A87))</f>
        <v/>
      </c>
      <c r="C87" s="21">
        <f>IF(A87="","",SUMIFS(Alımlar!$S$10:$S$1009,Alımlar!$K$10:$K$1009,A87))</f>
        <v/>
      </c>
      <c r="D87" s="16">
        <f>IF(A87="","",SUMIFS(Alımlar!$J$10:$J$1009,Alımlar!$K$10:$K$1009,A87))</f>
        <v/>
      </c>
      <c r="E87" s="16">
        <f>IF(OR(A87="",B87=0),"",_xlfn.MINIFS(Alımlar!$M$10:$M$1009,Alımlar!$K$10:$K$1009,A87))</f>
        <v/>
      </c>
      <c r="F87" s="16">
        <f>IF(OR(A87="",B87=0),"",_xlfn.MAXIFS(Alımlar!$M$10:$M$1009,Alımlar!$K$10:$K$1009,A87))</f>
        <v/>
      </c>
      <c r="G87" s="16">
        <f>IF(OR(A87="",B87=0),"",AVERAGEIFS(Alımlar!$M$10:$M$1009,Alımlar!$K$10:$K$1009,A87))</f>
        <v/>
      </c>
      <c r="H87" s="18">
        <f>IF(OR(E87="",E87=0),"",F87/E87-1)</f>
        <v/>
      </c>
      <c r="I87">
        <f>IF(A87="","",COUNTIFS(Alımlar!$K$10:$K$1009,A87,Alımlar!$Q$10:$Q$1009,"İNCELE"))</f>
        <v/>
      </c>
    </row>
    <row r="88">
      <c r="A88" s="12" t="n"/>
      <c r="B88">
        <f>IF(A88="","",COUNTIF(Alımlar!$K$10:$K$1009,A88))</f>
        <v/>
      </c>
      <c r="C88" s="21">
        <f>IF(A88="","",SUMIFS(Alımlar!$S$10:$S$1009,Alımlar!$K$10:$K$1009,A88))</f>
        <v/>
      </c>
      <c r="D88" s="16">
        <f>IF(A88="","",SUMIFS(Alımlar!$J$10:$J$1009,Alımlar!$K$10:$K$1009,A88))</f>
        <v/>
      </c>
      <c r="E88" s="16">
        <f>IF(OR(A88="",B88=0),"",_xlfn.MINIFS(Alımlar!$M$10:$M$1009,Alımlar!$K$10:$K$1009,A88))</f>
        <v/>
      </c>
      <c r="F88" s="16">
        <f>IF(OR(A88="",B88=0),"",_xlfn.MAXIFS(Alımlar!$M$10:$M$1009,Alımlar!$K$10:$K$1009,A88))</f>
        <v/>
      </c>
      <c r="G88" s="16">
        <f>IF(OR(A88="",B88=0),"",AVERAGEIFS(Alımlar!$M$10:$M$1009,Alımlar!$K$10:$K$1009,A88))</f>
        <v/>
      </c>
      <c r="H88" s="18">
        <f>IF(OR(E88="",E88=0),"",F88/E88-1)</f>
        <v/>
      </c>
      <c r="I88">
        <f>IF(A88="","",COUNTIFS(Alımlar!$K$10:$K$1009,A88,Alımlar!$Q$10:$Q$1009,"İNCELE"))</f>
        <v/>
      </c>
    </row>
    <row r="89">
      <c r="A89" s="12" t="n"/>
      <c r="B89">
        <f>IF(A89="","",COUNTIF(Alımlar!$K$10:$K$1009,A89))</f>
        <v/>
      </c>
      <c r="C89" s="21">
        <f>IF(A89="","",SUMIFS(Alımlar!$S$10:$S$1009,Alımlar!$K$10:$K$1009,A89))</f>
        <v/>
      </c>
      <c r="D89" s="16">
        <f>IF(A89="","",SUMIFS(Alımlar!$J$10:$J$1009,Alımlar!$K$10:$K$1009,A89))</f>
        <v/>
      </c>
      <c r="E89" s="16">
        <f>IF(OR(A89="",B89=0),"",_xlfn.MINIFS(Alımlar!$M$10:$M$1009,Alımlar!$K$10:$K$1009,A89))</f>
        <v/>
      </c>
      <c r="F89" s="16">
        <f>IF(OR(A89="",B89=0),"",_xlfn.MAXIFS(Alımlar!$M$10:$M$1009,Alımlar!$K$10:$K$1009,A89))</f>
        <v/>
      </c>
      <c r="G89" s="16">
        <f>IF(OR(A89="",B89=0),"",AVERAGEIFS(Alımlar!$M$10:$M$1009,Alımlar!$K$10:$K$1009,A89))</f>
        <v/>
      </c>
      <c r="H89" s="18">
        <f>IF(OR(E89="",E89=0),"",F89/E89-1)</f>
        <v/>
      </c>
      <c r="I89">
        <f>IF(A89="","",COUNTIFS(Alımlar!$K$10:$K$1009,A89,Alımlar!$Q$10:$Q$1009,"İNCELE"))</f>
        <v/>
      </c>
    </row>
    <row r="90">
      <c r="A90" s="12" t="n"/>
      <c r="B90">
        <f>IF(A90="","",COUNTIF(Alımlar!$K$10:$K$1009,A90))</f>
        <v/>
      </c>
      <c r="C90" s="21">
        <f>IF(A90="","",SUMIFS(Alımlar!$S$10:$S$1009,Alımlar!$K$10:$K$1009,A90))</f>
        <v/>
      </c>
      <c r="D90" s="16">
        <f>IF(A90="","",SUMIFS(Alımlar!$J$10:$J$1009,Alımlar!$K$10:$K$1009,A90))</f>
        <v/>
      </c>
      <c r="E90" s="16">
        <f>IF(OR(A90="",B90=0),"",_xlfn.MINIFS(Alımlar!$M$10:$M$1009,Alımlar!$K$10:$K$1009,A90))</f>
        <v/>
      </c>
      <c r="F90" s="16">
        <f>IF(OR(A90="",B90=0),"",_xlfn.MAXIFS(Alımlar!$M$10:$M$1009,Alımlar!$K$10:$K$1009,A90))</f>
        <v/>
      </c>
      <c r="G90" s="16">
        <f>IF(OR(A90="",B90=0),"",AVERAGEIFS(Alımlar!$M$10:$M$1009,Alımlar!$K$10:$K$1009,A90))</f>
        <v/>
      </c>
      <c r="H90" s="18">
        <f>IF(OR(E90="",E90=0),"",F90/E90-1)</f>
        <v/>
      </c>
      <c r="I90">
        <f>IF(A90="","",COUNTIFS(Alımlar!$K$10:$K$1009,A90,Alımlar!$Q$10:$Q$1009,"İNCELE"))</f>
        <v/>
      </c>
    </row>
    <row r="91">
      <c r="A91" s="12" t="n"/>
      <c r="B91">
        <f>IF(A91="","",COUNTIF(Alımlar!$K$10:$K$1009,A91))</f>
        <v/>
      </c>
      <c r="C91" s="21">
        <f>IF(A91="","",SUMIFS(Alımlar!$S$10:$S$1009,Alımlar!$K$10:$K$1009,A91))</f>
        <v/>
      </c>
      <c r="D91" s="16">
        <f>IF(A91="","",SUMIFS(Alımlar!$J$10:$J$1009,Alımlar!$K$10:$K$1009,A91))</f>
        <v/>
      </c>
      <c r="E91" s="16">
        <f>IF(OR(A91="",B91=0),"",_xlfn.MINIFS(Alımlar!$M$10:$M$1009,Alımlar!$K$10:$K$1009,A91))</f>
        <v/>
      </c>
      <c r="F91" s="16">
        <f>IF(OR(A91="",B91=0),"",_xlfn.MAXIFS(Alımlar!$M$10:$M$1009,Alımlar!$K$10:$K$1009,A91))</f>
        <v/>
      </c>
      <c r="G91" s="16">
        <f>IF(OR(A91="",B91=0),"",AVERAGEIFS(Alımlar!$M$10:$M$1009,Alımlar!$K$10:$K$1009,A91))</f>
        <v/>
      </c>
      <c r="H91" s="18">
        <f>IF(OR(E91="",E91=0),"",F91/E91-1)</f>
        <v/>
      </c>
      <c r="I91">
        <f>IF(A91="","",COUNTIFS(Alımlar!$K$10:$K$1009,A91,Alımlar!$Q$10:$Q$1009,"İNCELE"))</f>
        <v/>
      </c>
    </row>
    <row r="92">
      <c r="A92" s="12" t="n"/>
      <c r="B92">
        <f>IF(A92="","",COUNTIF(Alımlar!$K$10:$K$1009,A92))</f>
        <v/>
      </c>
      <c r="C92" s="21">
        <f>IF(A92="","",SUMIFS(Alımlar!$S$10:$S$1009,Alımlar!$K$10:$K$1009,A92))</f>
        <v/>
      </c>
      <c r="D92" s="16">
        <f>IF(A92="","",SUMIFS(Alımlar!$J$10:$J$1009,Alımlar!$K$10:$K$1009,A92))</f>
        <v/>
      </c>
      <c r="E92" s="16">
        <f>IF(OR(A92="",B92=0),"",_xlfn.MINIFS(Alımlar!$M$10:$M$1009,Alımlar!$K$10:$K$1009,A92))</f>
        <v/>
      </c>
      <c r="F92" s="16">
        <f>IF(OR(A92="",B92=0),"",_xlfn.MAXIFS(Alımlar!$M$10:$M$1009,Alımlar!$K$10:$K$1009,A92))</f>
        <v/>
      </c>
      <c r="G92" s="16">
        <f>IF(OR(A92="",B92=0),"",AVERAGEIFS(Alımlar!$M$10:$M$1009,Alımlar!$K$10:$K$1009,A92))</f>
        <v/>
      </c>
      <c r="H92" s="18">
        <f>IF(OR(E92="",E92=0),"",F92/E92-1)</f>
        <v/>
      </c>
      <c r="I92">
        <f>IF(A92="","",COUNTIFS(Alımlar!$K$10:$K$1009,A92,Alımlar!$Q$10:$Q$1009,"İNCELE"))</f>
        <v/>
      </c>
    </row>
    <row r="93">
      <c r="A93" s="12" t="n"/>
      <c r="B93">
        <f>IF(A93="","",COUNTIF(Alımlar!$K$10:$K$1009,A93))</f>
        <v/>
      </c>
      <c r="C93" s="21">
        <f>IF(A93="","",SUMIFS(Alımlar!$S$10:$S$1009,Alımlar!$K$10:$K$1009,A93))</f>
        <v/>
      </c>
      <c r="D93" s="16">
        <f>IF(A93="","",SUMIFS(Alımlar!$J$10:$J$1009,Alımlar!$K$10:$K$1009,A93))</f>
        <v/>
      </c>
      <c r="E93" s="16">
        <f>IF(OR(A93="",B93=0),"",_xlfn.MINIFS(Alımlar!$M$10:$M$1009,Alımlar!$K$10:$K$1009,A93))</f>
        <v/>
      </c>
      <c r="F93" s="16">
        <f>IF(OR(A93="",B93=0),"",_xlfn.MAXIFS(Alımlar!$M$10:$M$1009,Alımlar!$K$10:$K$1009,A93))</f>
        <v/>
      </c>
      <c r="G93" s="16">
        <f>IF(OR(A93="",B93=0),"",AVERAGEIFS(Alımlar!$M$10:$M$1009,Alımlar!$K$10:$K$1009,A93))</f>
        <v/>
      </c>
      <c r="H93" s="18">
        <f>IF(OR(E93="",E93=0),"",F93/E93-1)</f>
        <v/>
      </c>
      <c r="I93">
        <f>IF(A93="","",COUNTIFS(Alımlar!$K$10:$K$1009,A93,Alımlar!$Q$10:$Q$1009,"İNCELE"))</f>
        <v/>
      </c>
    </row>
    <row r="94">
      <c r="A94" s="12" t="n"/>
      <c r="B94">
        <f>IF(A94="","",COUNTIF(Alımlar!$K$10:$K$1009,A94))</f>
        <v/>
      </c>
      <c r="C94" s="21">
        <f>IF(A94="","",SUMIFS(Alımlar!$S$10:$S$1009,Alımlar!$K$10:$K$1009,A94))</f>
        <v/>
      </c>
      <c r="D94" s="16">
        <f>IF(A94="","",SUMIFS(Alımlar!$J$10:$J$1009,Alımlar!$K$10:$K$1009,A94))</f>
        <v/>
      </c>
      <c r="E94" s="16">
        <f>IF(OR(A94="",B94=0),"",_xlfn.MINIFS(Alımlar!$M$10:$M$1009,Alımlar!$K$10:$K$1009,A94))</f>
        <v/>
      </c>
      <c r="F94" s="16">
        <f>IF(OR(A94="",B94=0),"",_xlfn.MAXIFS(Alımlar!$M$10:$M$1009,Alımlar!$K$10:$K$1009,A94))</f>
        <v/>
      </c>
      <c r="G94" s="16">
        <f>IF(OR(A94="",B94=0),"",AVERAGEIFS(Alımlar!$M$10:$M$1009,Alımlar!$K$10:$K$1009,A94))</f>
        <v/>
      </c>
      <c r="H94" s="18">
        <f>IF(OR(E94="",E94=0),"",F94/E94-1)</f>
        <v/>
      </c>
      <c r="I94">
        <f>IF(A94="","",COUNTIFS(Alımlar!$K$10:$K$1009,A94,Alımlar!$Q$10:$Q$1009,"İNCELE"))</f>
        <v/>
      </c>
    </row>
    <row r="95">
      <c r="A95" s="12" t="n"/>
      <c r="B95">
        <f>IF(A95="","",COUNTIF(Alımlar!$K$10:$K$1009,A95))</f>
        <v/>
      </c>
      <c r="C95" s="21">
        <f>IF(A95="","",SUMIFS(Alımlar!$S$10:$S$1009,Alımlar!$K$10:$K$1009,A95))</f>
        <v/>
      </c>
      <c r="D95" s="16">
        <f>IF(A95="","",SUMIFS(Alımlar!$J$10:$J$1009,Alımlar!$K$10:$K$1009,A95))</f>
        <v/>
      </c>
      <c r="E95" s="16">
        <f>IF(OR(A95="",B95=0),"",_xlfn.MINIFS(Alımlar!$M$10:$M$1009,Alımlar!$K$10:$K$1009,A95))</f>
        <v/>
      </c>
      <c r="F95" s="16">
        <f>IF(OR(A95="",B95=0),"",_xlfn.MAXIFS(Alımlar!$M$10:$M$1009,Alımlar!$K$10:$K$1009,A95))</f>
        <v/>
      </c>
      <c r="G95" s="16">
        <f>IF(OR(A95="",B95=0),"",AVERAGEIFS(Alımlar!$M$10:$M$1009,Alımlar!$K$10:$K$1009,A95))</f>
        <v/>
      </c>
      <c r="H95" s="18">
        <f>IF(OR(E95="",E95=0),"",F95/E95-1)</f>
        <v/>
      </c>
      <c r="I95">
        <f>IF(A95="","",COUNTIFS(Alımlar!$K$10:$K$1009,A95,Alımlar!$Q$10:$Q$1009,"İNCELE"))</f>
        <v/>
      </c>
    </row>
    <row r="96">
      <c r="A96" s="12" t="n"/>
      <c r="B96">
        <f>IF(A96="","",COUNTIF(Alımlar!$K$10:$K$1009,A96))</f>
        <v/>
      </c>
      <c r="C96" s="21">
        <f>IF(A96="","",SUMIFS(Alımlar!$S$10:$S$1009,Alımlar!$K$10:$K$1009,A96))</f>
        <v/>
      </c>
      <c r="D96" s="16">
        <f>IF(A96="","",SUMIFS(Alımlar!$J$10:$J$1009,Alımlar!$K$10:$K$1009,A96))</f>
        <v/>
      </c>
      <c r="E96" s="16">
        <f>IF(OR(A96="",B96=0),"",_xlfn.MINIFS(Alımlar!$M$10:$M$1009,Alımlar!$K$10:$K$1009,A96))</f>
        <v/>
      </c>
      <c r="F96" s="16">
        <f>IF(OR(A96="",B96=0),"",_xlfn.MAXIFS(Alımlar!$M$10:$M$1009,Alımlar!$K$10:$K$1009,A96))</f>
        <v/>
      </c>
      <c r="G96" s="16">
        <f>IF(OR(A96="",B96=0),"",AVERAGEIFS(Alımlar!$M$10:$M$1009,Alımlar!$K$10:$K$1009,A96))</f>
        <v/>
      </c>
      <c r="H96" s="18">
        <f>IF(OR(E96="",E96=0),"",F96/E96-1)</f>
        <v/>
      </c>
      <c r="I96">
        <f>IF(A96="","",COUNTIFS(Alımlar!$K$10:$K$1009,A96,Alımlar!$Q$10:$Q$1009,"İNCELE"))</f>
        <v/>
      </c>
    </row>
    <row r="97">
      <c r="A97" s="12" t="n"/>
      <c r="B97">
        <f>IF(A97="","",COUNTIF(Alımlar!$K$10:$K$1009,A97))</f>
        <v/>
      </c>
      <c r="C97" s="21">
        <f>IF(A97="","",SUMIFS(Alımlar!$S$10:$S$1009,Alımlar!$K$10:$K$1009,A97))</f>
        <v/>
      </c>
      <c r="D97" s="16">
        <f>IF(A97="","",SUMIFS(Alımlar!$J$10:$J$1009,Alımlar!$K$10:$K$1009,A97))</f>
        <v/>
      </c>
      <c r="E97" s="16">
        <f>IF(OR(A97="",B97=0),"",_xlfn.MINIFS(Alımlar!$M$10:$M$1009,Alımlar!$K$10:$K$1009,A97))</f>
        <v/>
      </c>
      <c r="F97" s="16">
        <f>IF(OR(A97="",B97=0),"",_xlfn.MAXIFS(Alımlar!$M$10:$M$1009,Alımlar!$K$10:$K$1009,A97))</f>
        <v/>
      </c>
      <c r="G97" s="16">
        <f>IF(OR(A97="",B97=0),"",AVERAGEIFS(Alımlar!$M$10:$M$1009,Alımlar!$K$10:$K$1009,A97))</f>
        <v/>
      </c>
      <c r="H97" s="18">
        <f>IF(OR(E97="",E97=0),"",F97/E97-1)</f>
        <v/>
      </c>
      <c r="I97">
        <f>IF(A97="","",COUNTIFS(Alımlar!$K$10:$K$1009,A97,Alımlar!$Q$10:$Q$1009,"İNCELE"))</f>
        <v/>
      </c>
    </row>
    <row r="98">
      <c r="A98" s="12" t="n"/>
      <c r="B98">
        <f>IF(A98="","",COUNTIF(Alımlar!$K$10:$K$1009,A98))</f>
        <v/>
      </c>
      <c r="C98" s="21">
        <f>IF(A98="","",SUMIFS(Alımlar!$S$10:$S$1009,Alımlar!$K$10:$K$1009,A98))</f>
        <v/>
      </c>
      <c r="D98" s="16">
        <f>IF(A98="","",SUMIFS(Alımlar!$J$10:$J$1009,Alımlar!$K$10:$K$1009,A98))</f>
        <v/>
      </c>
      <c r="E98" s="16">
        <f>IF(OR(A98="",B98=0),"",_xlfn.MINIFS(Alımlar!$M$10:$M$1009,Alımlar!$K$10:$K$1009,A98))</f>
        <v/>
      </c>
      <c r="F98" s="16">
        <f>IF(OR(A98="",B98=0),"",_xlfn.MAXIFS(Alımlar!$M$10:$M$1009,Alımlar!$K$10:$K$1009,A98))</f>
        <v/>
      </c>
      <c r="G98" s="16">
        <f>IF(OR(A98="",B98=0),"",AVERAGEIFS(Alımlar!$M$10:$M$1009,Alımlar!$K$10:$K$1009,A98))</f>
        <v/>
      </c>
      <c r="H98" s="18">
        <f>IF(OR(E98="",E98=0),"",F98/E98-1)</f>
        <v/>
      </c>
      <c r="I98">
        <f>IF(A98="","",COUNTIFS(Alımlar!$K$10:$K$1009,A98,Alımlar!$Q$10:$Q$1009,"İNCELE"))</f>
        <v/>
      </c>
    </row>
    <row r="99">
      <c r="A99" s="12" t="n"/>
      <c r="B99">
        <f>IF(A99="","",COUNTIF(Alımlar!$K$10:$K$1009,A99))</f>
        <v/>
      </c>
      <c r="C99" s="21">
        <f>IF(A99="","",SUMIFS(Alımlar!$S$10:$S$1009,Alımlar!$K$10:$K$1009,A99))</f>
        <v/>
      </c>
      <c r="D99" s="16">
        <f>IF(A99="","",SUMIFS(Alımlar!$J$10:$J$1009,Alımlar!$K$10:$K$1009,A99))</f>
        <v/>
      </c>
      <c r="E99" s="16">
        <f>IF(OR(A99="",B99=0),"",_xlfn.MINIFS(Alımlar!$M$10:$M$1009,Alımlar!$K$10:$K$1009,A99))</f>
        <v/>
      </c>
      <c r="F99" s="16">
        <f>IF(OR(A99="",B99=0),"",_xlfn.MAXIFS(Alımlar!$M$10:$M$1009,Alımlar!$K$10:$K$1009,A99))</f>
        <v/>
      </c>
      <c r="G99" s="16">
        <f>IF(OR(A99="",B99=0),"",AVERAGEIFS(Alımlar!$M$10:$M$1009,Alımlar!$K$10:$K$1009,A99))</f>
        <v/>
      </c>
      <c r="H99" s="18">
        <f>IF(OR(E99="",E99=0),"",F99/E99-1)</f>
        <v/>
      </c>
      <c r="I99">
        <f>IF(A99="","",COUNTIFS(Alımlar!$K$10:$K$1009,A99,Alımlar!$Q$10:$Q$1009,"İNCELE"))</f>
        <v/>
      </c>
    </row>
    <row r="100">
      <c r="A100" s="12" t="n"/>
      <c r="B100">
        <f>IF(A100="","",COUNTIF(Alımlar!$K$10:$K$1009,A100))</f>
        <v/>
      </c>
      <c r="C100" s="21">
        <f>IF(A100="","",SUMIFS(Alımlar!$S$10:$S$1009,Alımlar!$K$10:$K$1009,A100))</f>
        <v/>
      </c>
      <c r="D100" s="16">
        <f>IF(A100="","",SUMIFS(Alımlar!$J$10:$J$1009,Alımlar!$K$10:$K$1009,A100))</f>
        <v/>
      </c>
      <c r="E100" s="16">
        <f>IF(OR(A100="",B100=0),"",_xlfn.MINIFS(Alımlar!$M$10:$M$1009,Alımlar!$K$10:$K$1009,A100))</f>
        <v/>
      </c>
      <c r="F100" s="16">
        <f>IF(OR(A100="",B100=0),"",_xlfn.MAXIFS(Alımlar!$M$10:$M$1009,Alımlar!$K$10:$K$1009,A100))</f>
        <v/>
      </c>
      <c r="G100" s="16">
        <f>IF(OR(A100="",B100=0),"",AVERAGEIFS(Alımlar!$M$10:$M$1009,Alımlar!$K$10:$K$1009,A100))</f>
        <v/>
      </c>
      <c r="H100" s="18">
        <f>IF(OR(E100="",E100=0),"",F100/E100-1)</f>
        <v/>
      </c>
      <c r="I100">
        <f>IF(A100="","",COUNTIFS(Alımlar!$K$10:$K$1009,A100,Alımlar!$Q$10:$Q$1009,"İNCELE"))</f>
        <v/>
      </c>
    </row>
    <row r="101">
      <c r="A101" s="12" t="n"/>
      <c r="B101">
        <f>IF(A101="","",COUNTIF(Alımlar!$K$10:$K$1009,A101))</f>
        <v/>
      </c>
      <c r="C101" s="21">
        <f>IF(A101="","",SUMIFS(Alımlar!$S$10:$S$1009,Alımlar!$K$10:$K$1009,A101))</f>
        <v/>
      </c>
      <c r="D101" s="16">
        <f>IF(A101="","",SUMIFS(Alımlar!$J$10:$J$1009,Alımlar!$K$10:$K$1009,A101))</f>
        <v/>
      </c>
      <c r="E101" s="16">
        <f>IF(OR(A101="",B101=0),"",_xlfn.MINIFS(Alımlar!$M$10:$M$1009,Alımlar!$K$10:$K$1009,A101))</f>
        <v/>
      </c>
      <c r="F101" s="16">
        <f>IF(OR(A101="",B101=0),"",_xlfn.MAXIFS(Alımlar!$M$10:$M$1009,Alımlar!$K$10:$K$1009,A101))</f>
        <v/>
      </c>
      <c r="G101" s="16">
        <f>IF(OR(A101="",B101=0),"",AVERAGEIFS(Alımlar!$M$10:$M$1009,Alımlar!$K$10:$K$1009,A101))</f>
        <v/>
      </c>
      <c r="H101" s="18">
        <f>IF(OR(E101="",E101=0),"",F101/E101-1)</f>
        <v/>
      </c>
      <c r="I101">
        <f>IF(A101="","",COUNTIFS(Alımlar!$K$10:$K$1009,A101,Alımlar!$Q$10:$Q$1009,"İNCELE"))</f>
        <v/>
      </c>
    </row>
    <row r="102">
      <c r="A102" s="12" t="n"/>
      <c r="B102">
        <f>IF(A102="","",COUNTIF(Alımlar!$K$10:$K$1009,A102))</f>
        <v/>
      </c>
      <c r="C102" s="21">
        <f>IF(A102="","",SUMIFS(Alımlar!$S$10:$S$1009,Alımlar!$K$10:$K$1009,A102))</f>
        <v/>
      </c>
      <c r="D102" s="16">
        <f>IF(A102="","",SUMIFS(Alımlar!$J$10:$J$1009,Alımlar!$K$10:$K$1009,A102))</f>
        <v/>
      </c>
      <c r="E102" s="16">
        <f>IF(OR(A102="",B102=0),"",_xlfn.MINIFS(Alımlar!$M$10:$M$1009,Alımlar!$K$10:$K$1009,A102))</f>
        <v/>
      </c>
      <c r="F102" s="16">
        <f>IF(OR(A102="",B102=0),"",_xlfn.MAXIFS(Alımlar!$M$10:$M$1009,Alımlar!$K$10:$K$1009,A102))</f>
        <v/>
      </c>
      <c r="G102" s="16">
        <f>IF(OR(A102="",B102=0),"",AVERAGEIFS(Alımlar!$M$10:$M$1009,Alımlar!$K$10:$K$1009,A102))</f>
        <v/>
      </c>
      <c r="H102" s="18">
        <f>IF(OR(E102="",E102=0),"",F102/E102-1)</f>
        <v/>
      </c>
      <c r="I102">
        <f>IF(A102="","",COUNTIFS(Alımlar!$K$10:$K$1009,A102,Alımlar!$Q$10:$Q$1009,"İNCELE"))</f>
        <v/>
      </c>
    </row>
    <row r="103">
      <c r="A103" s="12" t="n"/>
      <c r="B103">
        <f>IF(A103="","",COUNTIF(Alımlar!$K$10:$K$1009,A103))</f>
        <v/>
      </c>
      <c r="C103" s="21">
        <f>IF(A103="","",SUMIFS(Alımlar!$S$10:$S$1009,Alımlar!$K$10:$K$1009,A103))</f>
        <v/>
      </c>
      <c r="D103" s="16">
        <f>IF(A103="","",SUMIFS(Alımlar!$J$10:$J$1009,Alımlar!$K$10:$K$1009,A103))</f>
        <v/>
      </c>
      <c r="E103" s="16">
        <f>IF(OR(A103="",B103=0),"",_xlfn.MINIFS(Alımlar!$M$10:$M$1009,Alımlar!$K$10:$K$1009,A103))</f>
        <v/>
      </c>
      <c r="F103" s="16">
        <f>IF(OR(A103="",B103=0),"",_xlfn.MAXIFS(Alımlar!$M$10:$M$1009,Alımlar!$K$10:$K$1009,A103))</f>
        <v/>
      </c>
      <c r="G103" s="16">
        <f>IF(OR(A103="",B103=0),"",AVERAGEIFS(Alımlar!$M$10:$M$1009,Alımlar!$K$10:$K$1009,A103))</f>
        <v/>
      </c>
      <c r="H103" s="18">
        <f>IF(OR(E103="",E103=0),"",F103/E103-1)</f>
        <v/>
      </c>
      <c r="I103">
        <f>IF(A103="","",COUNTIFS(Alımlar!$K$10:$K$1009,A103,Alımlar!$Q$10:$Q$1009,"İNCELE"))</f>
        <v/>
      </c>
    </row>
    <row r="104">
      <c r="A104" s="12" t="n"/>
      <c r="B104">
        <f>IF(A104="","",COUNTIF(Alımlar!$K$10:$K$1009,A104))</f>
        <v/>
      </c>
      <c r="C104" s="21">
        <f>IF(A104="","",SUMIFS(Alımlar!$S$10:$S$1009,Alımlar!$K$10:$K$1009,A104))</f>
        <v/>
      </c>
      <c r="D104" s="16">
        <f>IF(A104="","",SUMIFS(Alımlar!$J$10:$J$1009,Alımlar!$K$10:$K$1009,A104))</f>
        <v/>
      </c>
      <c r="E104" s="16">
        <f>IF(OR(A104="",B104=0),"",_xlfn.MINIFS(Alımlar!$M$10:$M$1009,Alımlar!$K$10:$K$1009,A104))</f>
        <v/>
      </c>
      <c r="F104" s="16">
        <f>IF(OR(A104="",B104=0),"",_xlfn.MAXIFS(Alımlar!$M$10:$M$1009,Alımlar!$K$10:$K$1009,A104))</f>
        <v/>
      </c>
      <c r="G104" s="16">
        <f>IF(OR(A104="",B104=0),"",AVERAGEIFS(Alımlar!$M$10:$M$1009,Alımlar!$K$10:$K$1009,A104))</f>
        <v/>
      </c>
      <c r="H104" s="18">
        <f>IF(OR(E104="",E104=0),"",F104/E104-1)</f>
        <v/>
      </c>
      <c r="I104">
        <f>IF(A104="","",COUNTIFS(Alımlar!$K$10:$K$1009,A104,Alımlar!$Q$10:$Q$1009,"İNCELE"))</f>
        <v/>
      </c>
    </row>
    <row r="105">
      <c r="A105" s="12" t="n"/>
      <c r="B105">
        <f>IF(A105="","",COUNTIF(Alımlar!$K$10:$K$1009,A105))</f>
        <v/>
      </c>
      <c r="C105" s="21">
        <f>IF(A105="","",SUMIFS(Alımlar!$S$10:$S$1009,Alımlar!$K$10:$K$1009,A105))</f>
        <v/>
      </c>
      <c r="D105" s="16">
        <f>IF(A105="","",SUMIFS(Alımlar!$J$10:$J$1009,Alımlar!$K$10:$K$1009,A105))</f>
        <v/>
      </c>
      <c r="E105" s="16">
        <f>IF(OR(A105="",B105=0),"",_xlfn.MINIFS(Alımlar!$M$10:$M$1009,Alımlar!$K$10:$K$1009,A105))</f>
        <v/>
      </c>
      <c r="F105" s="16">
        <f>IF(OR(A105="",B105=0),"",_xlfn.MAXIFS(Alımlar!$M$10:$M$1009,Alımlar!$K$10:$K$1009,A105))</f>
        <v/>
      </c>
      <c r="G105" s="16">
        <f>IF(OR(A105="",B105=0),"",AVERAGEIFS(Alımlar!$M$10:$M$1009,Alımlar!$K$10:$K$1009,A105))</f>
        <v/>
      </c>
      <c r="H105" s="18">
        <f>IF(OR(E105="",E105=0),"",F105/E105-1)</f>
        <v/>
      </c>
      <c r="I105">
        <f>IF(A105="","",COUNTIFS(Alımlar!$K$10:$K$1009,A105,Alımlar!$Q$10:$Q$1009,"İNCELE"))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NİRENGİ DANIŞMANLIK</t>
        </is>
      </c>
      <c r="B1" s="2" t="inlineStr">
        <is>
          <t>emreceran.github.io/nirengi-danismanlik</t>
        </is>
      </c>
    </row>
    <row r="2">
      <c r="A2" s="3" t="inlineStr">
        <is>
          <t>Satın Alma Fiyat Takip Tablosu</t>
        </is>
      </c>
    </row>
    <row r="3">
      <c r="A3" s="4" t="inlineStr">
        <is>
          <t>Bu sayfa şablonun nasıl kullanılacağını anlatır.</t>
        </is>
      </c>
    </row>
    <row r="5">
      <c r="A5" s="22" t="inlineStr">
        <is>
          <t>■</t>
        </is>
      </c>
      <c r="B5" t="inlineStr">
        <is>
          <t>Sarı hücreler giriş hücreleridir; kendi rakamlarınızı buraya yazın. Beyaz hücreler formüldür, değiştirmeyin.</t>
        </is>
      </c>
    </row>
    <row r="7" ht="45" customHeight="1">
      <c r="A7" s="7" t="inlineStr">
        <is>
          <t>1.</t>
        </is>
      </c>
      <c r="B7" s="23" t="inlineStr">
        <is>
          <t>Alımlar sayfasına alış faturalarının kalemlerini girin: tarih, tedarikçi, fatura no, faturadaki ürün adı, miktar, birim, birim fiyat ve varsa iskonto. Muhasebe programınızdan alış faturası kalem listesini Excel'e alıp yapıştırabilirsiniz.</t>
        </is>
      </c>
    </row>
    <row r="8" ht="45" customHeight="1">
      <c r="A8" s="7" t="inlineStr">
        <is>
          <t>2.</t>
        </is>
      </c>
      <c r="B8" s="23" t="inlineStr">
        <is>
          <t>Ürün Eşleştirme sayfasında, farklı tedarikçilerin farklı yazdığı aynı ürünü tek bir standart ada bağlayın. Birimler farklıysa çevrim katsayısını yazın (örneğin 15 kg'lık makara = 15 KG, 6 metrelik boy profil = boyun kg ağırlığı).</t>
        </is>
      </c>
    </row>
    <row r="9" ht="45" customHeight="1">
      <c r="A9" s="7" t="inlineStr">
        <is>
          <t>3.</t>
        </is>
      </c>
      <c r="B9" s="23" t="inlineStr">
        <is>
          <t>Standart birim fiyat, her alımın standart birime çevrilmiş fiyatıdır. Önceki ortalama, aynı ürünün karşılaştırma penceresi (varsayılan 90 gün) içindeki önceki alımlarının ortalamasıdır; enflasyon ortamında yıllık ortalamadan daha doğru bir karşılaştırma verir.</t>
        </is>
      </c>
    </row>
    <row r="10" ht="30" customHeight="1">
      <c r="A10" s="7" t="inlineStr">
        <is>
          <t>4.</t>
        </is>
      </c>
      <c r="B10" s="23" t="inlineStr">
        <is>
          <t>Fark %, sapma eşiğini (varsayılan %10) aşarsa 'İNCELE' yazar ve olası fazla ödeme hesaplanır. Aynı tedarikçi, fatura no, ürün ve miktarla iki kez girilmiş kalemler 'MÜKERRER?' olarak işaretlenir.</t>
        </is>
      </c>
    </row>
    <row r="11" ht="30" customHeight="1">
      <c r="A11" s="7" t="inlineStr">
        <is>
          <t>5.</t>
        </is>
      </c>
      <c r="B11" s="23" t="inlineStr">
        <is>
          <t>Dönemin en düşüğü sütunu, aynı pencerede aynı ürüne herhangi bir tedarikçiye ödenen en düşük fiyatı gösterir; tedarikçi pazarlığında kullanın.</t>
        </is>
      </c>
    </row>
    <row r="12" ht="30" customHeight="1">
      <c r="A12" s="7" t="inlineStr">
        <is>
          <t>6.</t>
        </is>
      </c>
      <c r="B12" s="23" t="inlineStr">
        <is>
          <t>Ürün Özeti sayfasına standart ürün adlarını yazarak her ürünün fiyat aralığını ve incelenecek alım sayısını görebilirsiniz.</t>
        </is>
      </c>
    </row>
    <row r="13" ht="30" customHeight="1">
      <c r="A13" s="7" t="inlineStr">
        <is>
          <t>7.</t>
        </is>
      </c>
      <c r="B13" s="23" t="inlineStr">
        <is>
          <t>Çok sayıda faturayı hızlıca incelemek için sitemizdeki ücretsiz Fatura Fiyat Kontrolü aracına e-fatura XML dosyalarınızı da yükleyebilirsiniz.</t>
        </is>
      </c>
    </row>
    <row r="15">
      <c r="B15" s="24" t="inlineStr">
        <is>
          <t>Örnek veriler yalnızca şablonun nasıl çalıştığını göstermek içindir; silip kendi verinizi girebilirsiniz.</t>
        </is>
      </c>
    </row>
    <row r="17">
      <c r="B17" s="5" t="inlineStr">
        <is>
          <t>Konuyla ilgili yazı</t>
        </is>
      </c>
    </row>
    <row r="18">
      <c r="B18" s="25" t="inlineStr">
        <is>
          <t>https://emreceran.github.io/nirengi-danismanlik/blog/alis-faturalarinda-fiyat-sapmasi.html</t>
        </is>
      </c>
    </row>
    <row r="20">
      <c r="B20" s="5" t="inlineStr">
        <is>
          <t>Takıldığınız yerde ya da sonuçları birlikte yorumlamak isterseniz: ücretsiz ilk görüşme</t>
        </is>
      </c>
    </row>
    <row r="21">
      <c r="B21" s="25" t="inlineStr">
        <is>
          <t>https://emreceran.github.io/nirengi-danismanlik/iletisim.html</t>
        </is>
      </c>
    </row>
    <row r="23">
      <c r="B23" s="26" t="inlineStr">
        <is>
          <t>Bu şablon genel bilgilendirme amaçlıdır ve ücretsiz olarak paylaşılabilir. © Nirengi Danışmanlık</t>
        </is>
      </c>
    </row>
  </sheetData>
  <hyperlinks>
    <hyperlink xmlns:r="http://schemas.openxmlformats.org/officeDocument/2006/relationships" ref="B18" r:id="rId1"/>
    <hyperlink xmlns:r="http://schemas.openxmlformats.org/officeDocument/2006/relationships" ref="B21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2026-10-23T20:41:26Z</dcterms:created>
  <dcterms:modified xmlns:dcterms="http://purl.org/dc/terms/" xmlns:xsi="http://www.w3.org/2001/XMLSchema-instance" xsi:type="dcterms:W3CDTF">2026-10-23T20:41:27Z</dcterms:modified>
</cp:coreProperties>
</file>